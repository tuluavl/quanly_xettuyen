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YTHON\Myweb\quanly_ xettuyen\BACKUP\MAU IMPORT\"/>
    </mc:Choice>
  </mc:AlternateContent>
  <xr:revisionPtr revIDLastSave="0" documentId="13_ncr:1_{9857A208-5B03-43BB-A22B-0D6CE420E3C2}" xr6:coauthVersionLast="47" xr6:coauthVersionMax="47" xr10:uidLastSave="{00000000-0000-0000-0000-000000000000}"/>
  <bookViews>
    <workbookView xWindow="-120" yWindow="-120" windowWidth="29040" windowHeight="15720" activeTab="1" xr2:uid="{00000000-000D-0000-FFFF-FFFF00000000}"/>
  </bookViews>
  <sheets>
    <sheet name="import CapNhatTrungTuyen" sheetId="4" r:id="rId1"/>
    <sheet name="FILE CT (CHEP CCCD TU CHAY)" sheetId="1" r:id="rId2"/>
    <sheet name="DANH SACH UEH" sheetId="2" r:id="rId3"/>
    <sheet name="DS NGHIEP VU BO" sheetId="6" r:id="rId4"/>
    <sheet name="DS TAO MAIL" sheetId="3" r:id="rId5"/>
  </sheets>
  <definedNames>
    <definedName name="_xlnm._FilterDatabase" localSheetId="2" hidden="1">'DANH SACH UEH'!$A$2:$FD$229</definedName>
    <definedName name="_xlnm._FilterDatabase" localSheetId="4" hidden="1">'DS TAO MAIL'!$B$2:$G$131</definedName>
    <definedName name="_xlnm._FilterDatabase" localSheetId="1" hidden="1">'FILE CT (CHEP CCCD TU CHAY)'!$A$1:$V$109</definedName>
    <definedName name="Z_48BF733A_0CEC_400B_8580_1FC479C1C602_.wvu.FilterData" localSheetId="4" hidden="1">'DS TAO MAIL'!$B$2:$G$48</definedName>
    <definedName name="Z_7F3D7F01_52F1_4DF1_99A0_C96C70E3BAA8_.wvu.FilterData" localSheetId="4" hidden="1">'DS TAO MAIL'!$B$2:$G$48</definedName>
    <definedName name="Z_E21C3619_1D3E_4B59_B3A0_CC250B1C14B3_.wvu.FilterData" localSheetId="4" hidden="1">'DS TAO MAIL'!$B$2:$G$48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2" i="1"/>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3" i="6"/>
  <c r="A4" i="3" l="1"/>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3" i="3"/>
  <c r="A4" i="2" l="1"/>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3" i="2"/>
  <c r="AB22" i="1" l="1"/>
  <c r="V83" i="1"/>
  <c r="X83" i="1" s="1"/>
  <c r="K83" i="1"/>
  <c r="AA77" i="1"/>
  <c r="Z77" i="1"/>
  <c r="W83" i="1"/>
  <c r="L83" i="1"/>
  <c r="M55" i="1"/>
  <c r="K52" i="1"/>
  <c r="AB51" i="1"/>
  <c r="AA27" i="1"/>
  <c r="C110" i="1"/>
  <c r="J111" i="1"/>
  <c r="AB112" i="1"/>
  <c r="AE111" i="1"/>
  <c r="I112" i="1"/>
  <c r="K112" i="1"/>
  <c r="AA112" i="1"/>
  <c r="K111" i="1"/>
  <c r="AE112" i="1"/>
  <c r="G110" i="1"/>
  <c r="F110" i="1" s="1"/>
  <c r="L111" i="1"/>
  <c r="AB111" i="1"/>
  <c r="H110" i="1"/>
  <c r="M111" i="1"/>
  <c r="I110" i="1"/>
  <c r="Z111" i="1"/>
  <c r="L110" i="1"/>
  <c r="G112" i="1"/>
  <c r="F112" i="1" s="1"/>
  <c r="AE110" i="1"/>
  <c r="J112" i="1"/>
  <c r="L112" i="1"/>
  <c r="G111" i="1"/>
  <c r="F111" i="1" s="1"/>
  <c r="H111" i="1"/>
  <c r="I111" i="1"/>
  <c r="J110" i="1"/>
  <c r="AA111" i="1"/>
  <c r="K110" i="1"/>
  <c r="M110" i="1"/>
  <c r="Z110" i="1"/>
  <c r="C112" i="1"/>
  <c r="AA110" i="1"/>
  <c r="AB110" i="1"/>
  <c r="H112" i="1"/>
  <c r="C111" i="1"/>
  <c r="M112" i="1"/>
  <c r="Z112" i="1"/>
  <c r="AE12" i="1"/>
  <c r="AE32" i="1"/>
  <c r="AE52" i="1"/>
  <c r="AE72" i="1"/>
  <c r="AE92" i="1"/>
  <c r="H4" i="1"/>
  <c r="G11" i="1"/>
  <c r="F11" i="1" s="1"/>
  <c r="I17" i="1"/>
  <c r="H24" i="1"/>
  <c r="G31" i="1"/>
  <c r="F31" i="1" s="1"/>
  <c r="I37" i="1"/>
  <c r="H44" i="1"/>
  <c r="G51" i="1"/>
  <c r="F51" i="1" s="1"/>
  <c r="I57" i="1"/>
  <c r="H64" i="1"/>
  <c r="G71" i="1"/>
  <c r="F71" i="1" s="1"/>
  <c r="I77" i="1"/>
  <c r="H84" i="1"/>
  <c r="G91" i="1"/>
  <c r="F91" i="1" s="1"/>
  <c r="I97" i="1"/>
  <c r="H104" i="1"/>
  <c r="M109" i="1"/>
  <c r="AA100" i="1"/>
  <c r="Z103" i="1"/>
  <c r="M106" i="1"/>
  <c r="J5" i="1"/>
  <c r="J25" i="1"/>
  <c r="J45" i="1"/>
  <c r="J65" i="1"/>
  <c r="J85" i="1"/>
  <c r="G80" i="1"/>
  <c r="F80" i="1" s="1"/>
  <c r="Z104" i="1"/>
  <c r="Z107" i="1"/>
  <c r="K102" i="1"/>
  <c r="AE83" i="1"/>
  <c r="G8" i="1"/>
  <c r="F8" i="1" s="1"/>
  <c r="G68" i="1"/>
  <c r="F68" i="1" s="1"/>
  <c r="M99" i="1"/>
  <c r="AE24" i="1"/>
  <c r="I41" i="1"/>
  <c r="G95" i="1"/>
  <c r="F95" i="1" s="1"/>
  <c r="J77" i="1"/>
  <c r="AE105" i="1"/>
  <c r="I48" i="1"/>
  <c r="H95" i="1"/>
  <c r="L108" i="1"/>
  <c r="I35" i="1"/>
  <c r="G89" i="1"/>
  <c r="F89" i="1" s="1"/>
  <c r="AE87" i="1"/>
  <c r="G36" i="1"/>
  <c r="F36" i="1" s="1"/>
  <c r="G76" i="1"/>
  <c r="F76" i="1" s="1"/>
  <c r="AB102" i="1"/>
  <c r="H36" i="1"/>
  <c r="AE13" i="1"/>
  <c r="AE33" i="1"/>
  <c r="AE53" i="1"/>
  <c r="AE73" i="1"/>
  <c r="AE93" i="1"/>
  <c r="I4" i="1"/>
  <c r="H11" i="1"/>
  <c r="G18" i="1"/>
  <c r="F18" i="1" s="1"/>
  <c r="I24" i="1"/>
  <c r="H31" i="1"/>
  <c r="G38" i="1"/>
  <c r="F38" i="1" s="1"/>
  <c r="I44" i="1"/>
  <c r="H51" i="1"/>
  <c r="G58" i="1"/>
  <c r="F58" i="1" s="1"/>
  <c r="I64" i="1"/>
  <c r="H71" i="1"/>
  <c r="G78" i="1"/>
  <c r="F78" i="1" s="1"/>
  <c r="I84" i="1"/>
  <c r="H91" i="1"/>
  <c r="G98" i="1"/>
  <c r="F98" i="1" s="1"/>
  <c r="I104" i="1"/>
  <c r="J98" i="1"/>
  <c r="AB100" i="1"/>
  <c r="AA103" i="1"/>
  <c r="Z106" i="1"/>
  <c r="J6" i="1"/>
  <c r="J26" i="1"/>
  <c r="J46" i="1"/>
  <c r="J66" i="1"/>
  <c r="J86" i="1"/>
  <c r="I86" i="1"/>
  <c r="J52" i="1"/>
  <c r="AA104" i="1"/>
  <c r="J93" i="1"/>
  <c r="H74" i="1"/>
  <c r="J55" i="1"/>
  <c r="H21" i="1"/>
  <c r="H61" i="1"/>
  <c r="G108" i="1"/>
  <c r="F108" i="1" s="1"/>
  <c r="J76" i="1"/>
  <c r="AE104" i="1"/>
  <c r="G15" i="1"/>
  <c r="F15" i="1" s="1"/>
  <c r="H68" i="1"/>
  <c r="K108" i="1"/>
  <c r="AE45" i="1"/>
  <c r="H35" i="1"/>
  <c r="I88" i="1"/>
  <c r="J18" i="1"/>
  <c r="AE6" i="1"/>
  <c r="H22" i="1"/>
  <c r="G69" i="1"/>
  <c r="F69" i="1" s="1"/>
  <c r="AB99" i="1"/>
  <c r="J39" i="1"/>
  <c r="G16" i="1"/>
  <c r="F16" i="1" s="1"/>
  <c r="G96" i="1"/>
  <c r="F96" i="1" s="1"/>
  <c r="AE8" i="1"/>
  <c r="I29" i="1"/>
  <c r="I69" i="1"/>
  <c r="AE14" i="1"/>
  <c r="AE34" i="1"/>
  <c r="AE54" i="1"/>
  <c r="AE74" i="1"/>
  <c r="AE94" i="1"/>
  <c r="Z109" i="1"/>
  <c r="G5" i="1"/>
  <c r="F5" i="1" s="1"/>
  <c r="I11" i="1"/>
  <c r="H18" i="1"/>
  <c r="G25" i="1"/>
  <c r="F25" i="1" s="1"/>
  <c r="I31" i="1"/>
  <c r="H38" i="1"/>
  <c r="G45" i="1"/>
  <c r="F45" i="1" s="1"/>
  <c r="I51" i="1"/>
  <c r="H58" i="1"/>
  <c r="G65" i="1"/>
  <c r="F65" i="1" s="1"/>
  <c r="I71" i="1"/>
  <c r="H78" i="1"/>
  <c r="G85" i="1"/>
  <c r="F85" i="1" s="1"/>
  <c r="I91" i="1"/>
  <c r="H98" i="1"/>
  <c r="G105" i="1"/>
  <c r="F105" i="1" s="1"/>
  <c r="K98" i="1"/>
  <c r="J101" i="1"/>
  <c r="AB103" i="1"/>
  <c r="AA106" i="1"/>
  <c r="J7" i="1"/>
  <c r="J27" i="1"/>
  <c r="J47" i="1"/>
  <c r="J67" i="1"/>
  <c r="J87" i="1"/>
  <c r="G100" i="1"/>
  <c r="F100" i="1" s="1"/>
  <c r="AA101" i="1"/>
  <c r="J32" i="1"/>
  <c r="G107" i="1"/>
  <c r="F107" i="1" s="1"/>
  <c r="G61" i="1"/>
  <c r="F61" i="1" s="1"/>
  <c r="L99" i="1"/>
  <c r="J15" i="1"/>
  <c r="I54" i="1"/>
  <c r="K105" i="1"/>
  <c r="AE84" i="1"/>
  <c r="H28" i="1"/>
  <c r="I61" i="1"/>
  <c r="I101" i="1"/>
  <c r="J37" i="1"/>
  <c r="G22" i="1"/>
  <c r="F22" i="1" s="1"/>
  <c r="H75" i="1"/>
  <c r="J38" i="1"/>
  <c r="AE46" i="1"/>
  <c r="G29" i="1"/>
  <c r="F29" i="1" s="1"/>
  <c r="H82" i="1"/>
  <c r="J79" i="1"/>
  <c r="AE27" i="1"/>
  <c r="H29" i="1"/>
  <c r="I62" i="1"/>
  <c r="H109" i="1"/>
  <c r="J40" i="1"/>
  <c r="H56" i="1"/>
  <c r="AE15" i="1"/>
  <c r="AE35" i="1"/>
  <c r="AE55" i="1"/>
  <c r="AE75" i="1"/>
  <c r="AE95" i="1"/>
  <c r="AA109" i="1"/>
  <c r="H5" i="1"/>
  <c r="G12" i="1"/>
  <c r="F12" i="1" s="1"/>
  <c r="I18" i="1"/>
  <c r="H25" i="1"/>
  <c r="G32" i="1"/>
  <c r="F32" i="1" s="1"/>
  <c r="I38" i="1"/>
  <c r="H45" i="1"/>
  <c r="G52" i="1"/>
  <c r="F52" i="1" s="1"/>
  <c r="I58" i="1"/>
  <c r="H65" i="1"/>
  <c r="G72" i="1"/>
  <c r="F72" i="1" s="1"/>
  <c r="I78" i="1"/>
  <c r="H85" i="1"/>
  <c r="G92" i="1"/>
  <c r="F92" i="1" s="1"/>
  <c r="I98" i="1"/>
  <c r="H105" i="1"/>
  <c r="L98" i="1"/>
  <c r="K101" i="1"/>
  <c r="J104" i="1"/>
  <c r="AB106" i="1"/>
  <c r="J8" i="1"/>
  <c r="J28" i="1"/>
  <c r="J48" i="1"/>
  <c r="J68" i="1"/>
  <c r="J88" i="1"/>
  <c r="H93" i="1"/>
  <c r="AB98" i="1"/>
  <c r="M107" i="1"/>
  <c r="J92" i="1"/>
  <c r="AB101" i="1"/>
  <c r="H94" i="1"/>
  <c r="J35" i="1"/>
  <c r="AE103" i="1"/>
  <c r="G48" i="1"/>
  <c r="F48" i="1" s="1"/>
  <c r="H81" i="1"/>
  <c r="L102" i="1"/>
  <c r="G35" i="1"/>
  <c r="F35" i="1" s="1"/>
  <c r="Z99" i="1"/>
  <c r="AE5" i="1"/>
  <c r="H15" i="1"/>
  <c r="I68" i="1"/>
  <c r="Z102" i="1"/>
  <c r="AE26" i="1"/>
  <c r="I55" i="1"/>
  <c r="G109" i="1"/>
  <c r="F109" i="1" s="1"/>
  <c r="AE107" i="1"/>
  <c r="I42" i="1"/>
  <c r="H89" i="1"/>
  <c r="Z108" i="1"/>
  <c r="G23" i="1"/>
  <c r="F23" i="1" s="1"/>
  <c r="H76" i="1"/>
  <c r="AE16" i="1"/>
  <c r="AE36" i="1"/>
  <c r="AE56" i="1"/>
  <c r="AE76" i="1"/>
  <c r="AE96" i="1"/>
  <c r="AB109" i="1"/>
  <c r="I5" i="1"/>
  <c r="H12" i="1"/>
  <c r="G19" i="1"/>
  <c r="F19" i="1" s="1"/>
  <c r="I25" i="1"/>
  <c r="H32" i="1"/>
  <c r="G39" i="1"/>
  <c r="F39" i="1" s="1"/>
  <c r="I45" i="1"/>
  <c r="H52" i="1"/>
  <c r="G59" i="1"/>
  <c r="F59" i="1" s="1"/>
  <c r="I65" i="1"/>
  <c r="H72" i="1"/>
  <c r="G79" i="1"/>
  <c r="F79" i="1" s="1"/>
  <c r="I85" i="1"/>
  <c r="H92" i="1"/>
  <c r="G99" i="1"/>
  <c r="F99" i="1" s="1"/>
  <c r="I105" i="1"/>
  <c r="M98" i="1"/>
  <c r="L101" i="1"/>
  <c r="K104" i="1"/>
  <c r="J107" i="1"/>
  <c r="J9" i="1"/>
  <c r="J29" i="1"/>
  <c r="J49" i="1"/>
  <c r="J69" i="1"/>
  <c r="J89" i="1"/>
  <c r="H73" i="1"/>
  <c r="J72" i="1"/>
  <c r="J99" i="1"/>
  <c r="J53" i="1"/>
  <c r="G41" i="1"/>
  <c r="F41" i="1" s="1"/>
  <c r="I67" i="1"/>
  <c r="I107" i="1"/>
  <c r="AB107" i="1"/>
  <c r="J75" i="1"/>
  <c r="AE43" i="1"/>
  <c r="I34" i="1"/>
  <c r="I94" i="1"/>
  <c r="J36" i="1"/>
  <c r="I21" i="1"/>
  <c r="G75" i="1"/>
  <c r="F75" i="1" s="1"/>
  <c r="L105" i="1"/>
  <c r="J97" i="1"/>
  <c r="AE65" i="1"/>
  <c r="I28" i="1"/>
  <c r="G62" i="1"/>
  <c r="F62" i="1" s="1"/>
  <c r="G102" i="1"/>
  <c r="F102" i="1" s="1"/>
  <c r="M105" i="1"/>
  <c r="J78" i="1"/>
  <c r="AE66" i="1"/>
  <c r="G49" i="1"/>
  <c r="F49" i="1" s="1"/>
  <c r="I95" i="1"/>
  <c r="J59" i="1"/>
  <c r="I22" i="1"/>
  <c r="H69" i="1"/>
  <c r="J100" i="1"/>
  <c r="J20" i="1"/>
  <c r="AE88" i="1"/>
  <c r="I9" i="1"/>
  <c r="AE17" i="1"/>
  <c r="AE37" i="1"/>
  <c r="AE57" i="1"/>
  <c r="AE77" i="1"/>
  <c r="AE97" i="1"/>
  <c r="G6" i="1"/>
  <c r="F6" i="1" s="1"/>
  <c r="I12" i="1"/>
  <c r="H19" i="1"/>
  <c r="G26" i="1"/>
  <c r="F26" i="1" s="1"/>
  <c r="I32" i="1"/>
  <c r="H39" i="1"/>
  <c r="G46" i="1"/>
  <c r="F46" i="1" s="1"/>
  <c r="I52" i="1"/>
  <c r="H59" i="1"/>
  <c r="G66" i="1"/>
  <c r="F66" i="1" s="1"/>
  <c r="I72" i="1"/>
  <c r="H79" i="1"/>
  <c r="G86" i="1"/>
  <c r="F86" i="1" s="1"/>
  <c r="I92" i="1"/>
  <c r="H99" i="1"/>
  <c r="G106" i="1"/>
  <c r="F106" i="1" s="1"/>
  <c r="Z98" i="1"/>
  <c r="M101" i="1"/>
  <c r="L104" i="1"/>
  <c r="K107" i="1"/>
  <c r="J10" i="1"/>
  <c r="J30" i="1"/>
  <c r="J50" i="1"/>
  <c r="J70" i="1"/>
  <c r="J90" i="1"/>
  <c r="I66" i="1"/>
  <c r="J12" i="1"/>
  <c r="J13" i="1"/>
  <c r="AE102" i="1"/>
  <c r="I87" i="1"/>
  <c r="AE3" i="1"/>
  <c r="I14" i="1"/>
  <c r="G88" i="1"/>
  <c r="F88" i="1" s="1"/>
  <c r="J56" i="1"/>
  <c r="H48" i="1"/>
  <c r="H108" i="1"/>
  <c r="AE25" i="1"/>
  <c r="H55" i="1"/>
  <c r="AA99" i="1"/>
  <c r="I15" i="1"/>
  <c r="I75" i="1"/>
  <c r="J19" i="1"/>
  <c r="AE7" i="1"/>
  <c r="H9" i="1"/>
  <c r="I82" i="1"/>
  <c r="J80" i="1"/>
  <c r="AE28" i="1"/>
  <c r="H16" i="1"/>
  <c r="AE18" i="1"/>
  <c r="AE38" i="1"/>
  <c r="AE58" i="1"/>
  <c r="AE78" i="1"/>
  <c r="AE98" i="1"/>
  <c r="AE2" i="1"/>
  <c r="H6" i="1"/>
  <c r="G13" i="1"/>
  <c r="F13" i="1" s="1"/>
  <c r="I19" i="1"/>
  <c r="H26" i="1"/>
  <c r="G33" i="1"/>
  <c r="F33" i="1" s="1"/>
  <c r="I39" i="1"/>
  <c r="H46" i="1"/>
  <c r="G53" i="1"/>
  <c r="F53" i="1" s="1"/>
  <c r="I59" i="1"/>
  <c r="H66" i="1"/>
  <c r="G73" i="1"/>
  <c r="F73" i="1" s="1"/>
  <c r="I79" i="1"/>
  <c r="H86" i="1"/>
  <c r="G93" i="1"/>
  <c r="F93" i="1" s="1"/>
  <c r="I99" i="1"/>
  <c r="H106" i="1"/>
  <c r="AA98" i="1"/>
  <c r="Z101" i="1"/>
  <c r="M104" i="1"/>
  <c r="L107" i="1"/>
  <c r="J11" i="1"/>
  <c r="J31" i="1"/>
  <c r="J51" i="1"/>
  <c r="J71" i="1"/>
  <c r="J91" i="1"/>
  <c r="G60" i="1"/>
  <c r="F60" i="1" s="1"/>
  <c r="J33" i="1"/>
  <c r="AE82" i="1"/>
  <c r="G101" i="1"/>
  <c r="F101" i="1" s="1"/>
  <c r="AE23" i="1"/>
  <c r="G28" i="1"/>
  <c r="F28" i="1" s="1"/>
  <c r="I74" i="1"/>
  <c r="J16" i="1"/>
  <c r="AE4" i="1"/>
  <c r="H8" i="1"/>
  <c r="I81" i="1"/>
  <c r="J17" i="1"/>
  <c r="G42" i="1"/>
  <c r="F42" i="1" s="1"/>
  <c r="I108" i="1"/>
  <c r="AE86" i="1"/>
  <c r="H42" i="1"/>
  <c r="H102" i="1"/>
  <c r="G56" i="1"/>
  <c r="F56" i="1" s="1"/>
  <c r="AA105" i="1"/>
  <c r="AE48" i="1"/>
  <c r="AE108" i="1"/>
  <c r="G3" i="1"/>
  <c r="F3" i="1" s="1"/>
  <c r="G43" i="1"/>
  <c r="F43" i="1" s="1"/>
  <c r="AE19" i="1"/>
  <c r="AE39" i="1"/>
  <c r="AE59" i="1"/>
  <c r="AE79" i="1"/>
  <c r="AE99" i="1"/>
  <c r="I6" i="1"/>
  <c r="H13" i="1"/>
  <c r="G20" i="1"/>
  <c r="F20" i="1" s="1"/>
  <c r="I26" i="1"/>
  <c r="H33" i="1"/>
  <c r="G40" i="1"/>
  <c r="F40" i="1" s="1"/>
  <c r="I46" i="1"/>
  <c r="H53" i="1"/>
  <c r="I106" i="1"/>
  <c r="I27" i="1"/>
  <c r="AE44" i="1"/>
  <c r="M108" i="1"/>
  <c r="AE47" i="1"/>
  <c r="AE20" i="1"/>
  <c r="AE40" i="1"/>
  <c r="AE60" i="1"/>
  <c r="AE80" i="1"/>
  <c r="AE100" i="1"/>
  <c r="G7" i="1"/>
  <c r="F7" i="1" s="1"/>
  <c r="I13" i="1"/>
  <c r="H20" i="1"/>
  <c r="G27" i="1"/>
  <c r="F27" i="1" s="1"/>
  <c r="I33" i="1"/>
  <c r="H40" i="1"/>
  <c r="G47" i="1"/>
  <c r="F47" i="1" s="1"/>
  <c r="I53" i="1"/>
  <c r="H60" i="1"/>
  <c r="G67" i="1"/>
  <c r="F67" i="1" s="1"/>
  <c r="I73" i="1"/>
  <c r="H80" i="1"/>
  <c r="G87" i="1"/>
  <c r="F87" i="1" s="1"/>
  <c r="I93" i="1"/>
  <c r="H100" i="1"/>
  <c r="J73" i="1"/>
  <c r="I47" i="1"/>
  <c r="J108" i="1"/>
  <c r="AE64" i="1"/>
  <c r="Z105" i="1"/>
  <c r="AE67" i="1"/>
  <c r="AE21" i="1"/>
  <c r="AE41" i="1"/>
  <c r="AE61" i="1"/>
  <c r="AE81" i="1"/>
  <c r="AE101" i="1"/>
  <c r="H7" i="1"/>
  <c r="G14" i="1"/>
  <c r="F14" i="1" s="1"/>
  <c r="I20" i="1"/>
  <c r="H27" i="1"/>
  <c r="G34" i="1"/>
  <c r="F34" i="1" s="1"/>
  <c r="I40" i="1"/>
  <c r="H47" i="1"/>
  <c r="G54" i="1"/>
  <c r="F54" i="1" s="1"/>
  <c r="I60" i="1"/>
  <c r="H67" i="1"/>
  <c r="G74" i="1"/>
  <c r="F74" i="1" s="1"/>
  <c r="I80" i="1"/>
  <c r="H87" i="1"/>
  <c r="G94" i="1"/>
  <c r="F94" i="1" s="1"/>
  <c r="I100" i="1"/>
  <c r="H107" i="1"/>
  <c r="K99" i="1"/>
  <c r="J102" i="1"/>
  <c r="AB104" i="1"/>
  <c r="AA107" i="1"/>
  <c r="J14" i="1"/>
  <c r="J34" i="1"/>
  <c r="J54" i="1"/>
  <c r="J74" i="1"/>
  <c r="J94" i="1"/>
  <c r="AE22" i="1"/>
  <c r="AE42" i="1"/>
  <c r="AE62" i="1"/>
  <c r="I7" i="1"/>
  <c r="H14" i="1"/>
  <c r="G21" i="1"/>
  <c r="F21" i="1" s="1"/>
  <c r="H34" i="1"/>
  <c r="H54" i="1"/>
  <c r="G81" i="1"/>
  <c r="F81" i="1" s="1"/>
  <c r="J105" i="1"/>
  <c r="J95" i="1"/>
  <c r="AE63" i="1"/>
  <c r="H41" i="1"/>
  <c r="H101" i="1"/>
  <c r="J96" i="1"/>
  <c r="G55" i="1"/>
  <c r="F55" i="1" s="1"/>
  <c r="H88" i="1"/>
  <c r="M102" i="1"/>
  <c r="J57" i="1"/>
  <c r="AE85" i="1"/>
  <c r="I8" i="1"/>
  <c r="G82" i="1"/>
  <c r="F82" i="1" s="1"/>
  <c r="J58" i="1"/>
  <c r="AE106" i="1"/>
  <c r="G9" i="1"/>
  <c r="F9" i="1" s="1"/>
  <c r="H62" i="1"/>
  <c r="AA102" i="1"/>
  <c r="H49" i="1"/>
  <c r="I102" i="1"/>
  <c r="J60" i="1"/>
  <c r="AE68" i="1"/>
  <c r="I49" i="1"/>
  <c r="AE69" i="1"/>
  <c r="H30" i="1"/>
  <c r="I70" i="1"/>
  <c r="I109" i="1"/>
  <c r="J21" i="1"/>
  <c r="J24" i="1"/>
  <c r="J41" i="1"/>
  <c r="G84" i="1"/>
  <c r="F84" i="1" s="1"/>
  <c r="G10" i="1"/>
  <c r="F10" i="1" s="1"/>
  <c r="H10" i="1"/>
  <c r="I10" i="1"/>
  <c r="I16" i="1"/>
  <c r="AE29" i="1"/>
  <c r="AE49" i="1"/>
  <c r="AE51" i="1"/>
  <c r="AE70" i="1"/>
  <c r="I30" i="1"/>
  <c r="I76" i="1"/>
  <c r="J109" i="1"/>
  <c r="J22" i="1"/>
  <c r="H43" i="1"/>
  <c r="M100" i="1"/>
  <c r="Z100" i="1"/>
  <c r="G50" i="1"/>
  <c r="F50" i="1" s="1"/>
  <c r="H50" i="1"/>
  <c r="L103" i="1"/>
  <c r="I90" i="1"/>
  <c r="H96" i="1"/>
  <c r="H57" i="1"/>
  <c r="G63" i="1"/>
  <c r="F63" i="1" s="1"/>
  <c r="H97" i="1"/>
  <c r="I63" i="1"/>
  <c r="I23" i="1"/>
  <c r="AE71" i="1"/>
  <c r="I36" i="1"/>
  <c r="G77" i="1"/>
  <c r="F77" i="1" s="1"/>
  <c r="K109" i="1"/>
  <c r="J23" i="1"/>
  <c r="G83" i="1"/>
  <c r="F83" i="1" s="1"/>
  <c r="J42" i="1"/>
  <c r="I43" i="1"/>
  <c r="H3" i="1"/>
  <c r="I3" i="1"/>
  <c r="K103" i="1"/>
  <c r="G57" i="1"/>
  <c r="F57" i="1" s="1"/>
  <c r="I96" i="1"/>
  <c r="G97" i="1"/>
  <c r="F97" i="1" s="1"/>
  <c r="AE30" i="1"/>
  <c r="I103" i="1"/>
  <c r="H70" i="1"/>
  <c r="AE89" i="1"/>
  <c r="G37" i="1"/>
  <c r="F37" i="1" s="1"/>
  <c r="H77" i="1"/>
  <c r="L109" i="1"/>
  <c r="H83" i="1"/>
  <c r="J103" i="1"/>
  <c r="G4" i="1"/>
  <c r="F4" i="1" s="1"/>
  <c r="H90" i="1"/>
  <c r="I56" i="1"/>
  <c r="AB105" i="1"/>
  <c r="J82" i="1"/>
  <c r="J83" i="1"/>
  <c r="H17" i="1"/>
  <c r="G64" i="1"/>
  <c r="F64" i="1" s="1"/>
  <c r="J3" i="1"/>
  <c r="AE90" i="1"/>
  <c r="H37" i="1"/>
  <c r="K100" i="1"/>
  <c r="I83" i="1"/>
  <c r="G44" i="1"/>
  <c r="F44" i="1" s="1"/>
  <c r="I89" i="1"/>
  <c r="G90" i="1"/>
  <c r="F90" i="1" s="1"/>
  <c r="I50" i="1"/>
  <c r="AE9" i="1"/>
  <c r="AE10" i="1"/>
  <c r="J106" i="1"/>
  <c r="J84" i="1"/>
  <c r="AE31" i="1"/>
  <c r="AB108" i="1"/>
  <c r="G24" i="1"/>
  <c r="F24" i="1" s="1"/>
  <c r="G104" i="1"/>
  <c r="F104" i="1" s="1"/>
  <c r="AE91" i="1"/>
  <c r="L100" i="1"/>
  <c r="J44" i="1"/>
  <c r="J62" i="1"/>
  <c r="M103" i="1"/>
  <c r="J81" i="1"/>
  <c r="AE11" i="1"/>
  <c r="G17" i="1"/>
  <c r="F17" i="1" s="1"/>
  <c r="H63" i="1"/>
  <c r="H103" i="1"/>
  <c r="AE50" i="1"/>
  <c r="J4" i="1"/>
  <c r="AE109" i="1"/>
  <c r="J43" i="1"/>
  <c r="J61" i="1"/>
  <c r="J63" i="1"/>
  <c r="J64" i="1"/>
  <c r="K106" i="1"/>
  <c r="L106" i="1"/>
  <c r="AA108" i="1"/>
  <c r="G30" i="1"/>
  <c r="F30" i="1" s="1"/>
  <c r="G103" i="1"/>
  <c r="F103" i="1" s="1"/>
  <c r="H23" i="1"/>
  <c r="G70" i="1"/>
  <c r="F70" i="1" s="1"/>
  <c r="AA22" i="1"/>
  <c r="W19" i="1"/>
  <c r="AB17" i="1"/>
  <c r="M42" i="1"/>
  <c r="M46" i="1"/>
  <c r="L46" i="1"/>
  <c r="K46" i="1"/>
  <c r="K74" i="1"/>
  <c r="M8" i="1"/>
  <c r="AB37" i="1"/>
  <c r="L8" i="1"/>
  <c r="AB90" i="1"/>
  <c r="AB4" i="1"/>
  <c r="AA90" i="1"/>
  <c r="L37" i="1"/>
  <c r="V13" i="1"/>
  <c r="X13" i="1" s="1"/>
  <c r="L74" i="1"/>
  <c r="K69" i="1"/>
  <c r="AA37" i="1"/>
  <c r="W65" i="1"/>
  <c r="Z90" i="1"/>
  <c r="V65" i="1"/>
  <c r="X65" i="1" s="1"/>
  <c r="M33" i="1"/>
  <c r="C11" i="1"/>
  <c r="C31" i="1"/>
  <c r="C51" i="1"/>
  <c r="C71" i="1"/>
  <c r="C91" i="1"/>
  <c r="C33" i="1"/>
  <c r="C93" i="1"/>
  <c r="C97" i="1"/>
  <c r="C78" i="1"/>
  <c r="C99" i="1"/>
  <c r="C20" i="1"/>
  <c r="C41" i="1"/>
  <c r="C22" i="1"/>
  <c r="C23" i="1"/>
  <c r="C24" i="1"/>
  <c r="C25" i="1"/>
  <c r="C85" i="1"/>
  <c r="C66" i="1"/>
  <c r="C47" i="1"/>
  <c r="C107" i="1"/>
  <c r="C68" i="1"/>
  <c r="C29" i="1"/>
  <c r="C70" i="1"/>
  <c r="C12" i="1"/>
  <c r="C32" i="1"/>
  <c r="C52" i="1"/>
  <c r="C72" i="1"/>
  <c r="C92" i="1"/>
  <c r="C53" i="1"/>
  <c r="C73" i="1"/>
  <c r="C95" i="1"/>
  <c r="C58" i="1"/>
  <c r="C79" i="1"/>
  <c r="C102" i="1"/>
  <c r="C4" i="1"/>
  <c r="C46" i="1"/>
  <c r="C28" i="1"/>
  <c r="C69" i="1"/>
  <c r="C90" i="1"/>
  <c r="C13" i="1"/>
  <c r="C18" i="1"/>
  <c r="C60" i="1"/>
  <c r="C44" i="1"/>
  <c r="C105" i="1"/>
  <c r="C27" i="1"/>
  <c r="C9" i="1"/>
  <c r="C14" i="1"/>
  <c r="C34" i="1"/>
  <c r="C54" i="1"/>
  <c r="C74" i="1"/>
  <c r="C94" i="1"/>
  <c r="C35" i="1"/>
  <c r="C55" i="1"/>
  <c r="C75" i="1"/>
  <c r="C38" i="1"/>
  <c r="C59" i="1"/>
  <c r="C100" i="1"/>
  <c r="C101" i="1"/>
  <c r="C82" i="1"/>
  <c r="C63" i="1"/>
  <c r="C64" i="1"/>
  <c r="C65" i="1"/>
  <c r="C106" i="1"/>
  <c r="C87" i="1"/>
  <c r="C88" i="1"/>
  <c r="C10" i="1"/>
  <c r="C15" i="1"/>
  <c r="C98" i="1"/>
  <c r="C80" i="1"/>
  <c r="C81" i="1"/>
  <c r="C3" i="1"/>
  <c r="C45" i="1"/>
  <c r="C7" i="1"/>
  <c r="C49" i="1"/>
  <c r="C16" i="1"/>
  <c r="C36" i="1"/>
  <c r="C56" i="1"/>
  <c r="C76" i="1"/>
  <c r="C96" i="1"/>
  <c r="C37" i="1"/>
  <c r="C57" i="1"/>
  <c r="C77" i="1"/>
  <c r="C61" i="1"/>
  <c r="C62" i="1"/>
  <c r="C83" i="1"/>
  <c r="C84" i="1"/>
  <c r="C6" i="1"/>
  <c r="C48" i="1"/>
  <c r="C30" i="1"/>
  <c r="C17" i="1"/>
  <c r="C86" i="1"/>
  <c r="C109" i="1"/>
  <c r="C19" i="1"/>
  <c r="C39" i="1"/>
  <c r="C40" i="1"/>
  <c r="C21" i="1"/>
  <c r="C42" i="1"/>
  <c r="C43" i="1"/>
  <c r="C103" i="1"/>
  <c r="C104" i="1"/>
  <c r="C5" i="1"/>
  <c r="C26" i="1"/>
  <c r="C67" i="1"/>
  <c r="C8" i="1"/>
  <c r="C108" i="1"/>
  <c r="C89" i="1"/>
  <c r="C50" i="1"/>
  <c r="Z93" i="1"/>
  <c r="L97" i="1"/>
  <c r="K7" i="1"/>
  <c r="Z8" i="1"/>
  <c r="V10" i="1"/>
  <c r="X10" i="1" s="1"/>
  <c r="L14" i="1"/>
  <c r="V16" i="1"/>
  <c r="X16" i="1" s="1"/>
  <c r="W18" i="1"/>
  <c r="K22" i="1"/>
  <c r="AB23" i="1"/>
  <c r="Z25" i="1"/>
  <c r="L29" i="1"/>
  <c r="V31" i="1"/>
  <c r="X31" i="1" s="1"/>
  <c r="W33" i="1"/>
  <c r="Z35" i="1"/>
  <c r="M37" i="1"/>
  <c r="M39" i="1"/>
  <c r="AB40" i="1"/>
  <c r="V44" i="1"/>
  <c r="X44" i="1" s="1"/>
  <c r="M48" i="1"/>
  <c r="W50" i="1"/>
  <c r="M54" i="1"/>
  <c r="Z55" i="1"/>
  <c r="V57" i="1"/>
  <c r="X57" i="1" s="1"/>
  <c r="V59" i="1"/>
  <c r="X59" i="1" s="1"/>
  <c r="V61" i="1"/>
  <c r="X61" i="1" s="1"/>
  <c r="Z63" i="1"/>
  <c r="AA65" i="1"/>
  <c r="W67" i="1"/>
  <c r="M69" i="1"/>
  <c r="K71" i="1"/>
  <c r="AA72" i="1"/>
  <c r="V74" i="1"/>
  <c r="X74" i="1" s="1"/>
  <c r="M78" i="1"/>
  <c r="V82" i="1"/>
  <c r="X82" i="1" s="1"/>
  <c r="V84" i="1"/>
  <c r="X84" i="1" s="1"/>
  <c r="K86" i="1"/>
  <c r="V87" i="1"/>
  <c r="X87" i="1" s="1"/>
  <c r="K89" i="1"/>
  <c r="K3" i="1"/>
  <c r="AA93" i="1"/>
  <c r="K93" i="1"/>
  <c r="M97" i="1"/>
  <c r="I2" i="1"/>
  <c r="V5" i="1"/>
  <c r="X5" i="1" s="1"/>
  <c r="L7" i="1"/>
  <c r="AA8" i="1"/>
  <c r="W10" i="1"/>
  <c r="V12" i="1"/>
  <c r="X12" i="1" s="1"/>
  <c r="M14" i="1"/>
  <c r="W16" i="1"/>
  <c r="Z18" i="1"/>
  <c r="V20" i="1"/>
  <c r="X20" i="1" s="1"/>
  <c r="L22" i="1"/>
  <c r="AA25" i="1"/>
  <c r="M29" i="1"/>
  <c r="W31" i="1"/>
  <c r="Z33" i="1"/>
  <c r="AA35" i="1"/>
  <c r="V42" i="1"/>
  <c r="X42" i="1" s="1"/>
  <c r="W44" i="1"/>
  <c r="V48" i="1"/>
  <c r="X48" i="1" s="1"/>
  <c r="Z50" i="1"/>
  <c r="V52" i="1"/>
  <c r="X52" i="1" s="1"/>
  <c r="AA55" i="1"/>
  <c r="W57" i="1"/>
  <c r="W59" i="1"/>
  <c r="W61" i="1"/>
  <c r="AA63" i="1"/>
  <c r="AB65" i="1"/>
  <c r="Z67" i="1"/>
  <c r="L71" i="1"/>
  <c r="AB72" i="1"/>
  <c r="W74" i="1"/>
  <c r="V76" i="1"/>
  <c r="X76" i="1" s="1"/>
  <c r="V78" i="1"/>
  <c r="X78" i="1" s="1"/>
  <c r="W82" i="1"/>
  <c r="W84" i="1"/>
  <c r="L86" i="1"/>
  <c r="W87" i="1"/>
  <c r="L89" i="1"/>
  <c r="K91" i="1"/>
  <c r="L3" i="1"/>
  <c r="AB93" i="1"/>
  <c r="L93" i="1"/>
  <c r="W5" i="1"/>
  <c r="M7" i="1"/>
  <c r="AB8" i="1"/>
  <c r="W12" i="1"/>
  <c r="V14" i="1"/>
  <c r="X14" i="1" s="1"/>
  <c r="Z16" i="1"/>
  <c r="AA18" i="1"/>
  <c r="W20" i="1"/>
  <c r="M22" i="1"/>
  <c r="K24" i="1"/>
  <c r="AB25" i="1"/>
  <c r="V29" i="1"/>
  <c r="X29" i="1" s="1"/>
  <c r="Z31" i="1"/>
  <c r="AA33" i="1"/>
  <c r="AB35" i="1"/>
  <c r="K41" i="1"/>
  <c r="W42" i="1"/>
  <c r="Z44" i="1"/>
  <c r="V46" i="1"/>
  <c r="X46" i="1" s="1"/>
  <c r="W48" i="1"/>
  <c r="AA50" i="1"/>
  <c r="W52" i="1"/>
  <c r="AB55" i="1"/>
  <c r="Z57" i="1"/>
  <c r="Z59" i="1"/>
  <c r="Z61" i="1"/>
  <c r="AB63" i="1"/>
  <c r="AA67" i="1"/>
  <c r="M71" i="1"/>
  <c r="Z74" i="1"/>
  <c r="W76" i="1"/>
  <c r="W78" i="1"/>
  <c r="V80" i="1"/>
  <c r="X80" i="1" s="1"/>
  <c r="Z82" i="1"/>
  <c r="M86" i="1"/>
  <c r="M89" i="1"/>
  <c r="L91" i="1"/>
  <c r="M3" i="1"/>
  <c r="Z94" i="1"/>
  <c r="M93" i="1"/>
  <c r="Z5" i="1"/>
  <c r="Z10" i="1"/>
  <c r="Z12" i="1"/>
  <c r="W14" i="1"/>
  <c r="AA16" i="1"/>
  <c r="AB18" i="1"/>
  <c r="Z20" i="1"/>
  <c r="L24" i="1"/>
  <c r="V27" i="1"/>
  <c r="X27" i="1" s="1"/>
  <c r="W29" i="1"/>
  <c r="AA31" i="1"/>
  <c r="AB33" i="1"/>
  <c r="V37" i="1"/>
  <c r="X37" i="1" s="1"/>
  <c r="V39" i="1"/>
  <c r="X39" i="1" s="1"/>
  <c r="L41" i="1"/>
  <c r="Z42" i="1"/>
  <c r="AA44" i="1"/>
  <c r="W46" i="1"/>
  <c r="Z48" i="1"/>
  <c r="AB50" i="1"/>
  <c r="Z52" i="1"/>
  <c r="AA57" i="1"/>
  <c r="AA59" i="1"/>
  <c r="AA61" i="1"/>
  <c r="K66" i="1"/>
  <c r="AB67" i="1"/>
  <c r="K73" i="1"/>
  <c r="AA74" i="1"/>
  <c r="Z78" i="1"/>
  <c r="W80" i="1"/>
  <c r="AA82" i="1"/>
  <c r="Z84" i="1"/>
  <c r="Z87" i="1"/>
  <c r="M91" i="1"/>
  <c r="AA94" i="1"/>
  <c r="AA5" i="1"/>
  <c r="K9" i="1"/>
  <c r="AA10" i="1"/>
  <c r="AA12" i="1"/>
  <c r="Z14" i="1"/>
  <c r="AB16" i="1"/>
  <c r="AA20" i="1"/>
  <c r="M24" i="1"/>
  <c r="K26" i="1"/>
  <c r="W27" i="1"/>
  <c r="Z29" i="1"/>
  <c r="AB31" i="1"/>
  <c r="K36" i="1"/>
  <c r="W37" i="1"/>
  <c r="W39" i="1"/>
  <c r="M41" i="1"/>
  <c r="AA42" i="1"/>
  <c r="AB44" i="1"/>
  <c r="Z46" i="1"/>
  <c r="AA48" i="1"/>
  <c r="AA52" i="1"/>
  <c r="K56" i="1"/>
  <c r="AB57" i="1"/>
  <c r="AB59" i="1"/>
  <c r="AB61" i="1"/>
  <c r="K64" i="1"/>
  <c r="L66" i="1"/>
  <c r="V69" i="1"/>
  <c r="X69" i="1" s="1"/>
  <c r="L73" i="1"/>
  <c r="AB74" i="1"/>
  <c r="Z76" i="1"/>
  <c r="AA78" i="1"/>
  <c r="Z80" i="1"/>
  <c r="AB82" i="1"/>
  <c r="AA84" i="1"/>
  <c r="AA87" i="1"/>
  <c r="V91" i="1"/>
  <c r="X91" i="1" s="1"/>
  <c r="V3" i="1"/>
  <c r="X3" i="1" s="1"/>
  <c r="L94" i="1"/>
  <c r="AB94" i="1"/>
  <c r="K94" i="1"/>
  <c r="K4" i="1"/>
  <c r="AB5" i="1"/>
  <c r="L9" i="1"/>
  <c r="AB10" i="1"/>
  <c r="AB12" i="1"/>
  <c r="AA14" i="1"/>
  <c r="K19" i="1"/>
  <c r="AB20" i="1"/>
  <c r="V24" i="1"/>
  <c r="X24" i="1" s="1"/>
  <c r="L26" i="1"/>
  <c r="Z27" i="1"/>
  <c r="AA29" i="1"/>
  <c r="K34" i="1"/>
  <c r="L36" i="1"/>
  <c r="Z37" i="1"/>
  <c r="Z39" i="1"/>
  <c r="AB42" i="1"/>
  <c r="AA46" i="1"/>
  <c r="AB48" i="1"/>
  <c r="K51" i="1"/>
  <c r="AB52" i="1"/>
  <c r="V54" i="1"/>
  <c r="X54" i="1" s="1"/>
  <c r="L56" i="1"/>
  <c r="L64" i="1"/>
  <c r="M66" i="1"/>
  <c r="K68" i="1"/>
  <c r="W69" i="1"/>
  <c r="M73" i="1"/>
  <c r="AA76" i="1"/>
  <c r="AB78" i="1"/>
  <c r="AA80" i="1"/>
  <c r="AB84" i="1"/>
  <c r="AB87" i="1"/>
  <c r="W91" i="1"/>
  <c r="W3" i="1"/>
  <c r="Z95" i="1"/>
  <c r="AB95" i="1"/>
  <c r="L6" i="1"/>
  <c r="W7" i="1"/>
  <c r="L11" i="1"/>
  <c r="L13" i="1"/>
  <c r="K15" i="1"/>
  <c r="M17" i="1"/>
  <c r="V19" i="1"/>
  <c r="X19" i="1" s="1"/>
  <c r="L21" i="1"/>
  <c r="W22" i="1"/>
  <c r="AA24" i="1"/>
  <c r="K30" i="1"/>
  <c r="M32" i="1"/>
  <c r="V34" i="1"/>
  <c r="X34" i="1" s="1"/>
  <c r="L43" i="1"/>
  <c r="M45" i="1"/>
  <c r="K47" i="1"/>
  <c r="L49" i="1"/>
  <c r="V51" i="1"/>
  <c r="X51" i="1" s="1"/>
  <c r="L53" i="1"/>
  <c r="AA54" i="1"/>
  <c r="M58" i="1"/>
  <c r="M60" i="1"/>
  <c r="M62" i="1"/>
  <c r="W64" i="1"/>
  <c r="W66" i="1"/>
  <c r="AB69" i="1"/>
  <c r="Z71" i="1"/>
  <c r="W73" i="1"/>
  <c r="M75" i="1"/>
  <c r="K77" i="1"/>
  <c r="L79" i="1"/>
  <c r="K81" i="1"/>
  <c r="M83" i="1"/>
  <c r="L85" i="1"/>
  <c r="W86" i="1"/>
  <c r="L88" i="1"/>
  <c r="Z89" i="1"/>
  <c r="AB91" i="1"/>
  <c r="AB3" i="1"/>
  <c r="Z96" i="1"/>
  <c r="AA95" i="1"/>
  <c r="M9" i="1"/>
  <c r="AA11" i="1"/>
  <c r="K18" i="1"/>
  <c r="M21" i="1"/>
  <c r="V23" i="1"/>
  <c r="X23" i="1" s="1"/>
  <c r="AB28" i="1"/>
  <c r="W32" i="1"/>
  <c r="V35" i="1"/>
  <c r="X35" i="1" s="1"/>
  <c r="V38" i="1"/>
  <c r="X38" i="1" s="1"/>
  <c r="AA40" i="1"/>
  <c r="AA43" i="1"/>
  <c r="AB46" i="1"/>
  <c r="AB49" i="1"/>
  <c r="K53" i="1"/>
  <c r="AA64" i="1"/>
  <c r="L70" i="1"/>
  <c r="W72" i="1"/>
  <c r="AA75" i="1"/>
  <c r="L78" i="1"/>
  <c r="Z81" i="1"/>
  <c r="L87" i="1"/>
  <c r="W89" i="1"/>
  <c r="W21" i="1"/>
  <c r="AA70" i="1"/>
  <c r="AA96" i="1"/>
  <c r="K97" i="1"/>
  <c r="G2" i="1"/>
  <c r="F2" i="1" s="1"/>
  <c r="L4" i="1"/>
  <c r="V6" i="1"/>
  <c r="X6" i="1" s="1"/>
  <c r="AB11" i="1"/>
  <c r="L15" i="1"/>
  <c r="L18" i="1"/>
  <c r="W23" i="1"/>
  <c r="V26" i="1"/>
  <c r="X26" i="1" s="1"/>
  <c r="Z32" i="1"/>
  <c r="W35" i="1"/>
  <c r="W38" i="1"/>
  <c r="AB43" i="1"/>
  <c r="M53" i="1"/>
  <c r="K61" i="1"/>
  <c r="AB64" i="1"/>
  <c r="M70" i="1"/>
  <c r="Z72" i="1"/>
  <c r="AB75" i="1"/>
  <c r="AA81" i="1"/>
  <c r="K85" i="1"/>
  <c r="M87" i="1"/>
  <c r="AA89" i="1"/>
  <c r="Z92" i="1"/>
  <c r="AB38" i="1"/>
  <c r="V79" i="1"/>
  <c r="X79" i="1" s="1"/>
  <c r="M76" i="1"/>
  <c r="AA4" i="1"/>
  <c r="L51" i="1"/>
  <c r="AB96" i="1"/>
  <c r="M4" i="1"/>
  <c r="W6" i="1"/>
  <c r="M15" i="1"/>
  <c r="M18" i="1"/>
  <c r="Z23" i="1"/>
  <c r="W26" i="1"/>
  <c r="K29" i="1"/>
  <c r="AA32" i="1"/>
  <c r="M36" i="1"/>
  <c r="Z38" i="1"/>
  <c r="L47" i="1"/>
  <c r="K50" i="1"/>
  <c r="V58" i="1"/>
  <c r="X58" i="1" s="1"/>
  <c r="L61" i="1"/>
  <c r="V67" i="1"/>
  <c r="X67" i="1" s="1"/>
  <c r="K79" i="1"/>
  <c r="AB81" i="1"/>
  <c r="M85" i="1"/>
  <c r="AB89" i="1"/>
  <c r="AA92" i="1"/>
  <c r="W41" i="1"/>
  <c r="AA73" i="1"/>
  <c r="Z9" i="1"/>
  <c r="L33" i="1"/>
  <c r="Z79" i="1"/>
  <c r="Z97" i="1"/>
  <c r="V4" i="1"/>
  <c r="X4" i="1" s="1"/>
  <c r="Z6" i="1"/>
  <c r="K12" i="1"/>
  <c r="V15" i="1"/>
  <c r="X15" i="1" s="1"/>
  <c r="AA23" i="1"/>
  <c r="Z26" i="1"/>
  <c r="AB29" i="1"/>
  <c r="AB32" i="1"/>
  <c r="AA38" i="1"/>
  <c r="V41" i="1"/>
  <c r="X41" i="1" s="1"/>
  <c r="K44" i="1"/>
  <c r="M47" i="1"/>
  <c r="L50" i="1"/>
  <c r="V53" i="1"/>
  <c r="X53" i="1" s="1"/>
  <c r="V55" i="1"/>
  <c r="X55" i="1" s="1"/>
  <c r="W58" i="1"/>
  <c r="M61" i="1"/>
  <c r="K65" i="1"/>
  <c r="L68" i="1"/>
  <c r="V70" i="1"/>
  <c r="X70" i="1" s="1"/>
  <c r="V73" i="1"/>
  <c r="X73" i="1" s="1"/>
  <c r="K76" i="1"/>
  <c r="M79" i="1"/>
  <c r="AB92" i="1"/>
  <c r="W24" i="1"/>
  <c r="L44" i="1"/>
  <c r="M50" i="1"/>
  <c r="W53" i="1"/>
  <c r="W55" i="1"/>
  <c r="K62" i="1"/>
  <c r="L65" i="1"/>
  <c r="M68" i="1"/>
  <c r="W70" i="1"/>
  <c r="L76" i="1"/>
  <c r="K82" i="1"/>
  <c r="K90" i="1"/>
  <c r="L90" i="1"/>
  <c r="M19" i="1"/>
  <c r="AB24" i="1"/>
  <c r="M30" i="1"/>
  <c r="V36" i="1"/>
  <c r="X36" i="1" s="1"/>
  <c r="K39" i="1"/>
  <c r="Z53" i="1"/>
  <c r="AB58" i="1"/>
  <c r="V62" i="1"/>
  <c r="X62" i="1" s="1"/>
  <c r="AB73" i="1"/>
  <c r="M82" i="1"/>
  <c r="AA3" i="1"/>
  <c r="AA97" i="1"/>
  <c r="H2" i="1"/>
  <c r="W4" i="1"/>
  <c r="AA6" i="1"/>
  <c r="V9" i="1"/>
  <c r="X9" i="1" s="1"/>
  <c r="L12" i="1"/>
  <c r="W15" i="1"/>
  <c r="V18" i="1"/>
  <c r="X18" i="1" s="1"/>
  <c r="AA26" i="1"/>
  <c r="V47" i="1"/>
  <c r="X47" i="1" s="1"/>
  <c r="Z58" i="1"/>
  <c r="Z73" i="1"/>
  <c r="L82" i="1"/>
  <c r="AA15" i="1"/>
  <c r="AB97" i="1"/>
  <c r="Z4" i="1"/>
  <c r="AB6" i="1"/>
  <c r="W9" i="1"/>
  <c r="M12" i="1"/>
  <c r="Z15" i="1"/>
  <c r="L19" i="1"/>
  <c r="V21" i="1"/>
  <c r="X21" i="1" s="1"/>
  <c r="Z24" i="1"/>
  <c r="AB26" i="1"/>
  <c r="L30" i="1"/>
  <c r="K33" i="1"/>
  <c r="Z41" i="1"/>
  <c r="M44" i="1"/>
  <c r="W47" i="1"/>
  <c r="V50" i="1"/>
  <c r="X50" i="1" s="1"/>
  <c r="M56" i="1"/>
  <c r="AA58" i="1"/>
  <c r="L62" i="1"/>
  <c r="M65" i="1"/>
  <c r="Z70" i="1"/>
  <c r="W79" i="1"/>
  <c r="Z3" i="1"/>
  <c r="AA41" i="1"/>
  <c r="M90" i="1"/>
  <c r="K5" i="1"/>
  <c r="Z7" i="1"/>
  <c r="K16" i="1"/>
  <c r="AA19" i="1"/>
  <c r="AB21" i="1"/>
  <c r="L25" i="1"/>
  <c r="M27" i="1"/>
  <c r="Z30" i="1"/>
  <c r="L34" i="1"/>
  <c r="Z36" i="1"/>
  <c r="AB39" i="1"/>
  <c r="K42" i="1"/>
  <c r="W13" i="1"/>
  <c r="Z19" i="1"/>
  <c r="K23" i="1"/>
  <c r="L28" i="1"/>
  <c r="V33" i="1"/>
  <c r="X33" i="1" s="1"/>
  <c r="K38" i="1"/>
  <c r="Z47" i="1"/>
  <c r="L52" i="1"/>
  <c r="V56" i="1"/>
  <c r="X56" i="1" s="1"/>
  <c r="V60" i="1"/>
  <c r="X60" i="1" s="1"/>
  <c r="Z65" i="1"/>
  <c r="Z69" i="1"/>
  <c r="M74" i="1"/>
  <c r="AB77" i="1"/>
  <c r="Z91" i="1"/>
  <c r="AA9" i="1"/>
  <c r="W28" i="1"/>
  <c r="M43" i="1"/>
  <c r="AA56" i="1"/>
  <c r="K70" i="1"/>
  <c r="AB83" i="1"/>
  <c r="L48" i="1"/>
  <c r="K75" i="1"/>
  <c r="M92" i="1"/>
  <c r="AB14" i="1"/>
  <c r="L40" i="1"/>
  <c r="AA53" i="1"/>
  <c r="L75" i="1"/>
  <c r="V92" i="1"/>
  <c r="X92" i="1" s="1"/>
  <c r="L45" i="1"/>
  <c r="K67" i="1"/>
  <c r="M80" i="1"/>
  <c r="L16" i="1"/>
  <c r="L67" i="1"/>
  <c r="W88" i="1"/>
  <c r="AB30" i="1"/>
  <c r="K58" i="1"/>
  <c r="AB80" i="1"/>
  <c r="L77" i="1"/>
  <c r="Z40" i="1"/>
  <c r="M77" i="1"/>
  <c r="V22" i="1"/>
  <c r="X22" i="1" s="1"/>
  <c r="Z51" i="1"/>
  <c r="V90" i="1"/>
  <c r="X90" i="1" s="1"/>
  <c r="L32" i="1"/>
  <c r="AB68" i="1"/>
  <c r="L5" i="1"/>
  <c r="V8" i="1"/>
  <c r="X8" i="1" s="1"/>
  <c r="Z13" i="1"/>
  <c r="AB19" i="1"/>
  <c r="L23" i="1"/>
  <c r="M28" i="1"/>
  <c r="M34" i="1"/>
  <c r="L38" i="1"/>
  <c r="AA47" i="1"/>
  <c r="M52" i="1"/>
  <c r="W56" i="1"/>
  <c r="W60" i="1"/>
  <c r="AA69" i="1"/>
  <c r="Z83" i="1"/>
  <c r="K87" i="1"/>
  <c r="AA91" i="1"/>
  <c r="K20" i="1"/>
  <c r="L39" i="1"/>
  <c r="AA79" i="1"/>
  <c r="K92" i="1"/>
  <c r="AA66" i="1"/>
  <c r="K84" i="1"/>
  <c r="M95" i="1"/>
  <c r="K6" i="1"/>
  <c r="Z62" i="1"/>
  <c r="K80" i="1"/>
  <c r="M49" i="1"/>
  <c r="AA71" i="1"/>
  <c r="J2" i="1"/>
  <c r="L96" i="1"/>
  <c r="AA30" i="1"/>
  <c r="V49" i="1"/>
  <c r="X49" i="1" s="1"/>
  <c r="AB71" i="1"/>
  <c r="M16" i="1"/>
  <c r="L54" i="1"/>
  <c r="M31" i="1"/>
  <c r="Z68" i="1"/>
  <c r="K13" i="1"/>
  <c r="AB45" i="1"/>
  <c r="V77" i="1"/>
  <c r="X77" i="1" s="1"/>
  <c r="L55" i="1"/>
  <c r="M94" i="1"/>
  <c r="M5" i="1"/>
  <c r="W8" i="1"/>
  <c r="AA13" i="1"/>
  <c r="M23" i="1"/>
  <c r="V28" i="1"/>
  <c r="X28" i="1" s="1"/>
  <c r="W34" i="1"/>
  <c r="M38" i="1"/>
  <c r="K43" i="1"/>
  <c r="AB47" i="1"/>
  <c r="Z56" i="1"/>
  <c r="Z60" i="1"/>
  <c r="V66" i="1"/>
  <c r="X66" i="1" s="1"/>
  <c r="K78" i="1"/>
  <c r="AA83" i="1"/>
  <c r="K88" i="1"/>
  <c r="AB13" i="1"/>
  <c r="Z34" i="1"/>
  <c r="AA60" i="1"/>
  <c r="M88" i="1"/>
  <c r="W43" i="1"/>
  <c r="L10" i="1"/>
  <c r="Z43" i="1"/>
  <c r="K57" i="1"/>
  <c r="V71" i="1"/>
  <c r="X71" i="1" s="1"/>
  <c r="L84" i="1"/>
  <c r="W30" i="1"/>
  <c r="M57" i="1"/>
  <c r="Z75" i="1"/>
  <c r="V2" i="1"/>
  <c r="X2" i="1" s="1"/>
  <c r="V25" i="1"/>
  <c r="X25" i="1" s="1"/>
  <c r="W49" i="1"/>
  <c r="W2" i="1"/>
  <c r="M72" i="1"/>
  <c r="AB7" i="1"/>
  <c r="AA45" i="1"/>
  <c r="V81" i="1"/>
  <c r="X81" i="1" s="1"/>
  <c r="K27" i="1"/>
  <c r="M59" i="1"/>
  <c r="AA17" i="1"/>
  <c r="K60" i="1"/>
  <c r="Z11" i="1"/>
  <c r="K95" i="1"/>
  <c r="AB9" i="1"/>
  <c r="L20" i="1"/>
  <c r="K25" i="1"/>
  <c r="AA34" i="1"/>
  <c r="AA39" i="1"/>
  <c r="V43" i="1"/>
  <c r="X43" i="1" s="1"/>
  <c r="K48" i="1"/>
  <c r="AB56" i="1"/>
  <c r="AB60" i="1"/>
  <c r="Z66" i="1"/>
  <c r="AB70" i="1"/>
  <c r="AB79" i="1"/>
  <c r="L92" i="1"/>
  <c r="L95" i="1"/>
  <c r="K10" i="1"/>
  <c r="K14" i="1"/>
  <c r="M20" i="1"/>
  <c r="M25" i="1"/>
  <c r="Z28" i="1"/>
  <c r="AB34" i="1"/>
  <c r="K40" i="1"/>
  <c r="W62" i="1"/>
  <c r="AA28" i="1"/>
  <c r="AB66" i="1"/>
  <c r="AB62" i="1"/>
  <c r="V88" i="1"/>
  <c r="X88" i="1" s="1"/>
  <c r="V85" i="1"/>
  <c r="X85" i="1" s="1"/>
  <c r="M96" i="1"/>
  <c r="K21" i="1"/>
  <c r="V45" i="1"/>
  <c r="X45" i="1" s="1"/>
  <c r="M67" i="1"/>
  <c r="Z88" i="1"/>
  <c r="V63" i="1"/>
  <c r="X63" i="1" s="1"/>
  <c r="W63" i="1"/>
  <c r="Z17" i="1"/>
  <c r="K55" i="1"/>
  <c r="K8" i="1"/>
  <c r="L27" i="1"/>
  <c r="AA51" i="1"/>
  <c r="AA7" i="1"/>
  <c r="V17" i="1"/>
  <c r="X17" i="1" s="1"/>
  <c r="M6" i="1"/>
  <c r="M10" i="1"/>
  <c r="AB15" i="1"/>
  <c r="V30" i="1"/>
  <c r="X30" i="1" s="1"/>
  <c r="K35" i="1"/>
  <c r="M40" i="1"/>
  <c r="K45" i="1"/>
  <c r="K49" i="1"/>
  <c r="AB53" i="1"/>
  <c r="L57" i="1"/>
  <c r="AA62" i="1"/>
  <c r="W71" i="1"/>
  <c r="V75" i="1"/>
  <c r="X75" i="1" s="1"/>
  <c r="L80" i="1"/>
  <c r="M84" i="1"/>
  <c r="W92" i="1"/>
  <c r="K96" i="1"/>
  <c r="L35" i="1"/>
  <c r="W75" i="1"/>
  <c r="K11" i="1"/>
  <c r="M35" i="1"/>
  <c r="K54" i="1"/>
  <c r="M11" i="1"/>
  <c r="K63" i="1"/>
  <c r="W85" i="1"/>
  <c r="M51" i="1"/>
  <c r="W17" i="1"/>
  <c r="W51" i="1"/>
  <c r="AB41" i="1"/>
  <c r="W81" i="1"/>
  <c r="K37" i="1"/>
  <c r="V72" i="1"/>
  <c r="X72" i="1" s="1"/>
  <c r="V11" i="1"/>
  <c r="X11" i="1" s="1"/>
  <c r="K17" i="1"/>
  <c r="Z21" i="1"/>
  <c r="W25" i="1"/>
  <c r="W36" i="1"/>
  <c r="W45" i="1"/>
  <c r="Z49" i="1"/>
  <c r="W54" i="1"/>
  <c r="L58" i="1"/>
  <c r="L63" i="1"/>
  <c r="K72" i="1"/>
  <c r="AB76" i="1"/>
  <c r="Z85" i="1"/>
  <c r="AA88" i="1"/>
  <c r="V40" i="1"/>
  <c r="X40" i="1" s="1"/>
  <c r="V68" i="1"/>
  <c r="X68" i="1" s="1"/>
  <c r="L81" i="1"/>
  <c r="AB88" i="1"/>
  <c r="L31" i="1"/>
  <c r="W40" i="1"/>
  <c r="AB54" i="1"/>
  <c r="W68" i="1"/>
  <c r="M81" i="1"/>
  <c r="AB36" i="1"/>
  <c r="V89" i="1"/>
  <c r="X89" i="1" s="1"/>
  <c r="K32" i="1"/>
  <c r="M64" i="1"/>
  <c r="M13" i="1"/>
  <c r="Z22" i="1"/>
  <c r="V64" i="1"/>
  <c r="X64" i="1" s="1"/>
  <c r="V86" i="1"/>
  <c r="X86" i="1" s="1"/>
  <c r="V7" i="1"/>
  <c r="X7" i="1" s="1"/>
  <c r="W11" i="1"/>
  <c r="L17" i="1"/>
  <c r="AA21" i="1"/>
  <c r="M26" i="1"/>
  <c r="K31" i="1"/>
  <c r="AA49" i="1"/>
  <c r="Z54" i="1"/>
  <c r="M63" i="1"/>
  <c r="L72" i="1"/>
  <c r="AA85" i="1"/>
  <c r="AA36" i="1"/>
  <c r="Z45" i="1"/>
  <c r="K59" i="1"/>
  <c r="AB85" i="1"/>
  <c r="L59" i="1"/>
  <c r="AA68" i="1"/>
  <c r="W77" i="1"/>
  <c r="AB86" i="1"/>
  <c r="L42" i="1"/>
  <c r="W90" i="1"/>
  <c r="V32" i="1"/>
  <c r="X32" i="1" s="1"/>
  <c r="AA86" i="1"/>
  <c r="K28" i="1"/>
  <c r="L69" i="1"/>
  <c r="Z64" i="1"/>
  <c r="Z86" i="1"/>
  <c r="L60" i="1"/>
  <c r="AB27" i="1"/>
  <c r="Z2" i="1"/>
  <c r="AA2" i="1"/>
  <c r="AB2" i="1"/>
  <c r="M2" i="1"/>
  <c r="C2" i="1"/>
  <c r="K2" i="1"/>
  <c r="L2" i="1"/>
  <c r="P106" i="1" l="1"/>
  <c r="Q106" i="1"/>
  <c r="O106" i="1"/>
  <c r="R106" i="1"/>
  <c r="O71" i="1"/>
  <c r="Q71" i="1"/>
  <c r="R71" i="1"/>
  <c r="P71" i="1"/>
  <c r="O62" i="1"/>
  <c r="Q62" i="1"/>
  <c r="P62" i="1"/>
  <c r="R62" i="1"/>
  <c r="Q108" i="1"/>
  <c r="O108" i="1"/>
  <c r="P108" i="1"/>
  <c r="R108" i="1"/>
  <c r="R92" i="1"/>
  <c r="P92" i="1"/>
  <c r="O92" i="1"/>
  <c r="Q92" i="1"/>
  <c r="P51" i="1"/>
  <c r="O51" i="1"/>
  <c r="Q51" i="1"/>
  <c r="R51" i="1"/>
  <c r="R17" i="1"/>
  <c r="O17" i="1"/>
  <c r="Q17" i="1"/>
  <c r="P17" i="1"/>
  <c r="O96" i="1"/>
  <c r="R96" i="1"/>
  <c r="P96" i="1"/>
  <c r="Q96" i="1"/>
  <c r="P93" i="1"/>
  <c r="R93" i="1"/>
  <c r="O93" i="1"/>
  <c r="Q93" i="1"/>
  <c r="P105" i="1"/>
  <c r="R105" i="1"/>
  <c r="Q105" i="1"/>
  <c r="O105" i="1"/>
  <c r="P89" i="1"/>
  <c r="R89" i="1"/>
  <c r="O89" i="1"/>
  <c r="Q89" i="1"/>
  <c r="O66" i="1"/>
  <c r="P66" i="1"/>
  <c r="Q66" i="1"/>
  <c r="R66" i="1"/>
  <c r="P81" i="1"/>
  <c r="O81" i="1"/>
  <c r="Q81" i="1"/>
  <c r="R81" i="1"/>
  <c r="Q48" i="1"/>
  <c r="P48" i="1"/>
  <c r="R48" i="1"/>
  <c r="O48" i="1"/>
  <c r="Q107" i="1"/>
  <c r="O107" i="1"/>
  <c r="R107" i="1"/>
  <c r="P107" i="1"/>
  <c r="O6" i="1"/>
  <c r="P6" i="1"/>
  <c r="Q6" i="1"/>
  <c r="R6" i="1"/>
  <c r="P69" i="1"/>
  <c r="O69" i="1"/>
  <c r="Q69" i="1"/>
  <c r="R69" i="1"/>
  <c r="O31" i="1"/>
  <c r="Q31" i="1"/>
  <c r="P31" i="1"/>
  <c r="R31" i="1"/>
  <c r="O76" i="1"/>
  <c r="R76" i="1"/>
  <c r="Q76" i="1"/>
  <c r="P76" i="1"/>
  <c r="R73" i="1"/>
  <c r="P73" i="1"/>
  <c r="Q73" i="1"/>
  <c r="O73" i="1"/>
  <c r="Q110" i="1"/>
  <c r="R110" i="1"/>
  <c r="O110" i="1"/>
  <c r="P110" i="1"/>
  <c r="Q10" i="1"/>
  <c r="R10" i="1"/>
  <c r="P10" i="1"/>
  <c r="O10" i="1"/>
  <c r="P49" i="1"/>
  <c r="R49" i="1"/>
  <c r="Q49" i="1"/>
  <c r="O49" i="1"/>
  <c r="O82" i="1"/>
  <c r="R82" i="1"/>
  <c r="Q82" i="1"/>
  <c r="P82" i="1"/>
  <c r="Q56" i="1"/>
  <c r="O56" i="1"/>
  <c r="P56" i="1"/>
  <c r="R56" i="1"/>
  <c r="O75" i="1"/>
  <c r="P75" i="1"/>
  <c r="Q75" i="1"/>
  <c r="R75" i="1"/>
  <c r="P94" i="1"/>
  <c r="R94" i="1"/>
  <c r="Q94" i="1"/>
  <c r="O94" i="1"/>
  <c r="O53" i="1"/>
  <c r="R53" i="1"/>
  <c r="Q53" i="1"/>
  <c r="P53" i="1"/>
  <c r="P74" i="1"/>
  <c r="Q74" i="1"/>
  <c r="R74" i="1"/>
  <c r="O74" i="1"/>
  <c r="P33" i="1"/>
  <c r="R33" i="1"/>
  <c r="Q33" i="1"/>
  <c r="O33" i="1"/>
  <c r="P46" i="1"/>
  <c r="R46" i="1"/>
  <c r="Q46" i="1"/>
  <c r="O46" i="1"/>
  <c r="O78" i="1"/>
  <c r="R78" i="1"/>
  <c r="Q78" i="1"/>
  <c r="P78" i="1"/>
  <c r="O16" i="1"/>
  <c r="R16" i="1"/>
  <c r="P16" i="1"/>
  <c r="Q16" i="1"/>
  <c r="P35" i="1"/>
  <c r="R35" i="1"/>
  <c r="O35" i="1"/>
  <c r="Q35" i="1"/>
  <c r="P54" i="1"/>
  <c r="R54" i="1"/>
  <c r="Q54" i="1"/>
  <c r="O54" i="1"/>
  <c r="O13" i="1"/>
  <c r="Q13" i="1"/>
  <c r="R13" i="1"/>
  <c r="P13" i="1"/>
  <c r="P55" i="1"/>
  <c r="R55" i="1"/>
  <c r="O55" i="1"/>
  <c r="Q55" i="1"/>
  <c r="R26" i="1"/>
  <c r="Q26" i="1"/>
  <c r="P26" i="1"/>
  <c r="O26" i="1"/>
  <c r="O95" i="1"/>
  <c r="Q95" i="1"/>
  <c r="R95" i="1"/>
  <c r="P95" i="1"/>
  <c r="P68" i="1"/>
  <c r="R68" i="1"/>
  <c r="O68" i="1"/>
  <c r="Q68" i="1"/>
  <c r="O11" i="1"/>
  <c r="R11" i="1"/>
  <c r="Q11" i="1"/>
  <c r="P11" i="1"/>
  <c r="O80" i="1"/>
  <c r="R80" i="1"/>
  <c r="Q80" i="1"/>
  <c r="P80" i="1"/>
  <c r="P58" i="1"/>
  <c r="R58" i="1"/>
  <c r="Q58" i="1"/>
  <c r="O58" i="1"/>
  <c r="O15" i="1"/>
  <c r="R15" i="1"/>
  <c r="Q15" i="1"/>
  <c r="P15" i="1"/>
  <c r="P34" i="1"/>
  <c r="Q34" i="1"/>
  <c r="O34" i="1"/>
  <c r="R34" i="1"/>
  <c r="P24" i="1"/>
  <c r="O24" i="1"/>
  <c r="R24" i="1"/>
  <c r="Q24" i="1"/>
  <c r="Q14" i="1"/>
  <c r="P14" i="1"/>
  <c r="O14" i="1"/>
  <c r="R14" i="1"/>
  <c r="Q25" i="1"/>
  <c r="R25" i="1"/>
  <c r="O25" i="1"/>
  <c r="P25" i="1"/>
  <c r="Q85" i="1"/>
  <c r="R85" i="1"/>
  <c r="P85" i="1"/>
  <c r="O85" i="1"/>
  <c r="P29" i="1"/>
  <c r="O29" i="1"/>
  <c r="Q29" i="1"/>
  <c r="R29" i="1"/>
  <c r="R44" i="1"/>
  <c r="P44" i="1"/>
  <c r="Q44" i="1"/>
  <c r="O44" i="1"/>
  <c r="P9" i="1"/>
  <c r="O9" i="1"/>
  <c r="R9" i="1"/>
  <c r="Q9" i="1"/>
  <c r="Q63" i="1"/>
  <c r="P63" i="1"/>
  <c r="R63" i="1"/>
  <c r="O63" i="1"/>
  <c r="Q60" i="1"/>
  <c r="O60" i="1"/>
  <c r="R60" i="1"/>
  <c r="P60" i="1"/>
  <c r="O38" i="1"/>
  <c r="P38" i="1"/>
  <c r="R38" i="1"/>
  <c r="Q38" i="1"/>
  <c r="Q101" i="1"/>
  <c r="O101" i="1"/>
  <c r="P101" i="1"/>
  <c r="R101" i="1"/>
  <c r="P41" i="1"/>
  <c r="Q41" i="1"/>
  <c r="R41" i="1"/>
  <c r="O41" i="1"/>
  <c r="P77" i="1"/>
  <c r="Q77" i="1"/>
  <c r="O77" i="1"/>
  <c r="R77" i="1"/>
  <c r="O37" i="1"/>
  <c r="Q37" i="1"/>
  <c r="P37" i="1"/>
  <c r="R37" i="1"/>
  <c r="O36" i="1"/>
  <c r="R36" i="1"/>
  <c r="Q36" i="1"/>
  <c r="P36" i="1"/>
  <c r="R86" i="1"/>
  <c r="O86" i="1"/>
  <c r="P86" i="1"/>
  <c r="Q86" i="1"/>
  <c r="O18" i="1"/>
  <c r="Q18" i="1"/>
  <c r="P18" i="1"/>
  <c r="R18" i="1"/>
  <c r="P97" i="1"/>
  <c r="O97" i="1"/>
  <c r="R97" i="1"/>
  <c r="Q97" i="1"/>
  <c r="R45" i="1"/>
  <c r="Q45" i="1"/>
  <c r="P45" i="1"/>
  <c r="O45" i="1"/>
  <c r="P90" i="1"/>
  <c r="Q90" i="1"/>
  <c r="O90" i="1"/>
  <c r="R90" i="1"/>
  <c r="R102" i="1"/>
  <c r="Q102" i="1"/>
  <c r="O102" i="1"/>
  <c r="P102" i="1"/>
  <c r="O88" i="1"/>
  <c r="R88" i="1"/>
  <c r="P88" i="1"/>
  <c r="Q88" i="1"/>
  <c r="O57" i="1"/>
  <c r="Q57" i="1"/>
  <c r="R57" i="1"/>
  <c r="P57" i="1"/>
  <c r="O32" i="1"/>
  <c r="R32" i="1"/>
  <c r="Q32" i="1"/>
  <c r="P32" i="1"/>
  <c r="O5" i="1"/>
  <c r="R5" i="1"/>
  <c r="Q5" i="1"/>
  <c r="P5" i="1"/>
  <c r="P100" i="1"/>
  <c r="R100" i="1"/>
  <c r="Q100" i="1"/>
  <c r="O100" i="1"/>
  <c r="R20" i="1"/>
  <c r="Q20" i="1"/>
  <c r="P20" i="1"/>
  <c r="O20" i="1"/>
  <c r="P99" i="1"/>
  <c r="O99" i="1"/>
  <c r="R99" i="1"/>
  <c r="Q99" i="1"/>
  <c r="R40" i="1"/>
  <c r="O40" i="1"/>
  <c r="P40" i="1"/>
  <c r="Q40" i="1"/>
  <c r="Q112" i="1"/>
  <c r="R112" i="1"/>
  <c r="P112" i="1"/>
  <c r="O112" i="1"/>
  <c r="O91" i="1"/>
  <c r="P91" i="1"/>
  <c r="R91" i="1"/>
  <c r="Q91" i="1"/>
  <c r="P50" i="1"/>
  <c r="R50" i="1"/>
  <c r="O50" i="1"/>
  <c r="Q50" i="1"/>
  <c r="O7" i="1"/>
  <c r="Q7" i="1"/>
  <c r="P7" i="1"/>
  <c r="R7" i="1"/>
  <c r="R52" i="1"/>
  <c r="O52" i="1"/>
  <c r="P52" i="1"/>
  <c r="Q52" i="1"/>
  <c r="P109" i="1"/>
  <c r="O109" i="1"/>
  <c r="R109" i="1"/>
  <c r="Q109" i="1"/>
  <c r="Q22" i="1"/>
  <c r="P22" i="1"/>
  <c r="R22" i="1"/>
  <c r="O22" i="1"/>
  <c r="P47" i="1"/>
  <c r="Q47" i="1"/>
  <c r="R47" i="1"/>
  <c r="O47" i="1"/>
  <c r="O79" i="1"/>
  <c r="Q79" i="1"/>
  <c r="R79" i="1"/>
  <c r="P79" i="1"/>
  <c r="P61" i="1"/>
  <c r="O61" i="1"/>
  <c r="R61" i="1"/>
  <c r="Q61" i="1"/>
  <c r="O19" i="1"/>
  <c r="P19" i="1"/>
  <c r="R19" i="1"/>
  <c r="Q19" i="1"/>
  <c r="O103" i="1"/>
  <c r="P103" i="1"/>
  <c r="Q103" i="1"/>
  <c r="R103" i="1"/>
  <c r="O4" i="1"/>
  <c r="R4" i="1"/>
  <c r="P4" i="1"/>
  <c r="Q4" i="1"/>
  <c r="R72" i="1"/>
  <c r="Q72" i="1"/>
  <c r="P72" i="1"/>
  <c r="O72" i="1"/>
  <c r="P21" i="1"/>
  <c r="Q21" i="1"/>
  <c r="O21" i="1"/>
  <c r="R21" i="1"/>
  <c r="O64" i="1"/>
  <c r="Q64" i="1"/>
  <c r="P64" i="1"/>
  <c r="R64" i="1"/>
  <c r="R67" i="1"/>
  <c r="O67" i="1"/>
  <c r="P67" i="1"/>
  <c r="Q67" i="1"/>
  <c r="Q111" i="1"/>
  <c r="O111" i="1"/>
  <c r="R111" i="1"/>
  <c r="P111" i="1"/>
  <c r="O23" i="1"/>
  <c r="Q23" i="1"/>
  <c r="R23" i="1"/>
  <c r="P23" i="1"/>
  <c r="R98" i="1"/>
  <c r="O98" i="1"/>
  <c r="Q98" i="1"/>
  <c r="P98" i="1"/>
  <c r="R12" i="1"/>
  <c r="O12" i="1"/>
  <c r="Q12" i="1"/>
  <c r="P12" i="1"/>
  <c r="P59" i="1"/>
  <c r="O59" i="1"/>
  <c r="Q59" i="1"/>
  <c r="R59" i="1"/>
  <c r="O28" i="1"/>
  <c r="P28" i="1"/>
  <c r="R28" i="1"/>
  <c r="Q28" i="1"/>
  <c r="O84" i="1"/>
  <c r="Q84" i="1"/>
  <c r="R84" i="1"/>
  <c r="P84" i="1"/>
  <c r="Q8" i="1"/>
  <c r="P8" i="1"/>
  <c r="O8" i="1"/>
  <c r="R8" i="1"/>
  <c r="O83" i="1"/>
  <c r="Q83" i="1"/>
  <c r="P83" i="1"/>
  <c r="R83" i="1"/>
  <c r="Q42" i="1"/>
  <c r="P42" i="1"/>
  <c r="O42" i="1"/>
  <c r="R42" i="1"/>
  <c r="O70" i="1"/>
  <c r="R70" i="1"/>
  <c r="P70" i="1"/>
  <c r="Q70" i="1"/>
  <c r="R30" i="1"/>
  <c r="Q30" i="1"/>
  <c r="O30" i="1"/>
  <c r="P30" i="1"/>
  <c r="P27" i="1"/>
  <c r="O27" i="1"/>
  <c r="R27" i="1"/>
  <c r="Q27" i="1"/>
  <c r="Q104" i="1"/>
  <c r="O104" i="1"/>
  <c r="P104" i="1"/>
  <c r="R104" i="1"/>
  <c r="O39" i="1"/>
  <c r="P39" i="1"/>
  <c r="R39" i="1"/>
  <c r="Q39" i="1"/>
  <c r="O3" i="1"/>
  <c r="P3" i="1"/>
  <c r="Q3" i="1"/>
  <c r="R3" i="1"/>
  <c r="R43" i="1"/>
  <c r="Q43" i="1"/>
  <c r="P43" i="1"/>
  <c r="O43" i="1"/>
  <c r="P87" i="1"/>
  <c r="Q87" i="1"/>
  <c r="R87" i="1"/>
  <c r="O87" i="1"/>
  <c r="Q65" i="1"/>
  <c r="O65" i="1"/>
  <c r="R65" i="1"/>
  <c r="P65" i="1"/>
  <c r="R2" i="1"/>
  <c r="Q2" i="1"/>
  <c r="P2" i="1"/>
  <c r="O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CEECED1C-7F14-4238-BC80-53BF7A870A2C}">
      <text>
        <r>
          <rPr>
            <sz val="9"/>
            <color indexed="81"/>
            <rFont val="Tahoma"/>
            <family val="2"/>
          </rPr>
          <t xml:space="preserve">1: Đợt 1
2: Đợt bổ sung
</t>
        </r>
      </text>
    </comment>
    <comment ref="D2" authorId="0" shapeId="0" xr:uid="{28246C9B-DE7F-44F9-8779-3CA9A7EC9399}">
      <text>
        <r>
          <rPr>
            <sz val="9"/>
            <color indexed="81"/>
            <rFont val="Tahoma"/>
            <family val="2"/>
          </rPr>
          <t>Nhập mã PTXT của trường</t>
        </r>
      </text>
    </comment>
    <comment ref="E2" authorId="0" shapeId="0" xr:uid="{FB0F6BC5-E3AB-4654-9947-EE2AF5A7F708}">
      <text>
        <r>
          <rPr>
            <sz val="9"/>
            <color indexed="81"/>
            <rFont val="Tahoma"/>
            <family val="2"/>
          </rPr>
          <t>PTXT xem ở sheet "Danh mục PTXT"</t>
        </r>
      </text>
    </comment>
    <comment ref="I2" authorId="0" shapeId="0" xr:uid="{2FD046AB-CAFF-41CD-9F87-994AECB7CA7E}">
      <text>
        <r>
          <rPr>
            <b/>
            <sz val="8"/>
            <color indexed="81"/>
            <rFont val="Tahoma"/>
            <family val="2"/>
            <charset val="163"/>
          </rPr>
          <t>phucpd11:</t>
        </r>
        <r>
          <rPr>
            <sz val="8"/>
            <color indexed="81"/>
            <rFont val="Tahoma"/>
            <family val="2"/>
            <charset val="163"/>
          </rPr>
          <t xml:space="preserve">
Ngày sinh nhập theo định dạng dd/MM/yyyy. Ví dụ: 20/10/1999</t>
        </r>
      </text>
    </comment>
    <comment ref="J2" authorId="0" shapeId="0" xr:uid="{E19588F1-257E-4748-B2A0-5962C70A348B}">
      <text>
        <r>
          <rPr>
            <b/>
            <sz val="8"/>
            <color indexed="81"/>
            <rFont val="Tahoma"/>
            <family val="2"/>
            <charset val="163"/>
          </rPr>
          <t>phucpd11:</t>
        </r>
        <r>
          <rPr>
            <sz val="8"/>
            <color indexed="81"/>
            <rFont val="Tahoma"/>
            <family val="2"/>
            <charset val="163"/>
          </rPr>
          <t xml:space="preserve">
Chỉ được nhập giới tính: Nam hoặc Nữ</t>
        </r>
      </text>
    </comment>
    <comment ref="P2" authorId="0" shapeId="0" xr:uid="{85CA7E32-552E-4AE2-9EB2-ACE93FFBA6EA}">
      <text>
        <r>
          <rPr>
            <b/>
            <sz val="8"/>
            <color indexed="81"/>
            <rFont val="Tahoma"/>
            <family val="2"/>
            <charset val="163"/>
          </rPr>
          <t>phucpd11:</t>
        </r>
        <r>
          <rPr>
            <sz val="8"/>
            <color indexed="81"/>
            <rFont val="Tahoma"/>
            <family val="2"/>
            <charset val="163"/>
          </rPr>
          <t xml:space="preserve">
- 1: Khu vực 1
- 2NT: Khu vực 2NT
- 2: Khu vực 2
- 3: Khu vực 3</t>
        </r>
      </text>
    </comment>
    <comment ref="AC2" authorId="0" shapeId="0" xr:uid="{CA6BC2C4-E51C-4037-B01A-A6B8B015A307}">
      <text>
        <r>
          <rPr>
            <b/>
            <sz val="8"/>
            <color indexed="81"/>
            <rFont val="Tahoma"/>
            <family val="2"/>
            <charset val="163"/>
          </rPr>
          <t>phucpd11:</t>
        </r>
        <r>
          <rPr>
            <sz val="8"/>
            <color indexed="81"/>
            <rFont val="Tahoma"/>
            <family val="2"/>
            <charset val="163"/>
          </rPr>
          <t xml:space="preserve">
Thang điểm bao gồm: 30, 40, 50, ...</t>
        </r>
      </text>
    </comment>
    <comment ref="AG2" authorId="0" shapeId="0" xr:uid="{4B8E90F6-E17B-4834-98A9-4AE2F4FFB126}">
      <text>
        <r>
          <rPr>
            <b/>
            <sz val="9"/>
            <color indexed="81"/>
            <rFont val="Tahoma"/>
            <family val="2"/>
          </rPr>
          <t xml:space="preserve">T - Tốt
K - Khá
Đ - Đạt
CĐ - Chưa đạt
G - Giỏi
TB - Trung bình
Y - Yếu
KE- Kém
</t>
        </r>
      </text>
    </comment>
    <comment ref="AH2" authorId="0" shapeId="0" xr:uid="{FEB6B90C-9C8F-45EE-98DA-C52CB27FFDB1}">
      <text>
        <r>
          <rPr>
            <b/>
            <sz val="9"/>
            <color indexed="81"/>
            <rFont val="Tahoma"/>
            <family val="2"/>
          </rPr>
          <t>T - Tốt
K - Khá
Đ - Đạt
CĐ - Chưa đạt
TB - Trung bình
Y - Yếu</t>
        </r>
      </text>
    </comment>
    <comment ref="AI2" authorId="0" shapeId="0" xr:uid="{C8830E9B-FEFE-4060-A6B9-2AEF42CC3EFE}">
      <text>
        <r>
          <rPr>
            <b/>
            <sz val="9"/>
            <color indexed="81"/>
            <rFont val="Tahoma"/>
            <family val="2"/>
          </rPr>
          <t>- Nhập giá trị từ 1 đến 12</t>
        </r>
      </text>
    </comment>
    <comment ref="AJ2" authorId="0" shapeId="0" xr:uid="{9598C564-BF27-441D-BB7D-5D0777E847A7}">
      <text>
        <r>
          <rPr>
            <sz val="9"/>
            <color indexed="81"/>
            <rFont val="Tahoma"/>
            <family val="2"/>
          </rPr>
          <t xml:space="preserve">1 – Chính quy
2 – Liên thông chính quy 3 – Văn bằng 2
4 – Dự bị
5 – 3 Tây
6 – Khác
 </t>
        </r>
      </text>
    </comment>
  </commentList>
</comments>
</file>

<file path=xl/sharedStrings.xml><?xml version="1.0" encoding="utf-8"?>
<sst xmlns="http://schemas.openxmlformats.org/spreadsheetml/2006/main" count="13955" uniqueCount="3864">
  <si>
    <t>STT</t>
  </si>
  <si>
    <t>CCCD</t>
  </si>
  <si>
    <t>Mã ĐKXT</t>
  </si>
  <si>
    <t>Ngày sinh</t>
  </si>
  <si>
    <t>Giới tính</t>
  </si>
  <si>
    <t>Dân tộc</t>
  </si>
  <si>
    <t>Email SV</t>
  </si>
  <si>
    <t>MSSV</t>
  </si>
  <si>
    <t>Mật khẩu Online</t>
  </si>
  <si>
    <t>Email UEH</t>
  </si>
  <si>
    <t>Mật khẩu Email</t>
  </si>
  <si>
    <t>Tổng điểm</t>
  </si>
  <si>
    <t>ĐTC0 PT1</t>
  </si>
  <si>
    <t>ĐTC0 PT2</t>
  </si>
  <si>
    <t>Loại CCQT UID</t>
  </si>
  <si>
    <t>Số điểm CCQT</t>
  </si>
  <si>
    <t>Ngày thi CCQT</t>
  </si>
  <si>
    <t>Ngày thi CCQT Mới</t>
  </si>
  <si>
    <t>ĐTB Lớp 10</t>
  </si>
  <si>
    <t>ĐTB Lớp 11</t>
  </si>
  <si>
    <t>ĐTB Lớp 12</t>
  </si>
  <si>
    <t>096307008480</t>
  </si>
  <si>
    <t>096208012431</t>
  </si>
  <si>
    <t>096205010696</t>
  </si>
  <si>
    <t>095308007499</t>
  </si>
  <si>
    <t>095308002044</t>
  </si>
  <si>
    <t>095307002559</t>
  </si>
  <si>
    <t>095208003828</t>
  </si>
  <si>
    <t>095208002435</t>
  </si>
  <si>
    <t>094308011074</t>
  </si>
  <si>
    <t>093308002669</t>
  </si>
  <si>
    <t>093208003708</t>
  </si>
  <si>
    <t>092308009465</t>
  </si>
  <si>
    <t>092308001070</t>
  </si>
  <si>
    <t>092308000202</t>
  </si>
  <si>
    <t>092208010072</t>
  </si>
  <si>
    <t>092208001825</t>
  </si>
  <si>
    <t>091308014159</t>
  </si>
  <si>
    <t>091308007131</t>
  </si>
  <si>
    <t>091208001550</t>
  </si>
  <si>
    <t>091207004070</t>
  </si>
  <si>
    <t>089308016620</t>
  </si>
  <si>
    <t>089308015401</t>
  </si>
  <si>
    <t>089308011621</t>
  </si>
  <si>
    <t>089308010311</t>
  </si>
  <si>
    <t>089308002708</t>
  </si>
  <si>
    <t>089308002325</t>
  </si>
  <si>
    <t>089308000129</t>
  </si>
  <si>
    <t>089208022494</t>
  </si>
  <si>
    <t>087308013713</t>
  </si>
  <si>
    <t>087308009654</t>
  </si>
  <si>
    <t>087308004738</t>
  </si>
  <si>
    <t>087308004435</t>
  </si>
  <si>
    <t>087208010723</t>
  </si>
  <si>
    <t>087208000775</t>
  </si>
  <si>
    <t>086308010041</t>
  </si>
  <si>
    <t>086308009238</t>
  </si>
  <si>
    <t>086308007620</t>
  </si>
  <si>
    <t>086308006995</t>
  </si>
  <si>
    <t>086308006658</t>
  </si>
  <si>
    <t>086308005441</t>
  </si>
  <si>
    <t>086308004540</t>
  </si>
  <si>
    <t>086308004288</t>
  </si>
  <si>
    <t>086308000630</t>
  </si>
  <si>
    <t>086307005884</t>
  </si>
  <si>
    <t>086208011841</t>
  </si>
  <si>
    <t>086208009865</t>
  </si>
  <si>
    <t>086208007331</t>
  </si>
  <si>
    <t>086208005701</t>
  </si>
  <si>
    <t>086208004243</t>
  </si>
  <si>
    <t>086208001876</t>
  </si>
  <si>
    <t>086208001080</t>
  </si>
  <si>
    <t>086208000490</t>
  </si>
  <si>
    <t>084308006597</t>
  </si>
  <si>
    <t>084308005383</t>
  </si>
  <si>
    <t>084308001622</t>
  </si>
  <si>
    <t>083308010613</t>
  </si>
  <si>
    <t>083308010347</t>
  </si>
  <si>
    <t>083308004568</t>
  </si>
  <si>
    <t>083308003866</t>
  </si>
  <si>
    <t>083308001940</t>
  </si>
  <si>
    <t>083208009377</t>
  </si>
  <si>
    <t>083208000690</t>
  </si>
  <si>
    <t>082308013726</t>
  </si>
  <si>
    <t>082308006662</t>
  </si>
  <si>
    <t>082308003110</t>
  </si>
  <si>
    <t>082307008212</t>
  </si>
  <si>
    <t>082208016209</t>
  </si>
  <si>
    <t>082208007608</t>
  </si>
  <si>
    <t>082208000404</t>
  </si>
  <si>
    <t>080308013680</t>
  </si>
  <si>
    <t>080308005425</t>
  </si>
  <si>
    <t>080308005311</t>
  </si>
  <si>
    <t>080308001683</t>
  </si>
  <si>
    <t>079308045991</t>
  </si>
  <si>
    <t>079308035195</t>
  </si>
  <si>
    <t>079308028343</t>
  </si>
  <si>
    <t>079308009276</t>
  </si>
  <si>
    <t>077308001983</t>
  </si>
  <si>
    <t>077208001964</t>
  </si>
  <si>
    <t>075308023084</t>
  </si>
  <si>
    <t>075308018302</t>
  </si>
  <si>
    <t>068308007047</t>
  </si>
  <si>
    <t>068208012324</t>
  </si>
  <si>
    <t>068208007545</t>
  </si>
  <si>
    <t>068208002791</t>
  </si>
  <si>
    <t>067308001789</t>
  </si>
  <si>
    <t>066308009933</t>
  </si>
  <si>
    <t>066208003927</t>
  </si>
  <si>
    <t>066208001338</t>
  </si>
  <si>
    <t>060308009190</t>
  </si>
  <si>
    <t>058307004501</t>
  </si>
  <si>
    <t>046206005798</t>
  </si>
  <si>
    <t>042307010416</t>
  </si>
  <si>
    <t>038308013704</t>
  </si>
  <si>
    <t>038307007810</t>
  </si>
  <si>
    <t>037308003748</t>
  </si>
  <si>
    <t>034308005716</t>
  </si>
  <si>
    <t>033308007672</t>
  </si>
  <si>
    <t>025308012169</t>
  </si>
  <si>
    <t>008308006425</t>
  </si>
  <si>
    <t>Mã hồ sơ</t>
  </si>
  <si>
    <t>STT Hồ sơ</t>
  </si>
  <si>
    <t>Họ và tên</t>
  </si>
  <si>
    <t>giới tính</t>
  </si>
  <si>
    <t>Email</t>
  </si>
  <si>
    <t>Điện thoại</t>
  </si>
  <si>
    <t>Hộ Khẩu</t>
  </si>
  <si>
    <t>Khu vực</t>
  </si>
  <si>
    <t>Mã đối tượng</t>
  </si>
  <si>
    <t>Tên đối tượng</t>
  </si>
  <si>
    <t>Tổ hợp xét tuyển</t>
  </si>
  <si>
    <t>Năm tốt nghiệp THPT</t>
  </si>
  <si>
    <t>SBD Thi THPT</t>
  </si>
  <si>
    <t>Môn đạt giải</t>
  </si>
  <si>
    <t>Năm đạt giải</t>
  </si>
  <si>
    <t>Xếp hạng</t>
  </si>
  <si>
    <t>SBD ĐGNL Đ1</t>
  </si>
  <si>
    <t>Mã Hồ sơ ĐGNL Đ1</t>
  </si>
  <si>
    <t>Điểm thi ĐGNL Đ1</t>
  </si>
  <si>
    <t>SBD ĐGNL Đ2</t>
  </si>
  <si>
    <t>Mã Hồ sơ ĐGNL Đ2</t>
  </si>
  <si>
    <t>Điểm thi ĐGNL Đ2</t>
  </si>
  <si>
    <t>Chứng chỉ QT</t>
  </si>
  <si>
    <t>Ngày thi CTQT</t>
  </si>
  <si>
    <t>Khoản điểm</t>
  </si>
  <si>
    <t>TestReportForm</t>
  </si>
  <si>
    <t>File chứng nhận CCTA</t>
  </si>
  <si>
    <t>Mã tỉnh L10</t>
  </si>
  <si>
    <t>Mã trường L10</t>
  </si>
  <si>
    <t>Tên trường L10</t>
  </si>
  <si>
    <t>Mã tỉnh L11</t>
  </si>
  <si>
    <t>Mã trường L11</t>
  </si>
  <si>
    <t>Tên trường L11</t>
  </si>
  <si>
    <t>Mã tỉnh L12</t>
  </si>
  <si>
    <t>Mã trường L12</t>
  </si>
  <si>
    <t>Tên trường L12</t>
  </si>
  <si>
    <t>Chương trình GDPT</t>
  </si>
  <si>
    <t>Học lực lớp 12</t>
  </si>
  <si>
    <t>Điểm xét tốt nghiệp</t>
  </si>
  <si>
    <t>ĐTB lớp 10</t>
  </si>
  <si>
    <t>ĐTB lớp 11</t>
  </si>
  <si>
    <t>ĐTB lớp 12</t>
  </si>
  <si>
    <t>PT ĐGNL ĐHQG</t>
  </si>
  <si>
    <t>PT học tập Tốt</t>
  </si>
  <si>
    <t>Mã ngành NV1</t>
  </si>
  <si>
    <t>Tên ngành NV1</t>
  </si>
  <si>
    <t>Mã ngành NV2</t>
  </si>
  <si>
    <t>Tên ngành NV2</t>
  </si>
  <si>
    <t>Mã ngành NV3</t>
  </si>
  <si>
    <t>Tên ngành NV3</t>
  </si>
  <si>
    <t>Người kiểm dò</t>
  </si>
  <si>
    <t>Trạng Thái</t>
  </si>
  <si>
    <t>Ghi chú</t>
  </si>
  <si>
    <t>PTXT</t>
  </si>
  <si>
    <t>THXTVSAT</t>
  </si>
  <si>
    <t>MaDotThiVSAT</t>
  </si>
  <si>
    <t>DiemMon1VSAT</t>
  </si>
  <si>
    <t>DiemMon2VSAT</t>
  </si>
  <si>
    <t>DiemMon3VSAT</t>
  </si>
  <si>
    <t>DiemBaMonVSAT</t>
  </si>
  <si>
    <t>PT điểm thi THPT</t>
  </si>
  <si>
    <t>PT điểm thi V-SAT</t>
  </si>
  <si>
    <t>Tệp KQ thi THPT</t>
  </si>
  <si>
    <t>Tệp KQ thi ĐGNL</t>
  </si>
  <si>
    <t>Tệp KQ thi V-SAT</t>
  </si>
  <si>
    <t>Lớp 10 - Toán</t>
  </si>
  <si>
    <t>Lớp 10 - Ngữ văn</t>
  </si>
  <si>
    <t>Lớp 10 - Ngoại ngữ 1 (Tiếng Anh)</t>
  </si>
  <si>
    <t>Lớp 10 - Giáo dục quốc phòng và An ninh</t>
  </si>
  <si>
    <t>Lớp 10 - Lịch sử</t>
  </si>
  <si>
    <t>Lớp 10 - Giáo dục kinh tế và pháp luật</t>
  </si>
  <si>
    <t>Lớp 10 - Địa lí</t>
  </si>
  <si>
    <t>Lớp 10 - Vật lí</t>
  </si>
  <si>
    <t>Lớp 10 - Hóa học</t>
  </si>
  <si>
    <t>Lớp 10 - Sinh học</t>
  </si>
  <si>
    <t>Lớp 10 - Công nghệ</t>
  </si>
  <si>
    <t>Lớp 10 - Tin học</t>
  </si>
  <si>
    <t>Lớp 10 - Nghệ thuật</t>
  </si>
  <si>
    <t>Lớp 10 - Giáo dục công dân</t>
  </si>
  <si>
    <t>Lớp 10 - Tiếng Nga</t>
  </si>
  <si>
    <t>Lớp 10 - Tiếng Pháp</t>
  </si>
  <si>
    <t>Lớp 10 - Tiếng Trung</t>
  </si>
  <si>
    <t>Lớp 10 - Tiếng Đức</t>
  </si>
  <si>
    <t>Lớp 10 - Tiếng Nhật</t>
  </si>
  <si>
    <t>Lớp 10 - Tiếng Hàn</t>
  </si>
  <si>
    <t>Lớp 10 - Tiếng Dân tộc</t>
  </si>
  <si>
    <t>Lớp 11 - Toán</t>
  </si>
  <si>
    <t>Lớp 11 - Ngữ văn</t>
  </si>
  <si>
    <t>Lớp 11 - Ngoại ngữ 1 (Tiếng Anh)</t>
  </si>
  <si>
    <t>Lớp 11 - Giáo dục quốc phòng và An ninh</t>
  </si>
  <si>
    <t>Lớp 11 - Lịch sử</t>
  </si>
  <si>
    <t>Lớp 11 - Giáo dục kinh tế và pháp luật</t>
  </si>
  <si>
    <t>Lớp 11 - Địa lí</t>
  </si>
  <si>
    <t>Lớp 11 - Vật lí</t>
  </si>
  <si>
    <t>Lớp 11 - Hóa học</t>
  </si>
  <si>
    <t>Lớp 11 - Sinh học</t>
  </si>
  <si>
    <t>Lớp 11 - Công nghệ</t>
  </si>
  <si>
    <t>Lớp 11 - Tin học</t>
  </si>
  <si>
    <t>Lớp 11 - Nghệ thuật</t>
  </si>
  <si>
    <t>Lớp 11 - Giáo dục công dân</t>
  </si>
  <si>
    <t>Lớp 11 - Tiếng Nga</t>
  </si>
  <si>
    <t>Lớp 11 - Tiếng Pháp</t>
  </si>
  <si>
    <t>Lớp 11 - Tiếng Trung</t>
  </si>
  <si>
    <t>Lớp 11 - Tiếng Đức</t>
  </si>
  <si>
    <t>Lớp 11 - Tiếng Nhật</t>
  </si>
  <si>
    <t>Lớp 11 - Tiếng Hàn</t>
  </si>
  <si>
    <t>Lớp 11 - Tiếng Dân tộc</t>
  </si>
  <si>
    <t>Lớp 12 - Toán</t>
  </si>
  <si>
    <t>Lớp 12 - Ngữ văn</t>
  </si>
  <si>
    <t>Lớp 12 - Ngoại ngữ 1 (Tiếng Anh)</t>
  </si>
  <si>
    <t>Lớp 12 - Giáo dục quốc phòng và An ninh</t>
  </si>
  <si>
    <t>Lớp 12 - Lịch sử</t>
  </si>
  <si>
    <t>Lớp 12 - Giáo dục kinh tế và pháp luật</t>
  </si>
  <si>
    <t>Lớp 12 - Địa lí</t>
  </si>
  <si>
    <t>Lớp 12 - Vật lí</t>
  </si>
  <si>
    <t>Lớp 12 - Hóa học</t>
  </si>
  <si>
    <t>Lớp 12 - Sinh học</t>
  </si>
  <si>
    <t>Lớp 12 - Công nghệ</t>
  </si>
  <si>
    <t>Lớp 12 - Tin học</t>
  </si>
  <si>
    <t>Lớp 12 - Nghệ thuật</t>
  </si>
  <si>
    <t>Lớp 12 - Giáo dục công dân</t>
  </si>
  <si>
    <t>Lớp 12 - Tiếng Nga</t>
  </si>
  <si>
    <t>Lớp 12 - Tiếng Pháp</t>
  </si>
  <si>
    <t>Lớp 12 - Tiếng Trung</t>
  </si>
  <si>
    <t>Lớp 12 - Tiếng Đức</t>
  </si>
  <si>
    <t>Lớp 12 - Tiếng Nhật</t>
  </si>
  <si>
    <t>Lớp 12 - Tiếng Hàn</t>
  </si>
  <si>
    <t>Lớp 12 - Tiếng Dân tộc</t>
  </si>
  <si>
    <t>THPT - Toán</t>
  </si>
  <si>
    <t>THPT - Ngữ văn</t>
  </si>
  <si>
    <t>THPT - Ngoại ngữ 1 (Tiếng Anh)</t>
  </si>
  <si>
    <t>THPT - Giáo dục quốc phòng và An ninh</t>
  </si>
  <si>
    <t>THPT - Lịch sử</t>
  </si>
  <si>
    <t>THPT - Giáo dục kinh tế và pháp luật</t>
  </si>
  <si>
    <t>THPT - Địa lí</t>
  </si>
  <si>
    <t>THPT - Vật lí</t>
  </si>
  <si>
    <t>THPT - Hóa học</t>
  </si>
  <si>
    <t>THPT - Sinh học</t>
  </si>
  <si>
    <t>THPT - Công nghệ</t>
  </si>
  <si>
    <t>THPT - Tin học</t>
  </si>
  <si>
    <t>THPT - Nghệ thuật</t>
  </si>
  <si>
    <t>THPT - Giáo dục công dân</t>
  </si>
  <si>
    <t>THPT - Tiếng Nga</t>
  </si>
  <si>
    <t>THPT - Tiếng Pháp</t>
  </si>
  <si>
    <t>THPT - Tiếng Trung</t>
  </si>
  <si>
    <t>THPT - Tiếng Đức</t>
  </si>
  <si>
    <t>THPT - Tiếng Nhật</t>
  </si>
  <si>
    <t>THPT - Tiếng Hàn</t>
  </si>
  <si>
    <t>V-SAT - Toán</t>
  </si>
  <si>
    <t>V-SAT - Ngữ văn</t>
  </si>
  <si>
    <t>V-SAT - Ngoại ngữ 1 (Tiếng Anh)</t>
  </si>
  <si>
    <t>V-SAT - Lịch sử</t>
  </si>
  <si>
    <t>V-SAT - Địa lí</t>
  </si>
  <si>
    <t>V-SAT - Vật lí</t>
  </si>
  <si>
    <t>V-SAT - Hóa học</t>
  </si>
  <si>
    <t>V-SAT - Sinh học</t>
  </si>
  <si>
    <t>KSVBS2609179</t>
  </si>
  <si>
    <t>1</t>
  </si>
  <si>
    <t>NGUYỄN BÌNH TEST</t>
  </si>
  <si>
    <t>0</t>
  </si>
  <si>
    <t>15/03/2008</t>
  </si>
  <si>
    <t>ntbinh82@gmail.com</t>
  </si>
  <si>
    <t>0918310123</t>
  </si>
  <si>
    <t>086082000517</t>
  </si>
  <si>
    <t>180/17, Ba Cu, Tổ 6, Khu phố 4</t>
  </si>
  <si>
    <t>KV3</t>
  </si>
  <si>
    <t>Không có</t>
  </si>
  <si>
    <t>Kinh</t>
  </si>
  <si>
    <t>2026</t>
  </si>
  <si>
    <t>37000970</t>
  </si>
  <si>
    <t>800009</t>
  </si>
  <si>
    <t>D25751246</t>
  </si>
  <si>
    <t>600.00</t>
  </si>
  <si>
    <t>0.00</t>
  </si>
  <si>
    <t>ChungChiTA_1_086082000517.jpg</t>
  </si>
  <si>
    <t>01N</t>
  </si>
  <si>
    <t>066</t>
  </si>
  <si>
    <t>THPT Phan Đình Phùng</t>
  </si>
  <si>
    <t>GDPT2018</t>
  </si>
  <si>
    <t>Đạt</t>
  </si>
  <si>
    <t>8.76</t>
  </si>
  <si>
    <t>8.51</t>
  </si>
  <si>
    <t>8.80</t>
  </si>
  <si>
    <t>8.95</t>
  </si>
  <si>
    <t>True</t>
  </si>
  <si>
    <t>7340101</t>
  </si>
  <si>
    <t>Quản trị</t>
  </si>
  <si>
    <t>7340120</t>
  </si>
  <si>
    <t>Kinh doanh quốc tế</t>
  </si>
  <si>
    <t>7340115</t>
  </si>
  <si>
    <t>Marketing</t>
  </si>
  <si>
    <t>quynhlx</t>
  </si>
  <si>
    <t>Không hợp lệ</t>
  </si>
  <si>
    <t>3</t>
  </si>
  <si>
    <t>KQTHPT_1_086082000517.pdf</t>
  </si>
  <si>
    <t>KQDGNL_1_086082000517.pdf</t>
  </si>
  <si>
    <t>KQVSAT_1_086082000517.pdf</t>
  </si>
  <si>
    <t>29/04/2008</t>
  </si>
  <si>
    <t>khuongnq@ueh.edu.vn</t>
  </si>
  <si>
    <t>0329442543</t>
  </si>
  <si>
    <t>KV2-NT</t>
  </si>
  <si>
    <t>05a</t>
  </si>
  <si>
    <t>87N</t>
  </si>
  <si>
    <t>320</t>
  </si>
  <si>
    <t>THPT Lấp Vò 2</t>
  </si>
  <si>
    <t>8.75</t>
  </si>
  <si>
    <t>8.27</t>
  </si>
  <si>
    <t>8.73</t>
  </si>
  <si>
    <t>9.27</t>
  </si>
  <si>
    <t>7380107</t>
  </si>
  <si>
    <t>Luật kinh tế</t>
  </si>
  <si>
    <t>7220201</t>
  </si>
  <si>
    <t>Tiếng Anh thương mại</t>
  </si>
  <si>
    <t>03/01/2008</t>
  </si>
  <si>
    <t>KSVBS2630964</t>
  </si>
  <si>
    <t>9</t>
  </si>
  <si>
    <t>HUỲNH THỊ THANH NGÂN</t>
  </si>
  <si>
    <t>21/10/2008</t>
  </si>
  <si>
    <t>nganhuynh.589514@gmail.com</t>
  </si>
  <si>
    <t>0776806873</t>
  </si>
  <si>
    <t>ấp 5, xã Long Hưng, tỉnh Đồng Tháp</t>
  </si>
  <si>
    <t>82027055</t>
  </si>
  <si>
    <t>470194</t>
  </si>
  <si>
    <t>D26254142</t>
  </si>
  <si>
    <t>606.00</t>
  </si>
  <si>
    <t>626</t>
  </si>
  <si>
    <t>THPT Tân Hiệp</t>
  </si>
  <si>
    <t>Tốt</t>
  </si>
  <si>
    <t>7340301</t>
  </si>
  <si>
    <t>Kế toán doanh nghiệp</t>
  </si>
  <si>
    <t>7340201_2</t>
  </si>
  <si>
    <t>Tài chính</t>
  </si>
  <si>
    <t>Đã được tiếp nhận</t>
  </si>
  <si>
    <t>False</t>
  </si>
  <si>
    <t>KQTHPT_4_082308003110.pdf</t>
  </si>
  <si>
    <t>KQDGNL_4_082308003110.pdf</t>
  </si>
  <si>
    <t>KSVBS2648890</t>
  </si>
  <si>
    <t>17</t>
  </si>
  <si>
    <t>TRẦN THỊ HẢI HÀ</t>
  </si>
  <si>
    <t>18/03/2008</t>
  </si>
  <si>
    <t>tranthihaiha2008@gmail.com</t>
  </si>
  <si>
    <t>0943853915</t>
  </si>
  <si>
    <t>Thôn 1</t>
  </si>
  <si>
    <t>68017743</t>
  </si>
  <si>
    <t>68N</t>
  </si>
  <si>
    <t>201</t>
  </si>
  <si>
    <t>THPT Cát Tiên (2023)</t>
  </si>
  <si>
    <t>8.46</t>
  </si>
  <si>
    <t>8.70</t>
  </si>
  <si>
    <t>8.56</t>
  </si>
  <si>
    <t>8.94</t>
  </si>
  <si>
    <t>7620114</t>
  </si>
  <si>
    <t>Kinh doanh nông nghiệp</t>
  </si>
  <si>
    <t>KQTHPT_5_068308007047.pdf</t>
  </si>
  <si>
    <t>KSVBS2643351</t>
  </si>
  <si>
    <t>2</t>
  </si>
  <si>
    <t>LÊ BÙI QUỐC KHÁNH</t>
  </si>
  <si>
    <t>02/09/2008</t>
  </si>
  <si>
    <t>quockhanh8827@gmail.com</t>
  </si>
  <si>
    <t>0765003017</t>
  </si>
  <si>
    <t>Số 31 Quốc Lộ 61 Ấp Láng Hầm, Xã Thạnh Xuân, Thành Phố Cần Thơ</t>
  </si>
  <si>
    <t>92017328</t>
  </si>
  <si>
    <t>92N</t>
  </si>
  <si>
    <t>389</t>
  </si>
  <si>
    <t>Trường THPT Tầm Vu (trước 01/7/2025)</t>
  </si>
  <si>
    <t>116</t>
  </si>
  <si>
    <t>Trường THPT Tầm Vu</t>
  </si>
  <si>
    <t>Khá</t>
  </si>
  <si>
    <t>7.54</t>
  </si>
  <si>
    <t>7.47</t>
  </si>
  <si>
    <t>6.80</t>
  </si>
  <si>
    <t>KQVSAT_6_093208003708.pdf</t>
  </si>
  <si>
    <t>KSVBS2632732</t>
  </si>
  <si>
    <t>34</t>
  </si>
  <si>
    <t>NGUYỄN NGỌC THẢO VI</t>
  </si>
  <si>
    <t>21/07/2008</t>
  </si>
  <si>
    <t>nnthaovi217tt@gmail.com</t>
  </si>
  <si>
    <t>0818335529</t>
  </si>
  <si>
    <t>Số Nhà 500, Tổ 18, Ấp Phú Quí, Xã Phú An, Tỉnh An Giang</t>
  </si>
  <si>
    <t>91014946</t>
  </si>
  <si>
    <t>89N</t>
  </si>
  <si>
    <t>110</t>
  </si>
  <si>
    <t>Trường THPT Chu Văn An</t>
  </si>
  <si>
    <t>8.22</t>
  </si>
  <si>
    <t>8.02</t>
  </si>
  <si>
    <t>8.41</t>
  </si>
  <si>
    <t>Trường điều chỉnh học lực từ Giỏi -&gt; Tốt theo học bạ của em</t>
  </si>
  <si>
    <t>KQTHPT_7_089308010311.pdf</t>
  </si>
  <si>
    <t>KQVSAT_7_089308010311.pdf</t>
  </si>
  <si>
    <t>KSVBS2620480</t>
  </si>
  <si>
    <t>16</t>
  </si>
  <si>
    <t>LÊ THỊ NGỌC ÁNH</t>
  </si>
  <si>
    <t>06/12/2008</t>
  </si>
  <si>
    <t>ait47748@gmail.com</t>
  </si>
  <si>
    <t>0795926478</t>
  </si>
  <si>
    <t>nhà 15/1 ấp Hòa Thuận</t>
  </si>
  <si>
    <t>86022658</t>
  </si>
  <si>
    <t>590005</t>
  </si>
  <si>
    <t>D26680896</t>
  </si>
  <si>
    <t>595.00</t>
  </si>
  <si>
    <t>86N</t>
  </si>
  <si>
    <t>414</t>
  </si>
  <si>
    <t>THPT Trần Đại Nghĩa</t>
  </si>
  <si>
    <t>8.36</t>
  </si>
  <si>
    <t>8.65</t>
  </si>
  <si>
    <t>KQTHPT_8_086308005441.pdf</t>
  </si>
  <si>
    <t>KQDGNL_8_086308005441.pdf</t>
  </si>
  <si>
    <t>KSVBS2646296</t>
  </si>
  <si>
    <t>6</t>
  </si>
  <si>
    <t>NGUYỄN THỊ KIM NGÂN</t>
  </si>
  <si>
    <t>05/09/2008</t>
  </si>
  <si>
    <t>kimngan022209@gmail.com</t>
  </si>
  <si>
    <t>0335022209</t>
  </si>
  <si>
    <t>Ấp Đông Thuận</t>
  </si>
  <si>
    <t>86004120</t>
  </si>
  <si>
    <t>090036</t>
  </si>
  <si>
    <t>D26418134</t>
  </si>
  <si>
    <t>570.00</t>
  </si>
  <si>
    <t>101</t>
  </si>
  <si>
    <t>THPT Ngô Văn Cấn</t>
  </si>
  <si>
    <t>9.07</t>
  </si>
  <si>
    <t>9.32</t>
  </si>
  <si>
    <t>9.54</t>
  </si>
  <si>
    <t>7340122</t>
  </si>
  <si>
    <t>Thương mại điện tử</t>
  </si>
  <si>
    <t xml:space="preserve">- Bổ sung học bạ THPT có dấu mộc đỏ nha e
</t>
  </si>
  <si>
    <t>KQTHPT_9_083308003866.pdf</t>
  </si>
  <si>
    <t>KQDGNL_9_083308003866.pdf</t>
  </si>
  <si>
    <t>KSVBS2636913</t>
  </si>
  <si>
    <t>28</t>
  </si>
  <si>
    <t>HỒ NGUYỄN QUỐC BÌNH</t>
  </si>
  <si>
    <t>17/12/2008</t>
  </si>
  <si>
    <t>quocbinh17122008@gmail.com</t>
  </si>
  <si>
    <t>0763307374</t>
  </si>
  <si>
    <t>206/184 đường tỉnh lộ 942 , ấp Mỹ Quí</t>
  </si>
  <si>
    <t>91013419</t>
  </si>
  <si>
    <t>614779</t>
  </si>
  <si>
    <t>D26579794</t>
  </si>
  <si>
    <t>603.00</t>
  </si>
  <si>
    <t>108</t>
  </si>
  <si>
    <t>Trường THPT Châu Văn Liêm</t>
  </si>
  <si>
    <t>7.73</t>
  </si>
  <si>
    <t>8.44</t>
  </si>
  <si>
    <t>8.63</t>
  </si>
  <si>
    <t>9.24</t>
  </si>
  <si>
    <t xml:space="preserve">Trường điều chỉnh học lực từ Giỏi =&gt; Tốt theo học bạ của em </t>
  </si>
  <si>
    <t>KQTHPT_10_089208022494.pdf</t>
  </si>
  <si>
    <t>KQDGNL_10_089208022494.pdf</t>
  </si>
  <si>
    <t>KSVBS2603131</t>
  </si>
  <si>
    <t>4</t>
  </si>
  <si>
    <t>HUỲNH BĂNG TRÂM</t>
  </si>
  <si>
    <t>23/12/2008</t>
  </si>
  <si>
    <t>huynhbangtram.hbt@gmail.com</t>
  </si>
  <si>
    <t>0846226400</t>
  </si>
  <si>
    <t>111/15, hẻm 288, Phạm Ngũ Lão, Trà Vinh</t>
  </si>
  <si>
    <t>KV1</t>
  </si>
  <si>
    <t>01</t>
  </si>
  <si>
    <t>Khơ Me</t>
  </si>
  <si>
    <t>86029154</t>
  </si>
  <si>
    <t>761</t>
  </si>
  <si>
    <t>THPT Phạm Thái Bường (Từ 04/6/2021-14/8/2024)</t>
  </si>
  <si>
    <t>760</t>
  </si>
  <si>
    <t>THPT Phạm Thái Bường (Từ 15/8/2024)</t>
  </si>
  <si>
    <t>8.48</t>
  </si>
  <si>
    <t>8.74</t>
  </si>
  <si>
    <t>9.02</t>
  </si>
  <si>
    <t>9.11</t>
  </si>
  <si>
    <t>KQTHPT_11_084308005383.pdf</t>
  </si>
  <si>
    <t>KQVSAT_11_084308005383.pdf</t>
  </si>
  <si>
    <t>KSVBS2609904</t>
  </si>
  <si>
    <t>19</t>
  </si>
  <si>
    <t>PHAN THỊ KIM CÚC</t>
  </si>
  <si>
    <t>23/08/2008</t>
  </si>
  <si>
    <t>hru891593@gmail.com</t>
  </si>
  <si>
    <t>0383170265</t>
  </si>
  <si>
    <t>số nhà 43, tổ 8, ấp phú hạ, xã phú an, tỉnh an giang</t>
  </si>
  <si>
    <t>91014485</t>
  </si>
  <si>
    <t>541825</t>
  </si>
  <si>
    <t xml:space="preserve">D26104361 </t>
  </si>
  <si>
    <t>537.00</t>
  </si>
  <si>
    <t>611602</t>
  </si>
  <si>
    <t xml:space="preserve">D264BE7JD </t>
  </si>
  <si>
    <t>573.00</t>
  </si>
  <si>
    <t>8.69</t>
  </si>
  <si>
    <t>8.59</t>
  </si>
  <si>
    <t>Trường điều chỉnh học lực Đạt =&gt; Tốt theo học bạ của em</t>
  </si>
  <si>
    <t>KQTHPT_12_089308016620.pdf</t>
  </si>
  <si>
    <t>KQDGNL_12_089308016620.pdf</t>
  </si>
  <si>
    <t>KSVBS2646087</t>
  </si>
  <si>
    <t>36</t>
  </si>
  <si>
    <t>TRẦN NGỌC MINH TÂM</t>
  </si>
  <si>
    <t>02/01/2008</t>
  </si>
  <si>
    <t>tranngocminhtam412@gmail.com</t>
  </si>
  <si>
    <t>0332670210</t>
  </si>
  <si>
    <t>26 Lô A Khu Dân Cư, Tổ 9, khóm Tân Thuận</t>
  </si>
  <si>
    <t>KV2</t>
  </si>
  <si>
    <t>82017359</t>
  </si>
  <si>
    <t>172304</t>
  </si>
  <si>
    <t>D26CHMJVR</t>
  </si>
  <si>
    <t>568.00</t>
  </si>
  <si>
    <t>215</t>
  </si>
  <si>
    <t>THPT Thành phố Sa Đéc</t>
  </si>
  <si>
    <t>327</t>
  </si>
  <si>
    <t>THPT Sa Đéc</t>
  </si>
  <si>
    <t>8.38</t>
  </si>
  <si>
    <t>7340201_1</t>
  </si>
  <si>
    <t>Ngân hàng</t>
  </si>
  <si>
    <t xml:space="preserve">Trường điều chỉnh học lực từ Giỏi thành Tốt theo học bạ của em
</t>
  </si>
  <si>
    <t>KQTHPT_13_087308004738.pdf</t>
  </si>
  <si>
    <t>KQDGNL_13_087308004738.pdf</t>
  </si>
  <si>
    <t>KSVBS2607081</t>
  </si>
  <si>
    <t>VƯƠNG HOÀNG KIM YẾN</t>
  </si>
  <si>
    <t>29/10/2008</t>
  </si>
  <si>
    <t>yenvhk208221@gmail.com</t>
  </si>
  <si>
    <t>0943959098</t>
  </si>
  <si>
    <t>1104 Mạc Cửu, Khu phố Nguyễn Thái Bình, Phường Rạch Giá, Tỉnh An Giang</t>
  </si>
  <si>
    <t>91029508</t>
  </si>
  <si>
    <t>207</t>
  </si>
  <si>
    <t>Trường THPT Nguyễn Trung Trực 1 (trước 29/01/2026)</t>
  </si>
  <si>
    <t>016</t>
  </si>
  <si>
    <t>Trường THPT Nguyễn Trung Trực 1</t>
  </si>
  <si>
    <t>7.59</t>
  </si>
  <si>
    <t>7.21</t>
  </si>
  <si>
    <t>7.78</t>
  </si>
  <si>
    <t>7480201</t>
  </si>
  <si>
    <t>Công nghệ và đổi mới sáng tạo</t>
  </si>
  <si>
    <t>KQTHPT_14_091308007131.pdf</t>
  </si>
  <si>
    <t>KQVSAT_14_091308007131.pdf</t>
  </si>
  <si>
    <t>KSVBS2608556</t>
  </si>
  <si>
    <t>5</t>
  </si>
  <si>
    <t>LÊ NGỌC THIỆN</t>
  </si>
  <si>
    <t>29/12/2008</t>
  </si>
  <si>
    <t>thienle.31261570410@st.ueh.edu.vn</t>
  </si>
  <si>
    <t>0783615145</t>
  </si>
  <si>
    <t xml:space="preserve">Thôn 2 Xã Cát Tiên 3 Tỉnh Lâm Đồng </t>
  </si>
  <si>
    <t>68017988</t>
  </si>
  <si>
    <t>018</t>
  </si>
  <si>
    <t>THPT Gia Viễn</t>
  </si>
  <si>
    <t>7.41</t>
  </si>
  <si>
    <t>7.24</t>
  </si>
  <si>
    <t>7.02</t>
  </si>
  <si>
    <t>7480107</t>
  </si>
  <si>
    <t>Robot và Trí tuệ nhân tạo (hệ kỹ sư)</t>
  </si>
  <si>
    <t>KQTHPT_15_068208012324.pdf</t>
  </si>
  <si>
    <t>KSVBS2612737</t>
  </si>
  <si>
    <t>7</t>
  </si>
  <si>
    <t>NGUYỄN THỤY THẢO MY</t>
  </si>
  <si>
    <t>31/08/2008</t>
  </si>
  <si>
    <t>wiburetien@gmail.com</t>
  </si>
  <si>
    <t>0837843160</t>
  </si>
  <si>
    <t>369/7A quốc lộ 1 khu phố bình yên đông 3 phường Long An tỉnh Tây Ninh</t>
  </si>
  <si>
    <t>80002943</t>
  </si>
  <si>
    <t>570711</t>
  </si>
  <si>
    <t>D26585679</t>
  </si>
  <si>
    <t>762.00</t>
  </si>
  <si>
    <t>72N</t>
  </si>
  <si>
    <t>213</t>
  </si>
  <si>
    <t>THPT Lê Quý Đôn - Long An</t>
  </si>
  <si>
    <t>8.60</t>
  </si>
  <si>
    <t>8.64</t>
  </si>
  <si>
    <t>8.57</t>
  </si>
  <si>
    <t>KQTHPT_16_080308005311.pdf</t>
  </si>
  <si>
    <t>KQDGNL_16_080308005311.pdf</t>
  </si>
  <si>
    <t>NGUYỄN LAN PHƯƠNG</t>
  </si>
  <si>
    <t>25/10/2008</t>
  </si>
  <si>
    <t>lphuong25102008@gmail.com</t>
  </si>
  <si>
    <t>0705796418</t>
  </si>
  <si>
    <t>số nhà 40, ngõ 2, Bùi Viện</t>
  </si>
  <si>
    <t>31021165</t>
  </si>
  <si>
    <t>271601</t>
  </si>
  <si>
    <t>D26150416</t>
  </si>
  <si>
    <t>752.00</t>
  </si>
  <si>
    <t>350384</t>
  </si>
  <si>
    <t>D26893247</t>
  </si>
  <si>
    <t>761.00</t>
  </si>
  <si>
    <t>IELTS</t>
  </si>
  <si>
    <t>31/05/2026</t>
  </si>
  <si>
    <t>5.5</t>
  </si>
  <si>
    <t>26VN515806NGUL104A</t>
  </si>
  <si>
    <t>31N</t>
  </si>
  <si>
    <t>318</t>
  </si>
  <si>
    <t>THPT Lê Quý Đôn</t>
  </si>
  <si>
    <t>Giỏi</t>
  </si>
  <si>
    <t>7.06</t>
  </si>
  <si>
    <t>8.68</t>
  </si>
  <si>
    <t>8.11</t>
  </si>
  <si>
    <t>8.93</t>
  </si>
  <si>
    <t>7810201</t>
  </si>
  <si>
    <t>Quản trị khách sạn</t>
  </si>
  <si>
    <t>7340201_3</t>
  </si>
  <si>
    <t>Thuế</t>
  </si>
  <si>
    <t>7.63</t>
  </si>
  <si>
    <t>7.91</t>
  </si>
  <si>
    <t>KSVBS2600593</t>
  </si>
  <si>
    <t>83</t>
  </si>
  <si>
    <t>ĐINH THỊ QUẾ ANH</t>
  </si>
  <si>
    <t>23/11/2008</t>
  </si>
  <si>
    <t>queanhd77@gmail.com</t>
  </si>
  <si>
    <t>0813218460</t>
  </si>
  <si>
    <t>ẤP CÂY GÒN</t>
  </si>
  <si>
    <t>86035965</t>
  </si>
  <si>
    <t>220482</t>
  </si>
  <si>
    <t>D26532930</t>
  </si>
  <si>
    <t>530.00</t>
  </si>
  <si>
    <t>727</t>
  </si>
  <si>
    <t>THPT Phong Phú</t>
  </si>
  <si>
    <t>8.39</t>
  </si>
  <si>
    <t>8.72</t>
  </si>
  <si>
    <t>KQTHPT_19_084308006597.pdf</t>
  </si>
  <si>
    <t>KQDGNL_19_084308006597.pdf</t>
  </si>
  <si>
    <t>KQVSAT_19_084308006597.pdf</t>
  </si>
  <si>
    <t>KSVBS2603382</t>
  </si>
  <si>
    <t>8</t>
  </si>
  <si>
    <t>VÕ PHẠM NHƯ QUỲNH</t>
  </si>
  <si>
    <t>13/11/2008</t>
  </si>
  <si>
    <t>phamvannghiep1478@gmail.com</t>
  </si>
  <si>
    <t>0355587517</t>
  </si>
  <si>
    <t xml:space="preserve">Số nhà 45, tổ 13, khóm 5 </t>
  </si>
  <si>
    <t>86020982</t>
  </si>
  <si>
    <t>412</t>
  </si>
  <si>
    <t>THPT Bình Minh</t>
  </si>
  <si>
    <t>6.77</t>
  </si>
  <si>
    <t>7.99</t>
  </si>
  <si>
    <t>7.86</t>
  </si>
  <si>
    <t>bổ sung thêm trang thông tin học sinh nha e</t>
  </si>
  <si>
    <t>KQTHPT_20_086308010041.pdf</t>
  </si>
  <si>
    <t>KQVSAT_20_086308010041.pdf</t>
  </si>
  <si>
    <t>KSVBS2646885</t>
  </si>
  <si>
    <t>90</t>
  </si>
  <si>
    <t>NGUYỄN THỊ DIỄM KIỀU</t>
  </si>
  <si>
    <t>19/01/2007</t>
  </si>
  <si>
    <t>dkieu1901@gmail.com</t>
  </si>
  <si>
    <t>0948965065</t>
  </si>
  <si>
    <t xml:space="preserve">ấp Thạnh Hưng 2 </t>
  </si>
  <si>
    <t>2025</t>
  </si>
  <si>
    <t>96012922</t>
  </si>
  <si>
    <t>560503</t>
  </si>
  <si>
    <t>D26295028</t>
  </si>
  <si>
    <t>637.00</t>
  </si>
  <si>
    <t>630099</t>
  </si>
  <si>
    <t>D26936074</t>
  </si>
  <si>
    <t>682.00</t>
  </si>
  <si>
    <t>96N</t>
  </si>
  <si>
    <t>517</t>
  </si>
  <si>
    <t>THPT Lê Thị Riêng</t>
  </si>
  <si>
    <t>7.56</t>
  </si>
  <si>
    <t>8.07</t>
  </si>
  <si>
    <t>7.67</t>
  </si>
  <si>
    <t>phamhuong</t>
  </si>
  <si>
    <t xml:space="preserve">- Bổ sung học bạ THPT em chụp đủ 7 trang nhé
</t>
  </si>
  <si>
    <t>KQTHPT_22_095307002559.pdf</t>
  </si>
  <si>
    <t>KQDGNL_22_095307002559.pdf</t>
  </si>
  <si>
    <t>KQVSAT_22_095307002559.pdf</t>
  </si>
  <si>
    <t>KSVBS2605434</t>
  </si>
  <si>
    <t>10</t>
  </si>
  <si>
    <t>TRƯƠNG NGUYÊN PHÚC</t>
  </si>
  <si>
    <t>19/12/2008</t>
  </si>
  <si>
    <t>phuctruong.31261570440@st.ueh.edu.vn</t>
  </si>
  <si>
    <t>0395625080</t>
  </si>
  <si>
    <t>73A, Ấp Phước Tự</t>
  </si>
  <si>
    <t>86001609</t>
  </si>
  <si>
    <t>090903</t>
  </si>
  <si>
    <t>D269BXNJR</t>
  </si>
  <si>
    <t>621.00</t>
  </si>
  <si>
    <t>26VN506719TRUN028A</t>
  </si>
  <si>
    <t>ChungChiTA_23_083208009377.pdf</t>
  </si>
  <si>
    <t>120</t>
  </si>
  <si>
    <t>THPT Trần Văn Ơn</t>
  </si>
  <si>
    <t>8.16</t>
  </si>
  <si>
    <t>7.44</t>
  </si>
  <si>
    <t>7.87</t>
  </si>
  <si>
    <t>Trường sửa điểm cho em từ 641 (em kê) thành 621 theo minh chứng em up</t>
  </si>
  <si>
    <t>KQTHPT_23_083208009377.pdf</t>
  </si>
  <si>
    <t>KQDGNL_23_083208009377.pdf</t>
  </si>
  <si>
    <t>KSVBS2608241</t>
  </si>
  <si>
    <t>12</t>
  </si>
  <si>
    <t>VŨ LÊ QUỲNH ANH</t>
  </si>
  <si>
    <t>12/07/2008</t>
  </si>
  <si>
    <t>vuleequynhanh1278@gmail.com</t>
  </si>
  <si>
    <t>0937640023</t>
  </si>
  <si>
    <t>tổ 14, ấp Phước Thới</t>
  </si>
  <si>
    <t>79133877</t>
  </si>
  <si>
    <t>230311</t>
  </si>
  <si>
    <t>D26240712</t>
  </si>
  <si>
    <t>642.00</t>
  </si>
  <si>
    <t>79N</t>
  </si>
  <si>
    <t>744</t>
  </si>
  <si>
    <t>THPT Võ Thị Sáu - Bà Rịa - Vũng Tàu</t>
  </si>
  <si>
    <t>6.84</t>
  </si>
  <si>
    <t>7.57</t>
  </si>
  <si>
    <t>7.88</t>
  </si>
  <si>
    <t>8.21</t>
  </si>
  <si>
    <t>KQTHPT_24_077308001983.pdf</t>
  </si>
  <si>
    <t>KQDGNL_24_077308001983.pdf</t>
  </si>
  <si>
    <t>KSVBS2625294</t>
  </si>
  <si>
    <t>11</t>
  </si>
  <si>
    <t>TRỊNH NGUYỄN ĐAN KHANH</t>
  </si>
  <si>
    <t>27/06/2008</t>
  </si>
  <si>
    <t>dankhanh1921@gmail.com</t>
  </si>
  <si>
    <t>0777129981</t>
  </si>
  <si>
    <t>49, Lê Văn Năm</t>
  </si>
  <si>
    <t>96012205</t>
  </si>
  <si>
    <t>560695</t>
  </si>
  <si>
    <t>D26189693</t>
  </si>
  <si>
    <t>667.00</t>
  </si>
  <si>
    <t>508</t>
  </si>
  <si>
    <t>THPT Chuyên Bạc Liêu</t>
  </si>
  <si>
    <t>500</t>
  </si>
  <si>
    <t>7.49</t>
  </si>
  <si>
    <t>7.68</t>
  </si>
  <si>
    <t>8.03</t>
  </si>
  <si>
    <t>Em up thêm trang đầu tiên: trang thông tin học sinh nhe</t>
  </si>
  <si>
    <t>KQTHPT_25_095308002044.pdf</t>
  </si>
  <si>
    <t>KQDGNL_25_095308002044.pdf</t>
  </si>
  <si>
    <t>KSVBS2604028</t>
  </si>
  <si>
    <t>13</t>
  </si>
  <si>
    <t>NGUYỄN QUỐC KHƯƠNG TEST</t>
  </si>
  <si>
    <t>29/04/2002</t>
  </si>
  <si>
    <t>086302008256</t>
  </si>
  <si>
    <t>304 ấp Hưng Thành Tây A</t>
  </si>
  <si>
    <t>1234564</t>
  </si>
  <si>
    <t>Toán</t>
  </si>
  <si>
    <t>Ba</t>
  </si>
  <si>
    <t>1234587936</t>
  </si>
  <si>
    <t>ah123547889</t>
  </si>
  <si>
    <t>700.00</t>
  </si>
  <si>
    <t>28/09/2025</t>
  </si>
  <si>
    <t>20ASNGU1267389289</t>
  </si>
  <si>
    <t>ChungChiTA_26_086302008256.jpg</t>
  </si>
  <si>
    <t>409</t>
  </si>
  <si>
    <t>THPT Lưu Văn Liệt</t>
  </si>
  <si>
    <t>8.29</t>
  </si>
  <si>
    <t>KQTHPT_26_086302008256.pdf</t>
  </si>
  <si>
    <t>KQDGNL_26_086302008256.pdf</t>
  </si>
  <si>
    <t>KQVSAT_26_086302008256.pdf</t>
  </si>
  <si>
    <t>8.09</t>
  </si>
  <si>
    <t>8.67</t>
  </si>
  <si>
    <t>KSVBS2626874</t>
  </si>
  <si>
    <t>14</t>
  </si>
  <si>
    <t>ChungChiTA_28_034307005716.pdf</t>
  </si>
  <si>
    <t>KQTHPT_28_034307005716.pdf</t>
  </si>
  <si>
    <t>KQDGNL_28_034307005716.pdf</t>
  </si>
  <si>
    <t>KSVBS2629470</t>
  </si>
  <si>
    <t>15</t>
  </si>
  <si>
    <t>LÊ HOÀNG PHƯƠNG ANH</t>
  </si>
  <si>
    <t>02/11/2008</t>
  </si>
  <si>
    <t>phwgahn0203@gmail.com</t>
  </si>
  <si>
    <t>0866408046</t>
  </si>
  <si>
    <t>41L/3, ấp Phước Hanh A</t>
  </si>
  <si>
    <t>86015830</t>
  </si>
  <si>
    <t>510419</t>
  </si>
  <si>
    <t xml:space="preserve"> D26634020</t>
  </si>
  <si>
    <t>475.00</t>
  </si>
  <si>
    <t xml:space="preserve">590116 </t>
  </si>
  <si>
    <t>D26105909</t>
  </si>
  <si>
    <t>569.00</t>
  </si>
  <si>
    <t>410</t>
  </si>
  <si>
    <t>THPT Vĩnh Long</t>
  </si>
  <si>
    <t>8.47</t>
  </si>
  <si>
    <t>8.49</t>
  </si>
  <si>
    <t>8.32</t>
  </si>
  <si>
    <t>KQTHPT_29_079308045991.pdf</t>
  </si>
  <si>
    <t>KQDGNL_29_079308045991.pdf</t>
  </si>
  <si>
    <t>KSVBS2631718</t>
  </si>
  <si>
    <t>20</t>
  </si>
  <si>
    <t>LÊ PHÚC AN</t>
  </si>
  <si>
    <t>27/07/2008</t>
  </si>
  <si>
    <t>phucanle171913@gmail.com</t>
  </si>
  <si>
    <t>0792398749</t>
  </si>
  <si>
    <t xml:space="preserve">75/10A, Đường Trần Phú, Tổ 6, Khóm 6, Phường Phước Hậu-Vĩnh Long </t>
  </si>
  <si>
    <t>86015817</t>
  </si>
  <si>
    <t>500532</t>
  </si>
  <si>
    <t>D26640429</t>
  </si>
  <si>
    <t>525.00</t>
  </si>
  <si>
    <t>KQTHPT_30_086308009238.pdf</t>
  </si>
  <si>
    <t>KQDGNL_30_086308009238.pdf</t>
  </si>
  <si>
    <t>KQVSAT_30_086308009238.pdf</t>
  </si>
  <si>
    <t>KSVBS2638358</t>
  </si>
  <si>
    <t>80</t>
  </si>
  <si>
    <t>ĐẶNG HUỲNH TRÚC PHƯƠNG</t>
  </si>
  <si>
    <t>19/10/2008</t>
  </si>
  <si>
    <t>ptruc1967@gmail.com</t>
  </si>
  <si>
    <t>0919969394</t>
  </si>
  <si>
    <t>ấp mỹ phú 3, xã Tam Bình, Tỉnh Vĩnh Long</t>
  </si>
  <si>
    <t>86022886</t>
  </si>
  <si>
    <t>6.79</t>
  </si>
  <si>
    <t>8.17</t>
  </si>
  <si>
    <t>8.98</t>
  </si>
  <si>
    <t>9.12</t>
  </si>
  <si>
    <t xml:space="preserve">Trường điều chỉnh giới tính từ Nam sang Nữ theo CCCD </t>
  </si>
  <si>
    <t>KQTHPT_31_086308004288.pdf</t>
  </si>
  <si>
    <t>KQVSAT_31_086308004288.pdf</t>
  </si>
  <si>
    <t>KSVBS2646165</t>
  </si>
  <si>
    <t>22</t>
  </si>
  <si>
    <t>TRẦN NGUYỄN TÂM NHƯ</t>
  </si>
  <si>
    <t>16/05/2008</t>
  </si>
  <si>
    <t>tamnhu052008@gmail.com</t>
  </si>
  <si>
    <t>0933026760</t>
  </si>
  <si>
    <t>1/21, ô3, Ấp Thủ Khoa Thừa 1, Xã Thủ Thừa, Tỉnh Tây Ninh</t>
  </si>
  <si>
    <t>80007124</t>
  </si>
  <si>
    <t>223</t>
  </si>
  <si>
    <t>THPT Thủ Thừa</t>
  </si>
  <si>
    <t>7.39</t>
  </si>
  <si>
    <t>9.04</t>
  </si>
  <si>
    <t>KQTHPT_32_080308005425.pdf</t>
  </si>
  <si>
    <t>KSVBS2612974</t>
  </si>
  <si>
    <t>24</t>
  </si>
  <si>
    <t>NGUYỄN HÙNG SANG</t>
  </si>
  <si>
    <t>10/01/2008</t>
  </si>
  <si>
    <t>sangnguyenhung532@gmail.com</t>
  </si>
  <si>
    <t>0919311306</t>
  </si>
  <si>
    <t>859/74 Mạc Cửu</t>
  </si>
  <si>
    <t>91029245</t>
  </si>
  <si>
    <t>620593</t>
  </si>
  <si>
    <t>D26954835</t>
  </si>
  <si>
    <t>583.00</t>
  </si>
  <si>
    <t>6.00</t>
  </si>
  <si>
    <t>6.03</t>
  </si>
  <si>
    <t>6.56</t>
  </si>
  <si>
    <t>7.00</t>
  </si>
  <si>
    <t xml:space="preserve">Em tải lên lại học bạ theo tiêu chí sau: Học bạ gồm ít nhất 07 trang: trang thông tin học sinh, trang kết quả học tập + trang nhận xét của lớp 10, 11, 12. 
</t>
  </si>
  <si>
    <t>KQTHPT_33_091208001550.pdf</t>
  </si>
  <si>
    <t>KQDGNL_33_091208001550.pdf</t>
  </si>
  <si>
    <t>KQVSAT_33_091208001550.pdf</t>
  </si>
  <si>
    <t>KSVBS2610916</t>
  </si>
  <si>
    <t>18</t>
  </si>
  <si>
    <t>NGUYỄN THÙY LINH</t>
  </si>
  <si>
    <t>04/06/2008</t>
  </si>
  <si>
    <t>nguyenhathuylinh8@gmail.com</t>
  </si>
  <si>
    <t>0973900764</t>
  </si>
  <si>
    <t>161, huỳnh dân sanh, tổ 19, kp 32</t>
  </si>
  <si>
    <t>75006902</t>
  </si>
  <si>
    <t>431859</t>
  </si>
  <si>
    <t>D26685279</t>
  </si>
  <si>
    <t>751.00</t>
  </si>
  <si>
    <t>75N</t>
  </si>
  <si>
    <t>009</t>
  </si>
  <si>
    <t>THPT Ngô Quyền</t>
  </si>
  <si>
    <t>7.69</t>
  </si>
  <si>
    <t>7.72</t>
  </si>
  <si>
    <t>7.79</t>
  </si>
  <si>
    <t>KQTHPT_34_075308023084.pdf</t>
  </si>
  <si>
    <t>KQDGNL_34_075308023084.pdf</t>
  </si>
  <si>
    <t>KSVBS2646022</t>
  </si>
  <si>
    <t>21</t>
  </si>
  <si>
    <t>TÀO HOÀNG MINH</t>
  </si>
  <si>
    <t>07/06/2008</t>
  </si>
  <si>
    <t>minhtao.31261570463@st.ueh.edu.vn</t>
  </si>
  <si>
    <t>0822760225</t>
  </si>
  <si>
    <t>62/27 Khóm 8, Phường Phước Hậu, Tỉnh Vĩnh Long</t>
  </si>
  <si>
    <t>86013669</t>
  </si>
  <si>
    <t>7.28</t>
  </si>
  <si>
    <t>7.98</t>
  </si>
  <si>
    <t>Trường đã điều chỉnh học lực từ Giỏi =&gt; Tốt theo học bạ của em</t>
  </si>
  <si>
    <t>KQTHPT_35_086208005701.pdf</t>
  </si>
  <si>
    <t>KQVSAT_35_086208005701.pdf</t>
  </si>
  <si>
    <t>KSVBS2627668</t>
  </si>
  <si>
    <t>25</t>
  </si>
  <si>
    <t>HỒ ĐĂNG QUANG</t>
  </si>
  <si>
    <t>25/03/2008</t>
  </si>
  <si>
    <t>qdang3861@gmail.com</t>
  </si>
  <si>
    <t>0795498899</t>
  </si>
  <si>
    <t>29/22 Hưng Đạo Vương, phường Long Châu, Tỉnh Vĩnh Long</t>
  </si>
  <si>
    <t>86016297</t>
  </si>
  <si>
    <t>510372</t>
  </si>
  <si>
    <t>D26707204</t>
  </si>
  <si>
    <t>497.00</t>
  </si>
  <si>
    <t>183078</t>
  </si>
  <si>
    <t>D26M9BVFN</t>
  </si>
  <si>
    <t>578.00</t>
  </si>
  <si>
    <t>7.94</t>
  </si>
  <si>
    <t>8.26</t>
  </si>
  <si>
    <t>8.81</t>
  </si>
  <si>
    <t>KQTHPT_36_086208004243.pdf</t>
  </si>
  <si>
    <t>KQDGNL_36_086208004243.pdf</t>
  </si>
  <si>
    <t>KSVBS2638777</t>
  </si>
  <si>
    <t>29</t>
  </si>
  <si>
    <t>LÊ NGỌC HÀ MY</t>
  </si>
  <si>
    <t>23/04/2008</t>
  </si>
  <si>
    <t>lemy123vl@gmail.com</t>
  </si>
  <si>
    <t>0939889906</t>
  </si>
  <si>
    <t>Số 11, Tổ 1</t>
  </si>
  <si>
    <t>86013671</t>
  </si>
  <si>
    <t>KQTHPT_37_086308006658.pdf</t>
  </si>
  <si>
    <t>KSVBS2617513</t>
  </si>
  <si>
    <t>27</t>
  </si>
  <si>
    <t>MAI VĂN KIM TÀI</t>
  </si>
  <si>
    <t>tmai83178@gmail.com</t>
  </si>
  <si>
    <t>0942523547</t>
  </si>
  <si>
    <t>số 101, tổ 3, ấp 3, xã An Hữu, Đồng Tháp</t>
  </si>
  <si>
    <t>82020692</t>
  </si>
  <si>
    <t>612</t>
  </si>
  <si>
    <t>THPT Lê Thanh Hiền</t>
  </si>
  <si>
    <t>9.21</t>
  </si>
  <si>
    <t>8.99</t>
  </si>
  <si>
    <t>8.82</t>
  </si>
  <si>
    <t>KQTHPT_38_082208000404.pdf</t>
  </si>
  <si>
    <t>KSVBS2642989</t>
  </si>
  <si>
    <t>23</t>
  </si>
  <si>
    <t>HUỲNH THỊ THIÊN THIÊN</t>
  </si>
  <si>
    <t>28/10/2008</t>
  </si>
  <si>
    <t>thiennthien8@gmail.com</t>
  </si>
  <si>
    <t>0336042094</t>
  </si>
  <si>
    <t xml:space="preserve">Ấp kiết bình </t>
  </si>
  <si>
    <t>92029803</t>
  </si>
  <si>
    <t>466</t>
  </si>
  <si>
    <t>Trường THPT Văn Ngọc Chính (trước 01/7/2025)</t>
  </si>
  <si>
    <t>238</t>
  </si>
  <si>
    <t>Trường THPT Văn Ngọc Chính</t>
  </si>
  <si>
    <t>6.87</t>
  </si>
  <si>
    <t>8.13</t>
  </si>
  <si>
    <t>9.05</t>
  </si>
  <si>
    <t>Trường điều chỉnh học lực Giỏi =&gt; Tốt theo học bạ của em</t>
  </si>
  <si>
    <t>KQTHPT_39_094308011074.pdf</t>
  </si>
  <si>
    <t>KSVBS2612397</t>
  </si>
  <si>
    <t>54</t>
  </si>
  <si>
    <t>NGUYỄN HOÀNG KIM</t>
  </si>
  <si>
    <t>16/12/2008</t>
  </si>
  <si>
    <t>nguyenhoangkimtb2021@gmail.com</t>
  </si>
  <si>
    <t>0842750031</t>
  </si>
  <si>
    <t>Số 4, Tổ 2, Ấp Lưu Văn Liệt</t>
  </si>
  <si>
    <t>86022760</t>
  </si>
  <si>
    <t>500632</t>
  </si>
  <si>
    <t>D26179509</t>
  </si>
  <si>
    <t>650.00</t>
  </si>
  <si>
    <t>590652</t>
  </si>
  <si>
    <t>D26509598</t>
  </si>
  <si>
    <t>772.00</t>
  </si>
  <si>
    <t>9.14</t>
  </si>
  <si>
    <t>9.19</t>
  </si>
  <si>
    <t>9.57</t>
  </si>
  <si>
    <t>KQTHPT_40_092308001070.pdf</t>
  </si>
  <si>
    <t>KQDGNL_40_092308001070.pdf</t>
  </si>
  <si>
    <t>KSVBS2617831</t>
  </si>
  <si>
    <t>TRƯƠNG HOÀNG KHÁNH LINH</t>
  </si>
  <si>
    <t>07/08/2008</t>
  </si>
  <si>
    <t>truonghoangkhanhlinh163@gmail.com</t>
  </si>
  <si>
    <t>0813281882</t>
  </si>
  <si>
    <t>ấp Ninh Thuận</t>
  </si>
  <si>
    <t>91029732</t>
  </si>
  <si>
    <t>542356</t>
  </si>
  <si>
    <t>D26868028</t>
  </si>
  <si>
    <t>564.00</t>
  </si>
  <si>
    <t>613490</t>
  </si>
  <si>
    <t>D26546879</t>
  </si>
  <si>
    <t>672.00</t>
  </si>
  <si>
    <t>125</t>
  </si>
  <si>
    <t>Trường THPT Nguyễn Trung Trực 2</t>
  </si>
  <si>
    <t>7.22</t>
  </si>
  <si>
    <t>8.24</t>
  </si>
  <si>
    <t>Chờ tiếp nhận</t>
  </si>
  <si>
    <t>KQTHPT_41_089308002708.pdf</t>
  </si>
  <si>
    <t>KQDGNL_41_089308002708.pdf</t>
  </si>
  <si>
    <t>KSVBS2617443</t>
  </si>
  <si>
    <t>78</t>
  </si>
  <si>
    <t>VŨ YẾN NHI</t>
  </si>
  <si>
    <t>08/01/2008</t>
  </si>
  <si>
    <t>nhiv91608@gmail.com</t>
  </si>
  <si>
    <t>0367711616</t>
  </si>
  <si>
    <t>Tổ dân phố Kim Phú 5</t>
  </si>
  <si>
    <t>08016541</t>
  </si>
  <si>
    <t>Sinh học</t>
  </si>
  <si>
    <t>08N</t>
  </si>
  <si>
    <t>236</t>
  </si>
  <si>
    <t>THPT Chuyên</t>
  </si>
  <si>
    <t>9.41</t>
  </si>
  <si>
    <t>8.50</t>
  </si>
  <si>
    <t>KQTHPT_42_008308006425.pdf</t>
  </si>
  <si>
    <t>16/02/2008</t>
  </si>
  <si>
    <t>8.31</t>
  </si>
  <si>
    <t>8.86</t>
  </si>
  <si>
    <t>KSVBS2609596</t>
  </si>
  <si>
    <t>33</t>
  </si>
  <si>
    <t>LƯU ANH THƯ</t>
  </si>
  <si>
    <t>10/04/2008</t>
  </si>
  <si>
    <t>thluu0410@gmail.com</t>
  </si>
  <si>
    <t>0772168769</t>
  </si>
  <si>
    <t>Số 13/8, Trần Văn Ơn, Phường Long Châu, TP. Vĩnh Long, Vĩnh Long</t>
  </si>
  <si>
    <t>86013991</t>
  </si>
  <si>
    <t>183082</t>
  </si>
  <si>
    <t>D26323569</t>
  </si>
  <si>
    <t>710.00</t>
  </si>
  <si>
    <t>8.87</t>
  </si>
  <si>
    <t>9.01</t>
  </si>
  <si>
    <t>KQTHPT_44_086308004540.pdf</t>
  </si>
  <si>
    <t>KQDGNL_44_086308004540.pdf</t>
  </si>
  <si>
    <t>KQVSAT_44_086308004540.pdf</t>
  </si>
  <si>
    <t>KSVBS2629385</t>
  </si>
  <si>
    <t>89</t>
  </si>
  <si>
    <t>NGUYỄN KHÁNH CHI</t>
  </si>
  <si>
    <t>08/12/2008</t>
  </si>
  <si>
    <t>khanhchi8812@gmail.com</t>
  </si>
  <si>
    <t>0327399812</t>
  </si>
  <si>
    <t>Số 17 - Tổ 22C - Tổ dân phố Gia Cẩm</t>
  </si>
  <si>
    <t>25037325</t>
  </si>
  <si>
    <t>25N</t>
  </si>
  <si>
    <t>286</t>
  </si>
  <si>
    <t>THPT Việt Trì</t>
  </si>
  <si>
    <t>8.62</t>
  </si>
  <si>
    <t>KQTHPT_45_025308012169.pdf</t>
  </si>
  <si>
    <t>KSVBS2646760</t>
  </si>
  <si>
    <t>51</t>
  </si>
  <si>
    <t>HỒ THỊ HỒNG ANH</t>
  </si>
  <si>
    <t>hong.agn@gmail.com</t>
  </si>
  <si>
    <t>0779442965</t>
  </si>
  <si>
    <t>333</t>
  </si>
  <si>
    <t>92012463</t>
  </si>
  <si>
    <t>020</t>
  </si>
  <si>
    <t>Trường THPT Phan Văn Trị</t>
  </si>
  <si>
    <t>KQTHPT_46_092308009465.pdf</t>
  </si>
  <si>
    <t>KQVSAT_46_092308009465.pdf</t>
  </si>
  <si>
    <t>KSVBS2613129</t>
  </si>
  <si>
    <t>43</t>
  </si>
  <si>
    <t>LÊ THỊ HOÀI THƯƠNG</t>
  </si>
  <si>
    <t>02/04/2008</t>
  </si>
  <si>
    <t>hoaithuongg242008@gmail.com</t>
  </si>
  <si>
    <t>0908530645</t>
  </si>
  <si>
    <t>169/12 Nguyễn Thị Kiểu, Khu phố 19, Tân Thới Hiệp, Thành phố Hồ Chí Minh</t>
  </si>
  <si>
    <t>79086650</t>
  </si>
  <si>
    <t>THPT Nguyễn Văn Cừ</t>
  </si>
  <si>
    <t>7.46</t>
  </si>
  <si>
    <t>KQTHPT_47_079308035195.pdf</t>
  </si>
  <si>
    <t>KSVBS2646585</t>
  </si>
  <si>
    <t>88</t>
  </si>
  <si>
    <t>TRẦN NHẬT TUYẾN</t>
  </si>
  <si>
    <t>15/12/2006</t>
  </si>
  <si>
    <t>trannhattuyen3@gmail.com</t>
  </si>
  <si>
    <t>0363580108</t>
  </si>
  <si>
    <t>Cầu rào đình,thôn thuỷ cam</t>
  </si>
  <si>
    <t>46013275</t>
  </si>
  <si>
    <t>46NN</t>
  </si>
  <si>
    <t>148</t>
  </si>
  <si>
    <t>THPT Thừa Lưu</t>
  </si>
  <si>
    <t>248</t>
  </si>
  <si>
    <t>6.63</t>
  </si>
  <si>
    <t>7.43</t>
  </si>
  <si>
    <t>7.81</t>
  </si>
  <si>
    <t>8.06</t>
  </si>
  <si>
    <t>KQTHPT_48_046206005798.pdf</t>
  </si>
  <si>
    <t>KSVBS2642750</t>
  </si>
  <si>
    <t>38</t>
  </si>
  <si>
    <t>NGUYỄN THỊ KIM THƯ</t>
  </si>
  <si>
    <t>29/08/2008</t>
  </si>
  <si>
    <t>jinshu2908@gmail.com</t>
  </si>
  <si>
    <t>0397288421</t>
  </si>
  <si>
    <t>056/Tt3, Ấp Tân Thanh 3</t>
  </si>
  <si>
    <t>86011382</t>
  </si>
  <si>
    <t>100</t>
  </si>
  <si>
    <t>THPT Sương Nguyệt Anh</t>
  </si>
  <si>
    <t>8.19</t>
  </si>
  <si>
    <t>KQTHPT_49_083308010347.pdf</t>
  </si>
  <si>
    <t>KSVBS2616644</t>
  </si>
  <si>
    <t>31</t>
  </si>
  <si>
    <t>TRẦN TẤN LỘC</t>
  </si>
  <si>
    <t>loctrabnnn@gmail.com</t>
  </si>
  <si>
    <t>0764469952</t>
  </si>
  <si>
    <t xml:space="preserve">nhà số 7 , đường 27 ,ấp 1 xã dương minh châu , tỉnh tây ninh </t>
  </si>
  <si>
    <t>80022364</t>
  </si>
  <si>
    <t>411016</t>
  </si>
  <si>
    <t>D26825394</t>
  </si>
  <si>
    <t>527.00</t>
  </si>
  <si>
    <t>THPT Dương Minh Châu</t>
  </si>
  <si>
    <t>6.67</t>
  </si>
  <si>
    <t>6.11</t>
  </si>
  <si>
    <t>6.41</t>
  </si>
  <si>
    <t>KQTHPT_50_095208003828.pdf</t>
  </si>
  <si>
    <t>KQDGNL_50_095208003828.pdf</t>
  </si>
  <si>
    <t>KSVBS2638759</t>
  </si>
  <si>
    <t>40</t>
  </si>
  <si>
    <t>ĐẶNG GIA HUY</t>
  </si>
  <si>
    <t>28/03/2008</t>
  </si>
  <si>
    <t>trandang192011@gmail.com</t>
  </si>
  <si>
    <t>0918192011</t>
  </si>
  <si>
    <t>176i lê văn nghề , kp mỹ thạnh , mỹ phong</t>
  </si>
  <si>
    <t>560651</t>
  </si>
  <si>
    <t>D26P495QD</t>
  </si>
  <si>
    <t>657.00</t>
  </si>
  <si>
    <t>618</t>
  </si>
  <si>
    <t>THPT Nguyễn Đình Chiểu</t>
  </si>
  <si>
    <t>7.61</t>
  </si>
  <si>
    <t>KQTHPT_51_082208016209.pdf</t>
  </si>
  <si>
    <t>KQDGNL_51_082208016209.pdf</t>
  </si>
  <si>
    <t>KSVBS2627672</t>
  </si>
  <si>
    <t>30</t>
  </si>
  <si>
    <t>HUỲNH THỊ THANH TUYỀN</t>
  </si>
  <si>
    <t>19/10/2007</t>
  </si>
  <si>
    <t>tuyenhuynh.759499@gmail.com</t>
  </si>
  <si>
    <t>0783759499</t>
  </si>
  <si>
    <t>Khu phố Thanh Hoà</t>
  </si>
  <si>
    <t>82023757</t>
  </si>
  <si>
    <t>013667</t>
  </si>
  <si>
    <t>D26670130</t>
  </si>
  <si>
    <t>597.00</t>
  </si>
  <si>
    <t>572651</t>
  </si>
  <si>
    <t>D26676514</t>
  </si>
  <si>
    <t>681.00</t>
  </si>
  <si>
    <t>607</t>
  </si>
  <si>
    <t>THPT Đốc Binh Kiều - Cai Lậy</t>
  </si>
  <si>
    <t>7.20</t>
  </si>
  <si>
    <t>8.54</t>
  </si>
  <si>
    <t>KQTHPT_52_082307008212.pdf</t>
  </si>
  <si>
    <t>KQDGNL_52_082307008212.pdf</t>
  </si>
  <si>
    <t>8.58</t>
  </si>
  <si>
    <t>KSVBS2624950</t>
  </si>
  <si>
    <t>84</t>
  </si>
  <si>
    <t>NGUYỄN PHÚC KHÁNH</t>
  </si>
  <si>
    <t>phuckhanh2110@gmail.com</t>
  </si>
  <si>
    <t>0765945936</t>
  </si>
  <si>
    <t>Số nhà 149, Tổ 5, Khóm Đông Hưng 1, Xã Đông Thành</t>
  </si>
  <si>
    <t>86022472</t>
  </si>
  <si>
    <t>424</t>
  </si>
  <si>
    <t>THCS và THPT Đông Thành</t>
  </si>
  <si>
    <t>8.61</t>
  </si>
  <si>
    <t>KQTHPT_54_086208011841.pdf</t>
  </si>
  <si>
    <t>KSVBS2630721</t>
  </si>
  <si>
    <t>26</t>
  </si>
  <si>
    <t>QUANG THUẬN PHÁT</t>
  </si>
  <si>
    <t>24/09/2008</t>
  </si>
  <si>
    <t>thuanphat.052019@gmail.com</t>
  </si>
  <si>
    <t>0842428848</t>
  </si>
  <si>
    <t xml:space="preserve">Khóm 1, Phường 1 </t>
  </si>
  <si>
    <t>96013121</t>
  </si>
  <si>
    <t>630053</t>
  </si>
  <si>
    <t>D26XD36KH</t>
  </si>
  <si>
    <t>804.00</t>
  </si>
  <si>
    <t>510</t>
  </si>
  <si>
    <t>THPT Bạc Liêu</t>
  </si>
  <si>
    <t>7.66</t>
  </si>
  <si>
    <t>7.26</t>
  </si>
  <si>
    <t>7.60</t>
  </si>
  <si>
    <t>KQTHPT_55_095208002435.pdf</t>
  </si>
  <si>
    <t>KQDGNL_55_095208002435.pdf</t>
  </si>
  <si>
    <t>KSVBS2618284</t>
  </si>
  <si>
    <t>44</t>
  </si>
  <si>
    <t>TRẦN THỊ YẾN NHI</t>
  </si>
  <si>
    <t>09/02/2007</t>
  </si>
  <si>
    <t>nhit5753@gmail.com</t>
  </si>
  <si>
    <t>0948179207</t>
  </si>
  <si>
    <t xml:space="preserve">Xóm đô hành </t>
  </si>
  <si>
    <t>42011184</t>
  </si>
  <si>
    <t>42N</t>
  </si>
  <si>
    <t>023</t>
  </si>
  <si>
    <t>THPT Đồng Lộc</t>
  </si>
  <si>
    <t>7.75</t>
  </si>
  <si>
    <t>6.69</t>
  </si>
  <si>
    <t>em úp bổ sung Giấy chứng nhận kết quả thi tốt nghiệp THPT 2026 nhé</t>
  </si>
  <si>
    <t>KQTHPT_56_042307010416.pdf</t>
  </si>
  <si>
    <t>KSVBS2636260</t>
  </si>
  <si>
    <t>48</t>
  </si>
  <si>
    <t>ĐẶNG NGỌC MỸ</t>
  </si>
  <si>
    <t>03/12/2008</t>
  </si>
  <si>
    <t>dgngocmy08@gmail.com</t>
  </si>
  <si>
    <t>0788894298</t>
  </si>
  <si>
    <t>083308001521</t>
  </si>
  <si>
    <t>135, ấp Thanh Bình 1</t>
  </si>
  <si>
    <t>86004583</t>
  </si>
  <si>
    <t>137</t>
  </si>
  <si>
    <t>THPT Lê Anh Xuân</t>
  </si>
  <si>
    <t>7.19</t>
  </si>
  <si>
    <t>8.40</t>
  </si>
  <si>
    <t>KQTHPT_57_083308001521.pdf</t>
  </si>
  <si>
    <t>017</t>
  </si>
  <si>
    <t>KSVBS2641837</t>
  </si>
  <si>
    <t>58</t>
  </si>
  <si>
    <t>TRẦN XUÂN BÌNH</t>
  </si>
  <si>
    <t>01/03/2008</t>
  </si>
  <si>
    <t>tranxuanbinh.ss03@gmail.com</t>
  </si>
  <si>
    <t>0377413356</t>
  </si>
  <si>
    <t>146, khu phố Tam Phước</t>
  </si>
  <si>
    <t>86001255</t>
  </si>
  <si>
    <t>6.78</t>
  </si>
  <si>
    <t>8.84</t>
  </si>
  <si>
    <t>KQTHPT_59_083308001940.pdf</t>
  </si>
  <si>
    <t>KSVBS2620036</t>
  </si>
  <si>
    <t>49</t>
  </si>
  <si>
    <t>ĐỖ KHÁNH HUYỀN</t>
  </si>
  <si>
    <t>13/01/2008</t>
  </si>
  <si>
    <t>hdo516516@gmail.com</t>
  </si>
  <si>
    <t>0858694515</t>
  </si>
  <si>
    <t xml:space="preserve">101A Lưu Chí Hiếu </t>
  </si>
  <si>
    <t>79129945</t>
  </si>
  <si>
    <t>815</t>
  </si>
  <si>
    <t>TH-THCS-THPT Nguyễn Thị Minh Khai</t>
  </si>
  <si>
    <t>8.00</t>
  </si>
  <si>
    <t>8.01</t>
  </si>
  <si>
    <t>KQTHPT_60_038308013704.pdf</t>
  </si>
  <si>
    <t>KSVBS2621087</t>
  </si>
  <si>
    <t>32</t>
  </si>
  <si>
    <t>NGUYỄN THỊ XUÂN NHI</t>
  </si>
  <si>
    <t>07/04/2008</t>
  </si>
  <si>
    <t>xnhi1010@gmail.com</t>
  </si>
  <si>
    <t>0703617258</t>
  </si>
  <si>
    <t>257</t>
  </si>
  <si>
    <t>91020443</t>
  </si>
  <si>
    <t>114</t>
  </si>
  <si>
    <t>Trường THPT Huỳnh Thị Hưởng</t>
  </si>
  <si>
    <t>7.55</t>
  </si>
  <si>
    <t>9.16</t>
  </si>
  <si>
    <t>9.36</t>
  </si>
  <si>
    <t>KQTHPT_61_089308011621.pdf</t>
  </si>
  <si>
    <t>KSVBS2623834</t>
  </si>
  <si>
    <t>57</t>
  </si>
  <si>
    <t>LÊ HOÀNG TRUNG KIÊN</t>
  </si>
  <si>
    <t>29/05/2008</t>
  </si>
  <si>
    <t>lekien2958@gmail.com</t>
  </si>
  <si>
    <t>0388512100</t>
  </si>
  <si>
    <t>147/1/3A Đường Cách Mạng Tháng 8</t>
  </si>
  <si>
    <t>92010238</t>
  </si>
  <si>
    <t>365</t>
  </si>
  <si>
    <t>Trường THCS và THPT Nguyễn Bỉnh Khiêm (trước 01/7/2025)</t>
  </si>
  <si>
    <t>076</t>
  </si>
  <si>
    <t>Trường THCS và THPT Nguyễn Bỉnh Khiêm</t>
  </si>
  <si>
    <t>6.09</t>
  </si>
  <si>
    <t>7.14</t>
  </si>
  <si>
    <t>KQTHPT_62_092208001825.pdf</t>
  </si>
  <si>
    <t>KQVSAT_62_092208001825.pdf</t>
  </si>
  <si>
    <t>KSVBS2620084</t>
  </si>
  <si>
    <t>46</t>
  </si>
  <si>
    <t>NGUYỄN DUY MINH PHƯƠNG</t>
  </si>
  <si>
    <t>ndmphuong2312@gmail.com</t>
  </si>
  <si>
    <t>0337891696</t>
  </si>
  <si>
    <t>Số 45, Thôn Nam Hà</t>
  </si>
  <si>
    <t>68010239</t>
  </si>
  <si>
    <t xml:space="preserve"> 393209</t>
  </si>
  <si>
    <t>848.00</t>
  </si>
  <si>
    <t>475457</t>
  </si>
  <si>
    <t>D26163749</t>
  </si>
  <si>
    <t>908.00</t>
  </si>
  <si>
    <t>051</t>
  </si>
  <si>
    <t>THPT Thăng Long</t>
  </si>
  <si>
    <t>Trường có điều chỉnh mã số hồ sơ và số báo danh kỳ thi Đánh giá năng lực cho đúng với minh chứng thí sinh cung cấp</t>
  </si>
  <si>
    <t>KQTHPT_63_068208002791.pdf</t>
  </si>
  <si>
    <t>KQDGNL_63_068208002791.pdf</t>
  </si>
  <si>
    <t>KSVBS2648154</t>
  </si>
  <si>
    <t>41</t>
  </si>
  <si>
    <t>LƯƠNG NGUYỄN ĐẠT</t>
  </si>
  <si>
    <t>17/07/2008</t>
  </si>
  <si>
    <t>luongnguyen.dat2008@gmail.com</t>
  </si>
  <si>
    <t>0907370129</t>
  </si>
  <si>
    <t>Số Nhà 446/63/12, Tổ 06, Khóm Đông Thuận, Phường Đông Thành,  Tỉnh Vĩnh Long</t>
  </si>
  <si>
    <t>86022423</t>
  </si>
  <si>
    <t>8.33</t>
  </si>
  <si>
    <t>8.91</t>
  </si>
  <si>
    <t>KQTHPT_64_086208000490.pdf</t>
  </si>
  <si>
    <t>KQVSAT_64_086208000490.pdf</t>
  </si>
  <si>
    <t>KSVBS2640309</t>
  </si>
  <si>
    <t>55</t>
  </si>
  <si>
    <t>NGUYỄN TRẦN YẾN NHI</t>
  </si>
  <si>
    <t>14/04/2008</t>
  </si>
  <si>
    <t>nguyentranyennhi140408@gmail.com</t>
  </si>
  <si>
    <t>0845696526</t>
  </si>
  <si>
    <t>2 Thới An 10 phường Thới An TP.HCM</t>
  </si>
  <si>
    <t>79055743</t>
  </si>
  <si>
    <t>104170</t>
  </si>
  <si>
    <t>D26721529</t>
  </si>
  <si>
    <t>677.00</t>
  </si>
  <si>
    <t>30/05/2026</t>
  </si>
  <si>
    <t>6.5</t>
  </si>
  <si>
    <t>26VN515311NGUT028A</t>
  </si>
  <si>
    <t>ChungChiTA_65_079308009276.pdf</t>
  </si>
  <si>
    <t>048</t>
  </si>
  <si>
    <t>THPT Nguyễn Trung Trực</t>
  </si>
  <si>
    <t>7.89</t>
  </si>
  <si>
    <t>9.39</t>
  </si>
  <si>
    <t>9.29</t>
  </si>
  <si>
    <t>9.42</t>
  </si>
  <si>
    <t>KQTHPT_65_079308009276.pdf</t>
  </si>
  <si>
    <t>KQDGNL_65_079308009276.pdf</t>
  </si>
  <si>
    <t>KSVBS2622794</t>
  </si>
  <si>
    <t>42</t>
  </si>
  <si>
    <t>LÊ VĂN GIA THỊNH</t>
  </si>
  <si>
    <t>07/12/2008</t>
  </si>
  <si>
    <t>giathinh712@gmail.com</t>
  </si>
  <si>
    <t>0373997476</t>
  </si>
  <si>
    <t>Thôn Eatun 1</t>
  </si>
  <si>
    <t>66012019</t>
  </si>
  <si>
    <t>370334</t>
  </si>
  <si>
    <t>D26903058</t>
  </si>
  <si>
    <t>746.00</t>
  </si>
  <si>
    <t>450421</t>
  </si>
  <si>
    <t>D26139278</t>
  </si>
  <si>
    <t>819.00</t>
  </si>
  <si>
    <t>66N</t>
  </si>
  <si>
    <t>Trường THPT Krông Ana</t>
  </si>
  <si>
    <t>8.28</t>
  </si>
  <si>
    <t>8.88</t>
  </si>
  <si>
    <t>8.53</t>
  </si>
  <si>
    <t>KQTHPT_66_066208003927.pdf</t>
  </si>
  <si>
    <t>KQDGNL_66_066208003927.pdf</t>
  </si>
  <si>
    <t>KSVBS2639187</t>
  </si>
  <si>
    <t>56</t>
  </si>
  <si>
    <t>PHẠM HOÀNG PHONG</t>
  </si>
  <si>
    <t>14/01/2008</t>
  </si>
  <si>
    <t>phphong1401@gmail.com</t>
  </si>
  <si>
    <t>0363644359</t>
  </si>
  <si>
    <t>273a, ấp Long Thới, Long Hồ, Vĩnh Long</t>
  </si>
  <si>
    <t>86015559</t>
  </si>
  <si>
    <t>590128</t>
  </si>
  <si>
    <t>D26385730</t>
  </si>
  <si>
    <t>808.00</t>
  </si>
  <si>
    <t>407</t>
  </si>
  <si>
    <t>THPT chuyên Nguyễn Bỉnh Khiêm</t>
  </si>
  <si>
    <t>8.43</t>
  </si>
  <si>
    <t>KQTHPT_67_086208007331.pdf</t>
  </si>
  <si>
    <t>KQDGNL_67_086208007331.pdf</t>
  </si>
  <si>
    <t>KSVBS2604464</t>
  </si>
  <si>
    <t>37</t>
  </si>
  <si>
    <t>DƯƠNG THỊ HỒNG QUYÊN</t>
  </si>
  <si>
    <t>31/10/2007</t>
  </si>
  <si>
    <t>hquyenn3110@gmail.com</t>
  </si>
  <si>
    <t>0398445865</t>
  </si>
  <si>
    <t>024307011058</t>
  </si>
  <si>
    <t xml:space="preserve">Tổ dân phố An Thái </t>
  </si>
  <si>
    <t>27N</t>
  </si>
  <si>
    <t>133</t>
  </si>
  <si>
    <t>THPT Yên Dũng số 1</t>
  </si>
  <si>
    <t>7.50</t>
  </si>
  <si>
    <t>7.42</t>
  </si>
  <si>
    <t>Bổ sung minh chứng</t>
  </si>
  <si>
    <t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</si>
  <si>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KSVBS2642326</t>
  </si>
  <si>
    <t>35</t>
  </si>
  <si>
    <t>LÊ BÙI GIA HÂN</t>
  </si>
  <si>
    <t>19/01/2008</t>
  </si>
  <si>
    <t>legiahan401@gmail.com</t>
  </si>
  <si>
    <t>0819523730</t>
  </si>
  <si>
    <t>số 283 ấp Long An 4</t>
  </si>
  <si>
    <t>80015581</t>
  </si>
  <si>
    <t>061673</t>
  </si>
  <si>
    <t>D26942098</t>
  </si>
  <si>
    <t>737.00</t>
  </si>
  <si>
    <t>20/03/2026</t>
  </si>
  <si>
    <t>25VN535615LEB028A</t>
  </si>
  <si>
    <t>ChungChiTA_69_080308001683.pdf</t>
  </si>
  <si>
    <t>245</t>
  </si>
  <si>
    <t>THPT Cần Giuộc</t>
  </si>
  <si>
    <t>8.78</t>
  </si>
  <si>
    <t>8.89</t>
  </si>
  <si>
    <t>KQTHPT_69_080308001683.pdf</t>
  </si>
  <si>
    <t>KQDGNL_69_080308001683.pdf</t>
  </si>
  <si>
    <t>KSVBS2638157</t>
  </si>
  <si>
    <t>39</t>
  </si>
  <si>
    <t>PHẠM NGỌC DUNG</t>
  </si>
  <si>
    <t>18/09/2008</t>
  </si>
  <si>
    <t>dungpham.31261570469@st.ueh.edu.vn</t>
  </si>
  <si>
    <t>0932466792</t>
  </si>
  <si>
    <t xml:space="preserve">Đường ấp Long An 4 </t>
  </si>
  <si>
    <t>80015539</t>
  </si>
  <si>
    <t>021627</t>
  </si>
  <si>
    <t>D26165683</t>
  </si>
  <si>
    <t>685.00</t>
  </si>
  <si>
    <t>060391</t>
  </si>
  <si>
    <t>D26831575</t>
  </si>
  <si>
    <t>551.00</t>
  </si>
  <si>
    <t>8.42</t>
  </si>
  <si>
    <t>KQTHPT_70_080308013680.pdf</t>
  </si>
  <si>
    <t>KQDGNL_70_080308013680.pdf</t>
  </si>
  <si>
    <t>NGUYỄN VÂN ANH</t>
  </si>
  <si>
    <t>07/07/2008</t>
  </si>
  <si>
    <t>nguyenvananh7708@gmail.com</t>
  </si>
  <si>
    <t>0773138215</t>
  </si>
  <si>
    <t>086308000805</t>
  </si>
  <si>
    <t>273a/22 ấp Phú Long A, xã Phú Quới, tỉnh Vĩnh Long</t>
  </si>
  <si>
    <t>86017317</t>
  </si>
  <si>
    <t>422</t>
  </si>
  <si>
    <t>THCS và THPT Phú Quới</t>
  </si>
  <si>
    <t>7.27</t>
  </si>
  <si>
    <t>7.36</t>
  </si>
  <si>
    <t>KQTHPT_71_086308000805.pdf</t>
  </si>
  <si>
    <t>KSVBS2615007</t>
  </si>
  <si>
    <t>45</t>
  </si>
  <si>
    <t>NGUYỄN DUY THANH</t>
  </si>
  <si>
    <t>30/03/2008</t>
  </si>
  <si>
    <t>nguyendithanhh77223@gmail.com</t>
  </si>
  <si>
    <t>0962287654</t>
  </si>
  <si>
    <t>34, Ấp Bình Tây 2</t>
  </si>
  <si>
    <t>86006228</t>
  </si>
  <si>
    <t>500281</t>
  </si>
  <si>
    <t>D26704076</t>
  </si>
  <si>
    <t>582.00</t>
  </si>
  <si>
    <t>570368</t>
  </si>
  <si>
    <t>D26G2JUEM</t>
  </si>
  <si>
    <t>178</t>
  </si>
  <si>
    <t>THPT An Thới (Trước 2025)</t>
  </si>
  <si>
    <t>128</t>
  </si>
  <si>
    <t>THPT An Thới</t>
  </si>
  <si>
    <t>8.25</t>
  </si>
  <si>
    <t>9.31</t>
  </si>
  <si>
    <t>KQTHPT_72_083208000690.pdf</t>
  </si>
  <si>
    <t>KQDGNL_72_083208000690.pdf</t>
  </si>
  <si>
    <t>KSVBS2622915</t>
  </si>
  <si>
    <t>67</t>
  </si>
  <si>
    <t>BÙI KIM TRIỂN</t>
  </si>
  <si>
    <t>18/04/2008</t>
  </si>
  <si>
    <t>kimtrienbui@gmail.com</t>
  </si>
  <si>
    <t>0792392660</t>
  </si>
  <si>
    <t>ấp Thanh Long</t>
  </si>
  <si>
    <t>79134235</t>
  </si>
  <si>
    <t>230695</t>
  </si>
  <si>
    <t>D26213065</t>
  </si>
  <si>
    <t>871.00</t>
  </si>
  <si>
    <t>023625</t>
  </si>
  <si>
    <t>D265HATAY</t>
  </si>
  <si>
    <t>887.00</t>
  </si>
  <si>
    <t>KQTHPT_73_077208001964.pdf</t>
  </si>
  <si>
    <t>KQDGNL_73_077208001964.pdf</t>
  </si>
  <si>
    <t>KSVBS2647175</t>
  </si>
  <si>
    <t>53</t>
  </si>
  <si>
    <t>MAI HỮU TÀI</t>
  </si>
  <si>
    <t>19/05/2008</t>
  </si>
  <si>
    <t>epixgoes@gmail.com</t>
  </si>
  <si>
    <t>0769712280</t>
  </si>
  <si>
    <t>Tổ 27 ấp Hòa An</t>
  </si>
  <si>
    <t>79045946</t>
  </si>
  <si>
    <t>140102</t>
  </si>
  <si>
    <t>D26418974</t>
  </si>
  <si>
    <t>734.00</t>
  </si>
  <si>
    <t>140917</t>
  </si>
  <si>
    <t>D26917315</t>
  </si>
  <si>
    <t>872.00</t>
  </si>
  <si>
    <t>075</t>
  </si>
  <si>
    <t>THPT Võ Trường Toản</t>
  </si>
  <si>
    <t>KQTHPT_74_086208009865.pdf</t>
  </si>
  <si>
    <t>KQDGNL_74_086208009865.pdf</t>
  </si>
  <si>
    <t>KSVBS2644460</t>
  </si>
  <si>
    <t>47</t>
  </si>
  <si>
    <t>LÊ VĨNH KHANG</t>
  </si>
  <si>
    <t>13/12/2005</t>
  </si>
  <si>
    <t>levinhkhang84@gmail.com</t>
  </si>
  <si>
    <t>0913332461</t>
  </si>
  <si>
    <t>Ấp Cái Rắn A</t>
  </si>
  <si>
    <t>02b</t>
  </si>
  <si>
    <t>2023</t>
  </si>
  <si>
    <t>92012000</t>
  </si>
  <si>
    <t>399</t>
  </si>
  <si>
    <t>THPT Phú Hưng</t>
  </si>
  <si>
    <t>GDPT2006</t>
  </si>
  <si>
    <t>7.48</t>
  </si>
  <si>
    <t>7.18</t>
  </si>
  <si>
    <t>8.04</t>
  </si>
  <si>
    <t xml:space="preserve">- Bổ sung học bạ THPT thêm ảnh bìa thông tin học sinh nha e
</t>
  </si>
  <si>
    <t>KQTHPT_75_096205010696.pdf</t>
  </si>
  <si>
    <t>KSVBS2643272</t>
  </si>
  <si>
    <t>63</t>
  </si>
  <si>
    <t>LÊ NGỌC HÂN</t>
  </si>
  <si>
    <t>01/01/2008</t>
  </si>
  <si>
    <t>lengochan010108@gmail.com</t>
  </si>
  <si>
    <t>0325243150</t>
  </si>
  <si>
    <t>326 QL60</t>
  </si>
  <si>
    <t>86004464</t>
  </si>
  <si>
    <t>5.71</t>
  </si>
  <si>
    <t>KQTHPT_76_083308010613.pdf</t>
  </si>
  <si>
    <t>KQVSAT_76_083308010613.pdf</t>
  </si>
  <si>
    <t>KSVBS2615477</t>
  </si>
  <si>
    <t>60</t>
  </si>
  <si>
    <t>NGUYỄN MAI KHANH</t>
  </si>
  <si>
    <t>thanhnam08071995@gmail.com</t>
  </si>
  <si>
    <t>0327138283</t>
  </si>
  <si>
    <t>78 đường 652</t>
  </si>
  <si>
    <t>79007817</t>
  </si>
  <si>
    <t>044</t>
  </si>
  <si>
    <t>THPT Nguyễn Thị Diệu</t>
  </si>
  <si>
    <t>6.51</t>
  </si>
  <si>
    <t>KQTHPT_77_079308028343.pdf</t>
  </si>
  <si>
    <t>KSVBS2618146</t>
  </si>
  <si>
    <t>66</t>
  </si>
  <si>
    <t>NGUYỄN PHÚC NGUYÊN</t>
  </si>
  <si>
    <t>15/04/2008</t>
  </si>
  <si>
    <t>nguyennguyen.31261570481@st.ueh.edu.vn</t>
  </si>
  <si>
    <t>0859677669</t>
  </si>
  <si>
    <t>251C,ấp Vĩnh Thạnh, Quốc lộ 80</t>
  </si>
  <si>
    <t>8201335</t>
  </si>
  <si>
    <t>319</t>
  </si>
  <si>
    <t>THPT Lấp Vò 1</t>
  </si>
  <si>
    <t>KQTHPT_79_087208000775.pdf</t>
  </si>
  <si>
    <t>127</t>
  </si>
  <si>
    <t>6.75</t>
  </si>
  <si>
    <t>8.90</t>
  </si>
  <si>
    <t>KSVBS2605793</t>
  </si>
  <si>
    <t>50</t>
  </si>
  <si>
    <t>NGÔ THỊ ANH THƯ</t>
  </si>
  <si>
    <t>25/06/2008</t>
  </si>
  <si>
    <t>panh07787@gmail.com</t>
  </si>
  <si>
    <t>0369562288</t>
  </si>
  <si>
    <t xml:space="preserve">Số Nhà 298, Khóm Mỹ Lợi </t>
  </si>
  <si>
    <t>86024812</t>
  </si>
  <si>
    <t>413</t>
  </si>
  <si>
    <t>THPT Lê Thanh Mừng</t>
  </si>
  <si>
    <t>7.58</t>
  </si>
  <si>
    <t>KQTHPT_81_086308007620.pdf</t>
  </si>
  <si>
    <t>KSVBS2612300</t>
  </si>
  <si>
    <t>87</t>
  </si>
  <si>
    <t>TRÀ NGUYỄN Ý VY</t>
  </si>
  <si>
    <t>02/09/2007</t>
  </si>
  <si>
    <t>tranguyenyvy3434@gmail.com</t>
  </si>
  <si>
    <t>0915946083</t>
  </si>
  <si>
    <t xml:space="preserve">Ấp Lung Trường </t>
  </si>
  <si>
    <t>028</t>
  </si>
  <si>
    <t>THPT Quách Văn Phẩm</t>
  </si>
  <si>
    <t>7.77</t>
  </si>
  <si>
    <t>Trường có điều chỉnh giới tính thành Nữ</t>
  </si>
  <si>
    <t>KQVSAT_83_096307008480.pdf</t>
  </si>
  <si>
    <t>8.23</t>
  </si>
  <si>
    <t>KSVBS2643155</t>
  </si>
  <si>
    <t>52</t>
  </si>
  <si>
    <t>ĐỖ NGUYỄN THUÝ AN</t>
  </si>
  <si>
    <t>28/01/2008</t>
  </si>
  <si>
    <t>and503295@gmail.com</t>
  </si>
  <si>
    <t>0334405882</t>
  </si>
  <si>
    <t>ấp mỹ phú</t>
  </si>
  <si>
    <t>82020884</t>
  </si>
  <si>
    <t>611</t>
  </si>
  <si>
    <t>THPT Huỳnh Văn Sâm</t>
  </si>
  <si>
    <t>5.50</t>
  </si>
  <si>
    <t>7.90</t>
  </si>
  <si>
    <t>Điểm tổ hợp môn thi tốt nghiệp THPT theo các tổ hợp xét tuyển UEH không thỏa điều kiện &lt;15</t>
  </si>
  <si>
    <t>KQTHPT_85_082308013726.pdf</t>
  </si>
  <si>
    <t>KSVBS2649001</t>
  </si>
  <si>
    <t>102</t>
  </si>
  <si>
    <t>NGUYỄN NAM ANH</t>
  </si>
  <si>
    <t>10/03/2008</t>
  </si>
  <si>
    <t>namanht028@gmail.com</t>
  </si>
  <si>
    <t>0766963034</t>
  </si>
  <si>
    <t xml:space="preserve">ấp chợ xã cái nhum tỉnh vĩnh long </t>
  </si>
  <si>
    <t>86018407</t>
  </si>
  <si>
    <t>426</t>
  </si>
  <si>
    <t>THPT Nguyễn Văn Thiệt</t>
  </si>
  <si>
    <t>6.61</t>
  </si>
  <si>
    <t>7.93</t>
  </si>
  <si>
    <t>KQTHPT_87_086208001876.pdf</t>
  </si>
  <si>
    <t>KSVBS2600914</t>
  </si>
  <si>
    <t>59</t>
  </si>
  <si>
    <t>HUỲNH BẢO TRÂN</t>
  </si>
  <si>
    <t>20/06/2008</t>
  </si>
  <si>
    <t>baotranhuynh2207@gmail.com</t>
  </si>
  <si>
    <t>0907819646</t>
  </si>
  <si>
    <t>số 89, ấp thới hoà C1</t>
  </si>
  <si>
    <t>92005163</t>
  </si>
  <si>
    <t>015</t>
  </si>
  <si>
    <t>Trường THPT Lưu Hữu Phước</t>
  </si>
  <si>
    <t>8.12</t>
  </si>
  <si>
    <t>8.34</t>
  </si>
  <si>
    <t>KQTHPT_88_092308000202.pdf</t>
  </si>
  <si>
    <t>KQVSAT_88_092308000202.pdf</t>
  </si>
  <si>
    <t>KSVBS2608906</t>
  </si>
  <si>
    <t>64</t>
  </si>
  <si>
    <t>CHÂU DIỆP NGỌC TƯƠI</t>
  </si>
  <si>
    <t>04/10/2007</t>
  </si>
  <si>
    <t>chaudiepngoctuoi@gmail.com</t>
  </si>
  <si>
    <t>0907507776</t>
  </si>
  <si>
    <t>94 Nguyễn Văn Lâu Khóm 1</t>
  </si>
  <si>
    <t>428</t>
  </si>
  <si>
    <t>THPT Nguyễn Thông</t>
  </si>
  <si>
    <t>KQVSAT_89_086307005884.pdf</t>
  </si>
  <si>
    <t>KSVBS2622500</t>
  </si>
  <si>
    <t>68</t>
  </si>
  <si>
    <t>HUỲNH PHƯƠNG THẢO</t>
  </si>
  <si>
    <t>08/06/2008</t>
  </si>
  <si>
    <t>huynhthao08062008@gmail.com</t>
  </si>
  <si>
    <t>0948703245</t>
  </si>
  <si>
    <t>111A, Đường Phạm Thái Bường, Phường Phước Hậu, Tỉnh Vĩnh Long</t>
  </si>
  <si>
    <t>86016363</t>
  </si>
  <si>
    <t>510946</t>
  </si>
  <si>
    <t>D26731018</t>
  </si>
  <si>
    <t>678.00</t>
  </si>
  <si>
    <t>KQTHPT_90_083308004568.pdf</t>
  </si>
  <si>
    <t>KQDGNL_90_083308004568.pdf</t>
  </si>
  <si>
    <t>KSVBS2641380</t>
  </si>
  <si>
    <t>61</t>
  </si>
  <si>
    <t>HUỲNH LÊ HỒNG NGÂN</t>
  </si>
  <si>
    <t>15/05/2008</t>
  </si>
  <si>
    <t>nganhuynh.951505@gmail.com</t>
  </si>
  <si>
    <t>0792518575</t>
  </si>
  <si>
    <t xml:space="preserve">518 Trần Hưng Đạo tổ 36 khóm 4 </t>
  </si>
  <si>
    <t>82008371</t>
  </si>
  <si>
    <t>580638</t>
  </si>
  <si>
    <t>D267KD7RB</t>
  </si>
  <si>
    <t>635.00</t>
  </si>
  <si>
    <t>302</t>
  </si>
  <si>
    <t>THPT Cao Lãnh</t>
  </si>
  <si>
    <t>KQTHPT_91_087308009654.pdf</t>
  </si>
  <si>
    <t>KQDGNL_91_087308009654.pdf</t>
  </si>
  <si>
    <t>KSVBS2603693</t>
  </si>
  <si>
    <t>62</t>
  </si>
  <si>
    <t>NGUYỄN THÀNH DANH LỢI</t>
  </si>
  <si>
    <t>03/06/2008</t>
  </si>
  <si>
    <t>nguyenloi2k836@gmail.com</t>
  </si>
  <si>
    <t>0364456488</t>
  </si>
  <si>
    <t>072208011863</t>
  </si>
  <si>
    <t xml:space="preserve">Ấp Thuận Hoà </t>
  </si>
  <si>
    <t>80025565</t>
  </si>
  <si>
    <t>034</t>
  </si>
  <si>
    <t>THPT Nguyễn Huệ</t>
  </si>
  <si>
    <t>8.05</t>
  </si>
  <si>
    <t>7.70</t>
  </si>
  <si>
    <t xml:space="preserve">- Bổ sung tệp Giấy chứng nhận kết quả thi tốt nghiệp THPT năm 2026 (định dạng PDF)
</t>
  </si>
  <si>
    <t>KQTHPT_92_072208011863.pdf</t>
  </si>
  <si>
    <t>KSVBS2600202</t>
  </si>
  <si>
    <t>65</t>
  </si>
  <si>
    <t>HUỲNH NGÂN GIAO</t>
  </si>
  <si>
    <t>30/04/2008</t>
  </si>
  <si>
    <t>giaohg1234@gmail.com</t>
  </si>
  <si>
    <t>0376435793</t>
  </si>
  <si>
    <t>255, Ấp Hoà An B, xã Hoà Thuận, tỉnh An Giang</t>
  </si>
  <si>
    <t>91018048</t>
  </si>
  <si>
    <t>Trường THPT Giồng Riềng</t>
  </si>
  <si>
    <t>8.14</t>
  </si>
  <si>
    <t>7.51</t>
  </si>
  <si>
    <t>7.71</t>
  </si>
  <si>
    <t>KQTHPT_94_091308014159.pdf</t>
  </si>
  <si>
    <t>KQVSAT_94_091308014159.pdf</t>
  </si>
  <si>
    <t>KSVBS2631682</t>
  </si>
  <si>
    <t>74</t>
  </si>
  <si>
    <t>NGUYỄN QUỐC MINH NGUYỆT</t>
  </si>
  <si>
    <t>23/10/2008</t>
  </si>
  <si>
    <t>minhnguyetnguyenquoc@gmail.com</t>
  </si>
  <si>
    <t>0846578578</t>
  </si>
  <si>
    <t>Số 50B, Đường Trưng Nữ Vương, Phường Long Châu, Tỉnh Vĩnh Long</t>
  </si>
  <si>
    <t>92014084</t>
  </si>
  <si>
    <t>077</t>
  </si>
  <si>
    <t>Trường THPT FPT Cần Thơ</t>
  </si>
  <si>
    <t>8.52</t>
  </si>
  <si>
    <t>KQTHPT_96_086308006995.pdf</t>
  </si>
  <si>
    <t>06/05/2008</t>
  </si>
  <si>
    <t>KSVBS2610787</t>
  </si>
  <si>
    <t>77</t>
  </si>
  <si>
    <t>NGUYỄN THÀNH TÂM</t>
  </si>
  <si>
    <t>nguyenthanhtam2021vl@gmail.com</t>
  </si>
  <si>
    <t>0792573639</t>
  </si>
  <si>
    <t>086208011850</t>
  </si>
  <si>
    <t>ấp thiềng long 2</t>
  </si>
  <si>
    <t>86017079</t>
  </si>
  <si>
    <t>406</t>
  </si>
  <si>
    <t>THPT Phạm Hùng</t>
  </si>
  <si>
    <t>7.32</t>
  </si>
  <si>
    <t>7.53</t>
  </si>
  <si>
    <t xml:space="preserve">Bổ sung Giấy chứng nhận kết quả thi THPT 2026 </t>
  </si>
  <si>
    <t>KQTHPT_98_086208011850.pdf</t>
  </si>
  <si>
    <t>KSVBS2646594</t>
  </si>
  <si>
    <t>85</t>
  </si>
  <si>
    <t>NGUYỄN ĐAN THANH</t>
  </si>
  <si>
    <t>18/12/2008</t>
  </si>
  <si>
    <t>nguyendanthanh1218@gmail.com</t>
  </si>
  <si>
    <t>0706325895</t>
  </si>
  <si>
    <t>086308005178</t>
  </si>
  <si>
    <t>115/A/12 đường 14 tháng 9</t>
  </si>
  <si>
    <t>86016354</t>
  </si>
  <si>
    <t>KQTHPT_99_086308005178.pdf</t>
  </si>
  <si>
    <t>KSVBS2649203</t>
  </si>
  <si>
    <t>69</t>
  </si>
  <si>
    <t>PHẠM THỤY TRÂM ANH</t>
  </si>
  <si>
    <t>manhyangho0301@gmail.com</t>
  </si>
  <si>
    <t>0797280837</t>
  </si>
  <si>
    <t>625, tổ 13, ấp An Thạnh, xã Phú Hựu, tỉnh Đồng Tháp</t>
  </si>
  <si>
    <t>82017938</t>
  </si>
  <si>
    <t>305</t>
  </si>
  <si>
    <t>THPT Châu Thành 1</t>
  </si>
  <si>
    <t>8.79</t>
  </si>
  <si>
    <t>KQTHPT_104_087308004435.pdf</t>
  </si>
  <si>
    <t>KSVBS2607253</t>
  </si>
  <si>
    <t>76</t>
  </si>
  <si>
    <t>LÊ THỊ KIỀU OANH</t>
  </si>
  <si>
    <t>10/05/2008</t>
  </si>
  <si>
    <t>lethkieuoannh@gmail.com</t>
  </si>
  <si>
    <t>0395944701</t>
  </si>
  <si>
    <t xml:space="preserve">Ấp Tân Tây 3 </t>
  </si>
  <si>
    <t>82036403</t>
  </si>
  <si>
    <t>572350</t>
  </si>
  <si>
    <t>D26VQ32XP</t>
  </si>
  <si>
    <t>502.00</t>
  </si>
  <si>
    <t>609</t>
  </si>
  <si>
    <t>THPT Gò Công Đông</t>
  </si>
  <si>
    <t>7.13</t>
  </si>
  <si>
    <t>8.18</t>
  </si>
  <si>
    <t xml:space="preserve">- Bổ sung tệp Giấy chứng nhận kết quả thi Đánh giá năng lực (ĐGNL) năm 2026 (định dạng PDF)
</t>
  </si>
  <si>
    <t>KQTHPT_105_082308006662.pdf</t>
  </si>
  <si>
    <t>KQDGNL_105_082308006662.pdf</t>
  </si>
  <si>
    <t>KSVBS2605978</t>
  </si>
  <si>
    <t>115</t>
  </si>
  <si>
    <t>NGUYỄN HOÀNG KHANG</t>
  </si>
  <si>
    <t>khanglinh098@gmail.com</t>
  </si>
  <si>
    <t>0904550831</t>
  </si>
  <si>
    <t>086208008791</t>
  </si>
  <si>
    <t>nhà số 27, đường số 12, khu nhà ở Hoàng Hảo, Thanh Đức, Vĩnh Long</t>
  </si>
  <si>
    <t>86013569</t>
  </si>
  <si>
    <t>8.30</t>
  </si>
  <si>
    <t>KQTHPT_106_086208008791.pdf</t>
  </si>
  <si>
    <t>KSVBS2639007</t>
  </si>
  <si>
    <t>79</t>
  </si>
  <si>
    <t>NGUYỄN HỮU CHUẨN KHOA</t>
  </si>
  <si>
    <t>chuankhoa08@gmail.com</t>
  </si>
  <si>
    <t>0829639129</t>
  </si>
  <si>
    <t>tổ 11 , ấp Tân Phú, xã Phú Hựu, tỉnh Đồng Tháp</t>
  </si>
  <si>
    <t>82018666</t>
  </si>
  <si>
    <t>581079</t>
  </si>
  <si>
    <t>D263493GC</t>
  </si>
  <si>
    <t>576.00</t>
  </si>
  <si>
    <t>306</t>
  </si>
  <si>
    <t>THPT Châu Thành 2</t>
  </si>
  <si>
    <t>7.82</t>
  </si>
  <si>
    <t xml:space="preserve">- Bổ sung tệp Giấy chứng nhận kết quả thi V-SAT năm 2026 (định dạng PDF)
</t>
  </si>
  <si>
    <t>KQTHPT_107_087208010723.pdf</t>
  </si>
  <si>
    <t>KQDGNL_107_087208010723.pdf</t>
  </si>
  <si>
    <t>KQVSAT_107_087208010723.pdf</t>
  </si>
  <si>
    <t>7.16</t>
  </si>
  <si>
    <t>KSVBS2611886</t>
  </si>
  <si>
    <t>73</t>
  </si>
  <si>
    <t>ĐỖ PHƯƠNG VY</t>
  </si>
  <si>
    <t>dophuongvyag2008@gmail.com</t>
  </si>
  <si>
    <t>0974510157</t>
  </si>
  <si>
    <t>22/8z, Thánh Thiên</t>
  </si>
  <si>
    <t>91022174</t>
  </si>
  <si>
    <t>540117</t>
  </si>
  <si>
    <t>D26419307</t>
  </si>
  <si>
    <t>775.00</t>
  </si>
  <si>
    <t>610190</t>
  </si>
  <si>
    <t>D265P5F2Q</t>
  </si>
  <si>
    <t>770.00</t>
  </si>
  <si>
    <t>Trường THPT Long Xuyên</t>
  </si>
  <si>
    <t>KQTHPT_109_086308000630.pdf</t>
  </si>
  <si>
    <t>KQDGNL_109_086308000630.pdf</t>
  </si>
  <si>
    <t>KSVBS2624777</t>
  </si>
  <si>
    <t>93</t>
  </si>
  <si>
    <t>NGUYỄN PHÚ HÀO</t>
  </si>
  <si>
    <t>26/10/2008</t>
  </si>
  <si>
    <t>nguyenphuhao.official@gmail.com</t>
  </si>
  <si>
    <t>0333690063</t>
  </si>
  <si>
    <t>082208015752</t>
  </si>
  <si>
    <t>Tổ 10, Ấp 3</t>
  </si>
  <si>
    <t>82019636</t>
  </si>
  <si>
    <t>622</t>
  </si>
  <si>
    <t>THPT Phạm Thành Trung</t>
  </si>
  <si>
    <t>em bổ sung giấy chứng nhận kết quả thi tốt nghiệp THPT 2026 nhé</t>
  </si>
  <si>
    <t>KSVBS2624948</t>
  </si>
  <si>
    <t>71</t>
  </si>
  <si>
    <t>DƯƠNG THỊ DIỆU THI</t>
  </si>
  <si>
    <t>29/06/2008</t>
  </si>
  <si>
    <t>duongthidieuthi110220@gmail.com</t>
  </si>
  <si>
    <t>0901242703</t>
  </si>
  <si>
    <t xml:space="preserve">311/19, ấp Đông An xã Vĩnh Chánh huyện Thoại Sơn tỉnh An Giang </t>
  </si>
  <si>
    <t>91027079</t>
  </si>
  <si>
    <t>544005</t>
  </si>
  <si>
    <t>D26356087</t>
  </si>
  <si>
    <t>514.00</t>
  </si>
  <si>
    <t>615044</t>
  </si>
  <si>
    <t>D26750879</t>
  </si>
  <si>
    <t>554.00</t>
  </si>
  <si>
    <t>122</t>
  </si>
  <si>
    <t>Trường THPT Nguyễn Khuyến</t>
  </si>
  <si>
    <t>KQTHPT_111_089308002325.pdf</t>
  </si>
  <si>
    <t>KQDGNL_111_089308002325.pdf</t>
  </si>
  <si>
    <t>KSVBS2610852</t>
  </si>
  <si>
    <t>70</t>
  </si>
  <si>
    <t>NGUYỄN LÊ NGỌC HÂN</t>
  </si>
  <si>
    <t>26/08/2008</t>
  </si>
  <si>
    <t>lethanhnga.tn2020@gmail.com</t>
  </si>
  <si>
    <t>0929499740</t>
  </si>
  <si>
    <t>072308010254</t>
  </si>
  <si>
    <t>221 nguyễn trọng cát</t>
  </si>
  <si>
    <t>80018209</t>
  </si>
  <si>
    <t>002</t>
  </si>
  <si>
    <t>THPT Lê Quý Đôn - Tân Ninh</t>
  </si>
  <si>
    <t>7.95</t>
  </si>
  <si>
    <t>7.76</t>
  </si>
  <si>
    <t>Bổ sung Giấy chứng nhận kết quả thi tốt nghiệp THPT 2026 nha e</t>
  </si>
  <si>
    <t>KSVBS2632781</t>
  </si>
  <si>
    <t>72</t>
  </si>
  <si>
    <t>TRƯƠNG THỊ THU TRANG</t>
  </si>
  <si>
    <t>03/09/2008</t>
  </si>
  <si>
    <t>ttrang2263bc@gmail.com</t>
  </si>
  <si>
    <t>0845628142</t>
  </si>
  <si>
    <t>Ấp 5, xã Gành Hào, tỉnh Cà Mau</t>
  </si>
  <si>
    <t>96017949</t>
  </si>
  <si>
    <t>513</t>
  </si>
  <si>
    <t>THPT Gành Hào</t>
  </si>
  <si>
    <t>KQTHPT_113_095308007499.pdf</t>
  </si>
  <si>
    <t>KSVBS2639703</t>
  </si>
  <si>
    <t>75</t>
  </si>
  <si>
    <t>NGUYỄN LÊ HOÀNG DUY</t>
  </si>
  <si>
    <t>28/12/2008</t>
  </si>
  <si>
    <t>nguyenlehoangduy281208@gmail.com</t>
  </si>
  <si>
    <t>0344197951</t>
  </si>
  <si>
    <t>157/15 ấp Mỹ Phú, xã Định Mỹ, Tỉnh An Giang</t>
  </si>
  <si>
    <t>91030492</t>
  </si>
  <si>
    <t>Trường THPT Nguyễn Văn Thoại</t>
  </si>
  <si>
    <t>9.00</t>
  </si>
  <si>
    <t>KQTHPT_115_092208010072.pdf</t>
  </si>
  <si>
    <t>KSVBS2644216</t>
  </si>
  <si>
    <t>91</t>
  </si>
  <si>
    <t>NGUYỄN LÊ HỒNG ÂN</t>
  </si>
  <si>
    <t>13/03/2008</t>
  </si>
  <si>
    <t>hongannguyenle1@gmail.com</t>
  </si>
  <si>
    <t>0777013308</t>
  </si>
  <si>
    <t>082208011717</t>
  </si>
  <si>
    <t>198C,tổ 10, khu phố 10, Phường Trung An,tỉnh Đồng Tháp</t>
  </si>
  <si>
    <t>82027714</t>
  </si>
  <si>
    <t>731</t>
  </si>
  <si>
    <t>THPT chuyên Tiền Giang</t>
  </si>
  <si>
    <t>7.74</t>
  </si>
  <si>
    <t>KQTHPT_116_082208011717.pdf</t>
  </si>
  <si>
    <t>KSVBS2603312</t>
  </si>
  <si>
    <t>82</t>
  </si>
  <si>
    <t>PHẠM GIA LINH</t>
  </si>
  <si>
    <t>27/02/2008</t>
  </si>
  <si>
    <t>phamlinh2722@gmail.com</t>
  </si>
  <si>
    <t>0903017782</t>
  </si>
  <si>
    <t>464 Quang Trung phường Tam Điệp tinh Ninh Bình</t>
  </si>
  <si>
    <t>37003959</t>
  </si>
  <si>
    <t>37N</t>
  </si>
  <si>
    <t>THPT A Nguyễn Huệ</t>
  </si>
  <si>
    <t>7.40</t>
  </si>
  <si>
    <t>KQTHPT_117_037308003748.pdf</t>
  </si>
  <si>
    <t>KSVBS2628210</t>
  </si>
  <si>
    <t>81</t>
  </si>
  <si>
    <t>TRƯƠNG LÊ NGỌC BẢO SƠN</t>
  </si>
  <si>
    <t>05/10/1994</t>
  </si>
  <si>
    <t>baoson6787@gmail.com</t>
  </si>
  <si>
    <t>0354541967</t>
  </si>
  <si>
    <t>079094019852</t>
  </si>
  <si>
    <t>102 Nguyễn Văn Cừ</t>
  </si>
  <si>
    <t>2013</t>
  </si>
  <si>
    <t>063</t>
  </si>
  <si>
    <t>THPT Thủ Đức</t>
  </si>
  <si>
    <t>6.30</t>
  </si>
  <si>
    <t>6.46</t>
  </si>
  <si>
    <t>6.49</t>
  </si>
  <si>
    <t>6.32</t>
  </si>
  <si>
    <t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</si>
  <si>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6.86</t>
  </si>
  <si>
    <t>KSVBS2605074</t>
  </si>
  <si>
    <t>86</t>
  </si>
  <si>
    <t>TRẦN ĐÔNG PHÚ</t>
  </si>
  <si>
    <t>09/04/2007</t>
  </si>
  <si>
    <t>tdp090407@gmail.com</t>
  </si>
  <si>
    <t>0949360904</t>
  </si>
  <si>
    <t>283, tổ 2, ấp Giàn Gừa</t>
  </si>
  <si>
    <t>91020005</t>
  </si>
  <si>
    <t>615762</t>
  </si>
  <si>
    <t>3D076B7A71</t>
  </si>
  <si>
    <t>788.00</t>
  </si>
  <si>
    <t>011</t>
  </si>
  <si>
    <t>Trường THPT Hòn Đất</t>
  </si>
  <si>
    <t>7.08</t>
  </si>
  <si>
    <t>em bổ sung Giấy chứng nhận kết quả thi THPT năm 2026 nhé</t>
  </si>
  <si>
    <t>KQDGNL_123_091207004070.pdf</t>
  </si>
  <si>
    <t>8.15</t>
  </si>
  <si>
    <t>139</t>
  </si>
  <si>
    <t>7.11</t>
  </si>
  <si>
    <t>KSVBS2635329</t>
  </si>
  <si>
    <t>92</t>
  </si>
  <si>
    <t>HỒ PHAN THỊ TUYẾT PHƯƠNG</t>
  </si>
  <si>
    <t>03/11/2008</t>
  </si>
  <si>
    <t>hohophanthituyetphuong@gmail.com</t>
  </si>
  <si>
    <t>0796644992</t>
  </si>
  <si>
    <t>107A, ấp 2</t>
  </si>
  <si>
    <t>82014498</t>
  </si>
  <si>
    <t>316</t>
  </si>
  <si>
    <t>THPT Lai Vung 1</t>
  </si>
  <si>
    <t>KQTHPT_128_087308013713.pdf</t>
  </si>
  <si>
    <t>KQVSAT_128_087308013713.pdf</t>
  </si>
  <si>
    <t>KSVBS2621072</t>
  </si>
  <si>
    <t>103</t>
  </si>
  <si>
    <t>TRẦN PHÚC ĐẠT</t>
  </si>
  <si>
    <t>tranphucdat94@gmail.com</t>
  </si>
  <si>
    <t>0937436218</t>
  </si>
  <si>
    <t>074208007069</t>
  </si>
  <si>
    <t xml:space="preserve">408, ĐX065 </t>
  </si>
  <si>
    <t>79111330</t>
  </si>
  <si>
    <t>271433</t>
  </si>
  <si>
    <t>D26386431</t>
  </si>
  <si>
    <t>669.00</t>
  </si>
  <si>
    <t>401</t>
  </si>
  <si>
    <t>THPT An Mỹ</t>
  </si>
  <si>
    <t>6.98</t>
  </si>
  <si>
    <t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 Bổ sung tệp Giấy chứng nhận kết quả thi tốt nghiệp THPT năm 2026 (định dạng PDF)
</t>
  </si>
  <si>
    <t>KQTHPT_131_074208007069.pdf</t>
  </si>
  <si>
    <t>KQDGNL_131_074208007069.pdf</t>
  </si>
  <si>
    <t>KSVBS2610841</t>
  </si>
  <si>
    <t>111</t>
  </si>
  <si>
    <t>NGUYỄN PHAN TUYẾT NHI</t>
  </si>
  <si>
    <t>nhichidoi9a6@gmail.com</t>
  </si>
  <si>
    <t>0332137016</t>
  </si>
  <si>
    <t>072308004648</t>
  </si>
  <si>
    <t xml:space="preserve">Tổ 6 ấp 5 xã phước an tỉnh đồng nai </t>
  </si>
  <si>
    <t>75033569</t>
  </si>
  <si>
    <t>067</t>
  </si>
  <si>
    <t>THPT Nguyễn Bỉnh Khiêm</t>
  </si>
  <si>
    <t>6.88</t>
  </si>
  <si>
    <t>KQTHPT_133_072308004648.pdf</t>
  </si>
  <si>
    <t>KSVBS2642636</t>
  </si>
  <si>
    <t>94</t>
  </si>
  <si>
    <t>ÔN MỸ PHƯƠNG</t>
  </si>
  <si>
    <t>04/07/2008</t>
  </si>
  <si>
    <t>miphg0208@gmail.com</t>
  </si>
  <si>
    <t>0948664820</t>
  </si>
  <si>
    <t>59/3A, Khóm 4, Hẻm Thoại Ngọc Hầu, Mỹ Long, Long Xuyên, An Giang</t>
  </si>
  <si>
    <t>91021928</t>
  </si>
  <si>
    <t>541223</t>
  </si>
  <si>
    <t>D26548259</t>
  </si>
  <si>
    <t>742.00</t>
  </si>
  <si>
    <t>611589</t>
  </si>
  <si>
    <t>D26680376</t>
  </si>
  <si>
    <t>623.00</t>
  </si>
  <si>
    <t>09/05/2026</t>
  </si>
  <si>
    <t>26VN507018ONM101A</t>
  </si>
  <si>
    <t>ChungChiTA_134_089308000129.pdf</t>
  </si>
  <si>
    <t>6.92</t>
  </si>
  <si>
    <t>8.20</t>
  </si>
  <si>
    <t>Trường điều chỉnh học lực từ Giỏi =&gt; Tốt theo học bạ của em</t>
  </si>
  <si>
    <t>KQTHPT_134_089308000129.pdf</t>
  </si>
  <si>
    <t>KQDGNL_134_089308000129.pdf</t>
  </si>
  <si>
    <t>KSVBS2644227</t>
  </si>
  <si>
    <t>96</t>
  </si>
  <si>
    <t>NGUYỄN QUỐC MINH</t>
  </si>
  <si>
    <t>nguyenquocminh419@gmail.com</t>
  </si>
  <si>
    <t>0868658497</t>
  </si>
  <si>
    <t>094208006813</t>
  </si>
  <si>
    <t>174</t>
  </si>
  <si>
    <t>92026042</t>
  </si>
  <si>
    <t>456</t>
  </si>
  <si>
    <t>Trường THPT Mai Thanh Thế (trước 01/7/2025)</t>
  </si>
  <si>
    <t>227</t>
  </si>
  <si>
    <t>Trường THPT Mai Thanh Thế</t>
  </si>
  <si>
    <t>KQTHPT_135_094208006813.pdf</t>
  </si>
  <si>
    <t>13/06/2008</t>
  </si>
  <si>
    <t>7.29</t>
  </si>
  <si>
    <t>KSVBS2604269</t>
  </si>
  <si>
    <t>97</t>
  </si>
  <si>
    <t>NGUYỄN HOÀNG ANH</t>
  </si>
  <si>
    <t>12/02/2008</t>
  </si>
  <si>
    <t>anhvecaki692@gmail.com</t>
  </si>
  <si>
    <t>0352837789</t>
  </si>
  <si>
    <t>xóm Chùa, thôn Tân Trung</t>
  </si>
  <si>
    <t>68009037</t>
  </si>
  <si>
    <t>050</t>
  </si>
  <si>
    <t>THPT Tân Hà</t>
  </si>
  <si>
    <t>8.96</t>
  </si>
  <si>
    <t>KQTHPT_137_068208007545.pdf</t>
  </si>
  <si>
    <t>KSVBS2602429</t>
  </si>
  <si>
    <t>95</t>
  </si>
  <si>
    <t>PHẠM LÊ CẨM NGỌC</t>
  </si>
  <si>
    <t>camngoc231108@gmail.com</t>
  </si>
  <si>
    <t>0981124901</t>
  </si>
  <si>
    <t>089308016017</t>
  </si>
  <si>
    <t>Tổ 15,Ấp 2</t>
  </si>
  <si>
    <t>91021824</t>
  </si>
  <si>
    <t>8.10</t>
  </si>
  <si>
    <t>Em bổ sung học bạ có mộc đỏ nha</t>
  </si>
  <si>
    <t>KQTHPT_138_089308016017.pdf</t>
  </si>
  <si>
    <t>KSVBS2626461</t>
  </si>
  <si>
    <t>98</t>
  </si>
  <si>
    <t>NGUYỄN TRUNG VŨ</t>
  </si>
  <si>
    <t>09/05/2008</t>
  </si>
  <si>
    <t>nguyenvux95@gmail.com</t>
  </si>
  <si>
    <t>0382731611</t>
  </si>
  <si>
    <t>038208002727</t>
  </si>
  <si>
    <t>Khu phố 1 Đức Thắng</t>
  </si>
  <si>
    <t>68024623</t>
  </si>
  <si>
    <t>400926</t>
  </si>
  <si>
    <t>D26381761</t>
  </si>
  <si>
    <t>575.00</t>
  </si>
  <si>
    <t>032320</t>
  </si>
  <si>
    <t>D26139324</t>
  </si>
  <si>
    <t>725.00</t>
  </si>
  <si>
    <t>323</t>
  </si>
  <si>
    <t>THPT Phan Thiết</t>
  </si>
  <si>
    <t>6.36</t>
  </si>
  <si>
    <t>6.37</t>
  </si>
  <si>
    <t>Bổ sung học bạ có mộc đỏ nha em</t>
  </si>
  <si>
    <t>KQTHPT_139_038208002727.pdf</t>
  </si>
  <si>
    <t>KQDGNL_139_038208002727.pdf</t>
  </si>
  <si>
    <t>KSVBS2610292</t>
  </si>
  <si>
    <t>LÊ BẢO TRÂM</t>
  </si>
  <si>
    <t>tramlebao118@gmail.com</t>
  </si>
  <si>
    <t>0325730409</t>
  </si>
  <si>
    <t>thôn Quỳnh Ngọc</t>
  </si>
  <si>
    <t>66012061</t>
  </si>
  <si>
    <t>450488</t>
  </si>
  <si>
    <t>D26860710</t>
  </si>
  <si>
    <t>757.00</t>
  </si>
  <si>
    <t>039</t>
  </si>
  <si>
    <t>Trường THPT số 1 Phạm Văn Đồng</t>
  </si>
  <si>
    <t>KQTHPT_140_066308009933.pdf</t>
  </si>
  <si>
    <t>KQDGNL_140_066308009933.pdf</t>
  </si>
  <si>
    <t>KSVBS2613966</t>
  </si>
  <si>
    <t>99</t>
  </si>
  <si>
    <t>NGUYỄN NGỌC BẢO LOAN</t>
  </si>
  <si>
    <t>31/01/2007</t>
  </si>
  <si>
    <t>nguyenngocbaoloan910@gmail.com</t>
  </si>
  <si>
    <t>0365857417</t>
  </si>
  <si>
    <t xml:space="preserve">tổ 5, khu phố Tân Phú, phường Tân Triều, tỉnh Đồng Nai </t>
  </si>
  <si>
    <t>75003150</t>
  </si>
  <si>
    <t>025</t>
  </si>
  <si>
    <t>THPT Vĩnh Cửu</t>
  </si>
  <si>
    <t>Lưu ý UEH Mekong chỉ xét điểm thi VSAT do Đại học Cần Thơ tổ chức nha em</t>
  </si>
  <si>
    <t>KQTHPT_142_038307007810.pdf</t>
  </si>
  <si>
    <t>KQVSAT_142_038307007810.pdf</t>
  </si>
  <si>
    <t>KSVBS2631437</t>
  </si>
  <si>
    <t>VÕ TUYẾT LÊ</t>
  </si>
  <si>
    <t>08/02/2007</t>
  </si>
  <si>
    <t>votuyetle2007@gmail.com</t>
  </si>
  <si>
    <t>0962190726</t>
  </si>
  <si>
    <t>97/3 G ấp 65, đường Phạm Thị Giây, xã Đông Thạnh, thành phố Hồ Chí Minh</t>
  </si>
  <si>
    <t>79088789</t>
  </si>
  <si>
    <t>THPT Nguyễn Hữu Tiến</t>
  </si>
  <si>
    <t>KQTHPT_143_058307004501.pdf</t>
  </si>
  <si>
    <t>KSVBS2621873</t>
  </si>
  <si>
    <t>106</t>
  </si>
  <si>
    <t>NGUYỄN THU HẰNG</t>
  </si>
  <si>
    <t>20/04/2008</t>
  </si>
  <si>
    <t>nhhang2@gmail.com</t>
  </si>
  <si>
    <t>0972505985</t>
  </si>
  <si>
    <t xml:space="preserve">Tổ dân phố Phúc Xá </t>
  </si>
  <si>
    <t>33005334</t>
  </si>
  <si>
    <t>33N</t>
  </si>
  <si>
    <t>Trường THPT Mỹ Hào</t>
  </si>
  <si>
    <t>8.66</t>
  </si>
  <si>
    <t>KQTHPT_145_033308007672.pdf</t>
  </si>
  <si>
    <t>KSVBS2649039</t>
  </si>
  <si>
    <t>NGUYỄN THỊ NHÃ THƠ</t>
  </si>
  <si>
    <t>12/01/2008</t>
  </si>
  <si>
    <t>nhatho1218@gmail.com</t>
  </si>
  <si>
    <t>0345159319</t>
  </si>
  <si>
    <t xml:space="preserve">Ấp Chợ </t>
  </si>
  <si>
    <t>75050376</t>
  </si>
  <si>
    <t>460886</t>
  </si>
  <si>
    <t>D26462782</t>
  </si>
  <si>
    <t>652.00</t>
  </si>
  <si>
    <t>172121</t>
  </si>
  <si>
    <t>D26745462</t>
  </si>
  <si>
    <t>580.00</t>
  </si>
  <si>
    <t>THPT Bình Long</t>
  </si>
  <si>
    <t xml:space="preserve">Em chụp đầy đủ tất cả các trang trong học bạ:
• Trang thông tin học sinh
• Kết quả học tập 10,11,12
• Kết quả rèn luyện, nhận xét lớp 10, 11, 12
=&gt; Hình ảnh phải rõ nét, đầy đủ chữ ký và dấu mộc trường THPT
</t>
  </si>
  <si>
    <t>KQTHPT_146_084308001622.pdf</t>
  </si>
  <si>
    <t>KQDGNL_146_084308001622.pdf</t>
  </si>
  <si>
    <t>24/06/2008</t>
  </si>
  <si>
    <t>KSVBS2629823</t>
  </si>
  <si>
    <t>104</t>
  </si>
  <si>
    <t>NGUYỄN THỊ DIỄM HỒNG</t>
  </si>
  <si>
    <t>diemhongfptshop8@gmail.com</t>
  </si>
  <si>
    <t>0378284230</t>
  </si>
  <si>
    <t>087308002819</t>
  </si>
  <si>
    <t>Đường Ngô Quyền</t>
  </si>
  <si>
    <t>312</t>
  </si>
  <si>
    <t>THPT Hồng Ngự 1</t>
  </si>
  <si>
    <t>6.28</t>
  </si>
  <si>
    <t>7.64</t>
  </si>
  <si>
    <t xml:space="preserve">- Bổ sung tệp Giấy chứng nhận kết quả thi V-SAT năm 2026 (định dạng PDF) - Do Đại học Cần thơ tổ chức
</t>
  </si>
  <si>
    <t>KQTHPT_151_087308002819.pdf</t>
  </si>
  <si>
    <t>7.37</t>
  </si>
  <si>
    <t>7.84</t>
  </si>
  <si>
    <t>7.34</t>
  </si>
  <si>
    <t>7.38</t>
  </si>
  <si>
    <t>KSVBS2603875</t>
  </si>
  <si>
    <t>117</t>
  </si>
  <si>
    <t>ĐẶNG NGUYÊN GIÁP</t>
  </si>
  <si>
    <t>21/12/2008</t>
  </si>
  <si>
    <t>giapdang122108@gmail.com</t>
  </si>
  <si>
    <t>0394044338</t>
  </si>
  <si>
    <t>Tổ Dân Phố 3, Ea Kao, Đắk Lắk</t>
  </si>
  <si>
    <t>66018672</t>
  </si>
  <si>
    <t>Nhì</t>
  </si>
  <si>
    <t>003</t>
  </si>
  <si>
    <t>Trường THCS và THPT Tây Nguyên</t>
  </si>
  <si>
    <t>KQTHPT_158_066208001338.pdf</t>
  </si>
  <si>
    <t>KSVBS2642494</t>
  </si>
  <si>
    <t>105</t>
  </si>
  <si>
    <t>NGUYỄN CÔNG DANH</t>
  </si>
  <si>
    <t>19/12/2007</t>
  </si>
  <si>
    <t>congdanhcreative.work@gmail.com</t>
  </si>
  <si>
    <t>0832105502</t>
  </si>
  <si>
    <t>082207003641</t>
  </si>
  <si>
    <t xml:space="preserve">Ấp Hậu Vinh Xã Hội Cư Tỉnh Đồng Tháp </t>
  </si>
  <si>
    <t>8.83</t>
  </si>
  <si>
    <t>Em chụp đầy đủ tất cả các trang trong học bạ:
• Trang thông tin học sinh
• Kết quả học tập 10,11,12
• Kết quả rèn luyện, nhận xét lớp 10, 11, 12
=&gt; Hình ảnh phải rõ nét, đầy đủ chữ ký và dấu mộc trường THPT
Bổ sung Điểm thi tốt nghiệp và Giấy chứng nhận kết quả thi THPT 2026 nữa nha e</t>
  </si>
  <si>
    <t>KSVBS2613894</t>
  </si>
  <si>
    <t>NGUYỄN NGỌC MINH THƯ</t>
  </si>
  <si>
    <t>03/08/2008</t>
  </si>
  <si>
    <t>tn3188623@gmail.com</t>
  </si>
  <si>
    <t>0926814889</t>
  </si>
  <si>
    <t>089308002210</t>
  </si>
  <si>
    <t>146/4B Thoại Ngọc Hầu khóm Mỹ Long 2</t>
  </si>
  <si>
    <t>91016468</t>
  </si>
  <si>
    <t>610645</t>
  </si>
  <si>
    <t>D26WUDGC8</t>
  </si>
  <si>
    <t>686.00</t>
  </si>
  <si>
    <t>186</t>
  </si>
  <si>
    <t>Trung tâm GDTX An Giang 2</t>
  </si>
  <si>
    <t>7.96</t>
  </si>
  <si>
    <t>KQTHPT_161_089308002210.pdf</t>
  </si>
  <si>
    <t>KQDGNL_161_089308002210.pdf</t>
  </si>
  <si>
    <t>03/05/2008</t>
  </si>
  <si>
    <t>8.37</t>
  </si>
  <si>
    <t>KSVBS2616527</t>
  </si>
  <si>
    <t>107</t>
  </si>
  <si>
    <t>NGUYỄN THỊ MỸ HẠNH</t>
  </si>
  <si>
    <t>01/12/2008</t>
  </si>
  <si>
    <t>nmyhanh100@gmail.com</t>
  </si>
  <si>
    <t>0333709867</t>
  </si>
  <si>
    <t>ấp Sơn Tân, xã Óc Eo, Tỉnh An Giang</t>
  </si>
  <si>
    <t>91030538</t>
  </si>
  <si>
    <t>615247</t>
  </si>
  <si>
    <t>D26RA6YD2</t>
  </si>
  <si>
    <t>541.00</t>
  </si>
  <si>
    <t>KQTHPT_168_089308015401.pdf</t>
  </si>
  <si>
    <t>KQDGNL_168_089308015401.pdf</t>
  </si>
  <si>
    <t>KSVBS2630961</t>
  </si>
  <si>
    <t>113</t>
  </si>
  <si>
    <t>NGUYỄN THIÊN ĐỨC</t>
  </si>
  <si>
    <t>17/11/2008</t>
  </si>
  <si>
    <t>thienducnguyen996@gmail.com</t>
  </si>
  <si>
    <t>0949848299</t>
  </si>
  <si>
    <t>ấp 2, xã Cái Nước, Cà Mau</t>
  </si>
  <si>
    <t>96008338</t>
  </si>
  <si>
    <t>Tiếng Anh</t>
  </si>
  <si>
    <t>2024</t>
  </si>
  <si>
    <t>397</t>
  </si>
  <si>
    <t>THPT Cái Nước</t>
  </si>
  <si>
    <t>8.77</t>
  </si>
  <si>
    <t>em kê và up thêm giấy chứng nhận kết quả thi tốt nghiệp 2026 nha</t>
  </si>
  <si>
    <t>KQTHPT_171_096208012431.pdf</t>
  </si>
  <si>
    <t>KQVSAT_171_096208012431.pdf</t>
  </si>
  <si>
    <t>KSVBS2600064</t>
  </si>
  <si>
    <t>LÊ THÁI NGỌC</t>
  </si>
  <si>
    <t>22/01/2008</t>
  </si>
  <si>
    <t>ngocxinhtrainhatvutru@gmail.com</t>
  </si>
  <si>
    <t>0832977008</t>
  </si>
  <si>
    <t>Ấp 1</t>
  </si>
  <si>
    <t>82025020</t>
  </si>
  <si>
    <t>627</t>
  </si>
  <si>
    <t>THPT Tân Phước</t>
  </si>
  <si>
    <t>9.13</t>
  </si>
  <si>
    <t>KQTHPT_172_082208007608.pdf</t>
  </si>
  <si>
    <t>KSVBS2622908</t>
  </si>
  <si>
    <t>PHẠM KIỀU LAM</t>
  </si>
  <si>
    <t>28/05/2008</t>
  </si>
  <si>
    <t>phamkieulam208@gmail.com</t>
  </si>
  <si>
    <t>0865065722</t>
  </si>
  <si>
    <t>Kênh 9 thước, 11000, Ấp 2</t>
  </si>
  <si>
    <t>92019535</t>
  </si>
  <si>
    <t>378</t>
  </si>
  <si>
    <t>Trường THPT Lê Hồng Phong (trước 01/7/2025)</t>
  </si>
  <si>
    <t>Trường THPT Lê Hồng Phong</t>
  </si>
  <si>
    <t>Em bổ sung Giấy chứng nhận kết quả thi tốt nghiệp THPT năm 2026 nhé</t>
  </si>
  <si>
    <t>KQTHPT_174_093308002669.pdf</t>
  </si>
  <si>
    <t>KQVSAT_174_093308002669.pdf</t>
  </si>
  <si>
    <t>KSVBS2643331</t>
  </si>
  <si>
    <t>BÙI VŨ NGỌC QUYÊN</t>
  </si>
  <si>
    <t>08/04/2008</t>
  </si>
  <si>
    <t>ngocquyenbui.122@gmail.com</t>
  </si>
  <si>
    <t>0395657508</t>
  </si>
  <si>
    <t>196 tổ 2, thôn Dân Phú</t>
  </si>
  <si>
    <t>68026368</t>
  </si>
  <si>
    <t>308</t>
  </si>
  <si>
    <t>THPT Lương Thế Vinh - Hàm Kiệm</t>
  </si>
  <si>
    <t>8.92</t>
  </si>
  <si>
    <t>KQTHPT_175_060308009190.pdf</t>
  </si>
  <si>
    <t>16/01/2008</t>
  </si>
  <si>
    <t>KSVBS2631425</t>
  </si>
  <si>
    <t>109</t>
  </si>
  <si>
    <t>TRẦN NGUYỄN TRÂM ANH</t>
  </si>
  <si>
    <t>trngtranh830@gmail.com</t>
  </si>
  <si>
    <t>0969555623</t>
  </si>
  <si>
    <t>444 Trần Hưng đạo, hiệp tâm 2, Xã Định Quán, Thành Phố Đồng Nai</t>
  </si>
  <si>
    <t>75021250</t>
  </si>
  <si>
    <t>420240</t>
  </si>
  <si>
    <t>D26346246</t>
  </si>
  <si>
    <t>517.00</t>
  </si>
  <si>
    <t>140</t>
  </si>
  <si>
    <t>THPT Tân Phú (Trước 27/02/2026)</t>
  </si>
  <si>
    <t>5.83</t>
  </si>
  <si>
    <t>7.07</t>
  </si>
  <si>
    <t>KQTHPT_177_075308018302.pdf</t>
  </si>
  <si>
    <t>KQDGNL_177_075308018302.pdf</t>
  </si>
  <si>
    <t>KSVBS2619566</t>
  </si>
  <si>
    <t>112</t>
  </si>
  <si>
    <t>ĐỒNG ĐĂNG KHOA</t>
  </si>
  <si>
    <t>27/04/2008</t>
  </si>
  <si>
    <t>dongdangquang61@gmail.com</t>
  </si>
  <si>
    <t>0812946781</t>
  </si>
  <si>
    <t>091208017231</t>
  </si>
  <si>
    <t>Tổ 6, ấp Sơn Hòa, Nam Thái Sơn</t>
  </si>
  <si>
    <t>THPT Bình Thạnh</t>
  </si>
  <si>
    <t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t>
  </si>
  <si>
    <t>KQTHPT_178_091208017231.pdf</t>
  </si>
  <si>
    <t>25/07/2008</t>
  </si>
  <si>
    <t>KSVBS2633104</t>
  </si>
  <si>
    <t>118</t>
  </si>
  <si>
    <t>VÕ THỊ KIỀU TRINH</t>
  </si>
  <si>
    <t>06/10/2008</t>
  </si>
  <si>
    <t>vothikieutrinh06100610@gmail.com</t>
  </si>
  <si>
    <t>0392743282</t>
  </si>
  <si>
    <t>049308000153</t>
  </si>
  <si>
    <t>Tổ 7 thôn an thành 1 xã thăng điền tp đà nẵng</t>
  </si>
  <si>
    <t>48N</t>
  </si>
  <si>
    <t>234</t>
  </si>
  <si>
    <t>THPT Hùng Vương (trước 01/7/2025)</t>
  </si>
  <si>
    <t>THPT Hùng Vương</t>
  </si>
  <si>
    <t>KQTHPT_184_049308000153.pdf</t>
  </si>
  <si>
    <t>KSVBS2627907</t>
  </si>
  <si>
    <t>119</t>
  </si>
  <si>
    <t>TRẦN TRUNG NHÂN</t>
  </si>
  <si>
    <t>trungnhan260808@gmail.com</t>
  </si>
  <si>
    <t>0793872436</t>
  </si>
  <si>
    <t>SỐ NHÀ 329, TỔ 23, ẤP LONG HÒA, Xã Phú Quới, Tỉnh Vĩnh Long</t>
  </si>
  <si>
    <t>86014873</t>
  </si>
  <si>
    <t>KQTHPT_189_086208001080.pdf</t>
  </si>
  <si>
    <t>KSVBS2614980</t>
  </si>
  <si>
    <t>126</t>
  </si>
  <si>
    <t>NGUYỄN ANH PHA</t>
  </si>
  <si>
    <t>anhthu109106@gmail.com</t>
  </si>
  <si>
    <t>0929669708</t>
  </si>
  <si>
    <t>083308002228</t>
  </si>
  <si>
    <t>số nhà 92, ấp Tân Qưới Tây B ,xã An Định , tỉnh Vĩnh Long</t>
  </si>
  <si>
    <t>86006521</t>
  </si>
  <si>
    <t>176</t>
  </si>
  <si>
    <t>THPT Nguyễn Thị Minh Khai (Trước 2025)</t>
  </si>
  <si>
    <t>THPT Nguyễn Thị Minh Khai</t>
  </si>
  <si>
    <t>KQTHPT_190_083308002228.pdf</t>
  </si>
  <si>
    <t>KSVBS2608756</t>
  </si>
  <si>
    <t>121</t>
  </si>
  <si>
    <t>PHAN THỊ THUỲ TRANG</t>
  </si>
  <si>
    <t>tranglun348@gmail.com</t>
  </si>
  <si>
    <t>0983498407</t>
  </si>
  <si>
    <t>070308001111</t>
  </si>
  <si>
    <t>Thôn Bom Bo, Xã Bom Bo</t>
  </si>
  <si>
    <t>75044043</t>
  </si>
  <si>
    <t>THPT Bù Đăng (Từ ngày 04/6/2021)</t>
  </si>
  <si>
    <t>7.10</t>
  </si>
  <si>
    <t>KQTHPT_191_070308001111.pdf</t>
  </si>
  <si>
    <t>28/09/2008</t>
  </si>
  <si>
    <t>KSVBS2614703</t>
  </si>
  <si>
    <t>130</t>
  </si>
  <si>
    <t>NGÔ YẾN MY</t>
  </si>
  <si>
    <t>yenmy443@gmail.com</t>
  </si>
  <si>
    <t>0383387183</t>
  </si>
  <si>
    <t>095308002234</t>
  </si>
  <si>
    <t>Khóm12</t>
  </si>
  <si>
    <t>96510994</t>
  </si>
  <si>
    <t>514</t>
  </si>
  <si>
    <t>THPT Giá Rai</t>
  </si>
  <si>
    <t>6.60</t>
  </si>
  <si>
    <t>6.58</t>
  </si>
  <si>
    <t>KQTHPT_200_095308002234.pdf</t>
  </si>
  <si>
    <t>KQVSAT_200_095308002234.pdf</t>
  </si>
  <si>
    <t>KSVBS2606905</t>
  </si>
  <si>
    <t>NGUYỄN HIỀN THƯƠNG</t>
  </si>
  <si>
    <t>16/02/2007</t>
  </si>
  <si>
    <t>hienthuongnguyen0@gmail.com</t>
  </si>
  <si>
    <t>0916836445</t>
  </si>
  <si>
    <t>096207010549</t>
  </si>
  <si>
    <t xml:space="preserve">Ấp Hồng Phước </t>
  </si>
  <si>
    <t>920011693</t>
  </si>
  <si>
    <t>021</t>
  </si>
  <si>
    <t>THCS-THPT Nguyễn Huân</t>
  </si>
  <si>
    <t>KQTHPT_202_096207010549.pdf</t>
  </si>
  <si>
    <t>KSVBS2602265</t>
  </si>
  <si>
    <t>123</t>
  </si>
  <si>
    <t>PHẠM PHÚC HIỂN</t>
  </si>
  <si>
    <t>thanhky177@gmail.com</t>
  </si>
  <si>
    <t>0974848952</t>
  </si>
  <si>
    <t>072208006775</t>
  </si>
  <si>
    <t>tổ 29, ấp Cẩm Bình</t>
  </si>
  <si>
    <t>80027261</t>
  </si>
  <si>
    <t>040</t>
  </si>
  <si>
    <t>THPT Ngô Gia Tự</t>
  </si>
  <si>
    <t>7.12</t>
  </si>
  <si>
    <t>KQTHPT_204_072208006775.pdf</t>
  </si>
  <si>
    <t>KSVBS2641447</t>
  </si>
  <si>
    <t>124</t>
  </si>
  <si>
    <t>TRẦN NGUYỄN VÂN ANH</t>
  </si>
  <si>
    <t>vananhtrannguyen94@gmail.com</t>
  </si>
  <si>
    <t>0333651011</t>
  </si>
  <si>
    <t>203 Nguyễn Tất Thành, xã Cư Jut, tỉnh Lâm Đồng</t>
  </si>
  <si>
    <t>68037533</t>
  </si>
  <si>
    <t>363032</t>
  </si>
  <si>
    <t>D26149427</t>
  </si>
  <si>
    <t>491.00</t>
  </si>
  <si>
    <t>443360</t>
  </si>
  <si>
    <t xml:space="preserve"> D26729057</t>
  </si>
  <si>
    <t>544.00</t>
  </si>
  <si>
    <t>THPT Phan Chu Trinh - Cư Jút</t>
  </si>
  <si>
    <t>7.33</t>
  </si>
  <si>
    <t>KQTHPT_205_067308001789.pdf</t>
  </si>
  <si>
    <t>KQDGNL_205_067308001789.pdf</t>
  </si>
  <si>
    <t>KSVBS2603029</t>
  </si>
  <si>
    <t>PHAN MINH THÔNG</t>
  </si>
  <si>
    <t>27/03/2008</t>
  </si>
  <si>
    <t>phanminhthong.hg300@gmail.com</t>
  </si>
  <si>
    <t>0939103582</t>
  </si>
  <si>
    <t>093208002267</t>
  </si>
  <si>
    <t>số nhà 16 ấp so đũa lớn xã thạnh xuân thành phố cần thơ</t>
  </si>
  <si>
    <t>92017472</t>
  </si>
  <si>
    <t>6.05</t>
  </si>
  <si>
    <t>6.99</t>
  </si>
  <si>
    <t>Trường điều chỉnh KV ưu tiên và điểm môn lịch sử năm 12 : 8.3=&gt; 8.2 theo học bạ của em</t>
  </si>
  <si>
    <t>KQTHPT_206_093208002267.pdf</t>
  </si>
  <si>
    <t>006</t>
  </si>
  <si>
    <t>NGUYỄN THỊ HUYỀN</t>
  </si>
  <si>
    <t>24/12/2008</t>
  </si>
  <si>
    <t>chuotdthcute@gmail.com</t>
  </si>
  <si>
    <t>070308000856</t>
  </si>
  <si>
    <t>vananh863087@gmail.com</t>
  </si>
  <si>
    <t>086308006592</t>
  </si>
  <si>
    <t>KSVBS2616299</t>
  </si>
  <si>
    <t>129</t>
  </si>
  <si>
    <t>NGUYỄN QUỲNH GIAO</t>
  </si>
  <si>
    <t>08/10/2008</t>
  </si>
  <si>
    <t>truongthanhkien.02nct@gmail.com</t>
  </si>
  <si>
    <t>0989477943</t>
  </si>
  <si>
    <t>091308009386</t>
  </si>
  <si>
    <t xml:space="preserve">Cầu Tà Nôm, đường Xuyên Á, Giục Tượng </t>
  </si>
  <si>
    <t>91025214</t>
  </si>
  <si>
    <t>014</t>
  </si>
  <si>
    <t>Trường THPT Nguyễn Hùng Sơn</t>
  </si>
  <si>
    <t>KQTHPT_222_091308009386.pdf</t>
  </si>
  <si>
    <t>KSVBS2627450</t>
  </si>
  <si>
    <t>BÙI NGUYỄN BÍCH NGỌC</t>
  </si>
  <si>
    <t>31/10/2008</t>
  </si>
  <si>
    <t>cuccutthomthocuocdoivienman@gmail.com</t>
  </si>
  <si>
    <t>0842228708</t>
  </si>
  <si>
    <t>083308007237</t>
  </si>
  <si>
    <t>285a khu phố 3</t>
  </si>
  <si>
    <t>86013088</t>
  </si>
  <si>
    <t>155</t>
  </si>
  <si>
    <t>Trung tâm GDNN-GDTX Bến Tre</t>
  </si>
  <si>
    <t>7.30</t>
  </si>
  <si>
    <t>KQTHPT_224_083308007237.pdf</t>
  </si>
  <si>
    <t>KSVBS2633726</t>
  </si>
  <si>
    <t>131</t>
  </si>
  <si>
    <t>NGUYỄN LÊ NGỌC HÀ</t>
  </si>
  <si>
    <t>01/10/2006</t>
  </si>
  <si>
    <t>dichanphi123@gmail.com</t>
  </si>
  <si>
    <t>0389891894</t>
  </si>
  <si>
    <t>036306002876</t>
  </si>
  <si>
    <t>2/10 Lương Văn Can, phường Hạ Long, thành phố Nam Định, tỉnh Nam Định</t>
  </si>
  <si>
    <t>252</t>
  </si>
  <si>
    <t>THPT A Trần Hưng Đạo</t>
  </si>
  <si>
    <t>KQTHPT_226_036306002876.pdf</t>
  </si>
  <si>
    <t>TT</t>
  </si>
  <si>
    <t>HỌ TÊN</t>
  </si>
  <si>
    <t>SỐ ĐIỆN THOẠI</t>
  </si>
  <si>
    <t>mã ngành</t>
  </si>
  <si>
    <t>Ngành nhập học</t>
  </si>
  <si>
    <t>Họ tên</t>
  </si>
  <si>
    <t>Mật khẩu</t>
  </si>
  <si>
    <t>Số ĐT</t>
  </si>
  <si>
    <t>Nhóm</t>
  </si>
  <si>
    <t>Nguyễn Nam Anh</t>
  </si>
  <si>
    <t>31261570407</t>
  </si>
  <si>
    <t>anhnguyen.31261570407@st.ueh.edu.vn</t>
  </si>
  <si>
    <t>38363905</t>
  </si>
  <si>
    <t>k52.vl@st.ueh.edu.vn</t>
  </si>
  <si>
    <t>Vương Hoàng Kim Yến</t>
  </si>
  <si>
    <t>943959098</t>
  </si>
  <si>
    <t>31261570408</t>
  </si>
  <si>
    <t>yenvuong.31261570408@st.ueh.edu.vn</t>
  </si>
  <si>
    <t>43769466</t>
  </si>
  <si>
    <t>Huỳnh Thị Thiên Thiên</t>
  </si>
  <si>
    <t>31261570409</t>
  </si>
  <si>
    <t>thienhuynh.31261570409@st.ueh.edu.vn</t>
  </si>
  <si>
    <t>85583613</t>
  </si>
  <si>
    <t xml:space="preserve">Lê Ngọc Thiện </t>
  </si>
  <si>
    <t>31261570410</t>
  </si>
  <si>
    <t>Lê Ngọc Thiện</t>
  </si>
  <si>
    <t>60566411</t>
  </si>
  <si>
    <t>Nguyễn Thị Kim Ngân</t>
  </si>
  <si>
    <t>31261570411</t>
  </si>
  <si>
    <t>ngannguyen.31261570411@st.ueh.edu.vn</t>
  </si>
  <si>
    <t>33382342</t>
  </si>
  <si>
    <t>Hồ Đăng Quang</t>
  </si>
  <si>
    <t>31261570412</t>
  </si>
  <si>
    <t>quangho.31261570412@st.ueh.edu.vn</t>
  </si>
  <si>
    <t>46636371</t>
  </si>
  <si>
    <t>Lê Bùi Quốc Khánh</t>
  </si>
  <si>
    <t>31261570413</t>
  </si>
  <si>
    <t>khanhle.31261570413@st.ueh.edu.vn</t>
  </si>
  <si>
    <t>34178127</t>
  </si>
  <si>
    <t>Huỳnh Phương Thảo</t>
  </si>
  <si>
    <t>31261570414</t>
  </si>
  <si>
    <t>thaohuynh.31261570414@st.ueh.edu.vn</t>
  </si>
  <si>
    <t>92283567</t>
  </si>
  <si>
    <t>Đặng Hoàn Mỹ</t>
  </si>
  <si>
    <t>0917887439</t>
  </si>
  <si>
    <t>31261570415</t>
  </si>
  <si>
    <t>mydang.31261570415@st.ueh.edu.vn</t>
  </si>
  <si>
    <t>59120719</t>
  </si>
  <si>
    <t xml:space="preserve">Phan Thị Kim Cúc </t>
  </si>
  <si>
    <t>31261570416</t>
  </si>
  <si>
    <t>Phan Thị Kim Cúc</t>
  </si>
  <si>
    <t>cucphan.31261570416@st.ueh.edu.vn</t>
  </si>
  <si>
    <t>89941374</t>
  </si>
  <si>
    <t>Đỗ Khánh Huyền</t>
  </si>
  <si>
    <t>31261570417</t>
  </si>
  <si>
    <t>huyendo.31261570417@st.ueh.edu.vn</t>
  </si>
  <si>
    <t>68062150</t>
  </si>
  <si>
    <t>Lê Thị Hoài Thương</t>
  </si>
  <si>
    <t xml:space="preserve">Kinh doanh nông nghiệp </t>
  </si>
  <si>
    <t>31261570418</t>
  </si>
  <si>
    <t>thuongle.31261570418@st.ueh.edu.vn</t>
  </si>
  <si>
    <t>90737160</t>
  </si>
  <si>
    <t>Nguyễn Thị Hà Linh</t>
  </si>
  <si>
    <t>0792322399</t>
  </si>
  <si>
    <t>31261570419</t>
  </si>
  <si>
    <t>linhnguyen.31261570419@st.ueh.edu.vn</t>
  </si>
  <si>
    <t>28419838</t>
  </si>
  <si>
    <t>Nguyễn Ngọc Thảo Vi</t>
  </si>
  <si>
    <t>31261570420</t>
  </si>
  <si>
    <t>vinguyen.31261570420@st.ueh.edu.vn</t>
  </si>
  <si>
    <t>51094847</t>
  </si>
  <si>
    <t>Phạm Ngọc Kiều My</t>
  </si>
  <si>
    <t>0786982418</t>
  </si>
  <si>
    <t>31261570421</t>
  </si>
  <si>
    <t>mypham.31261570421@st.ueh.edu.vn</t>
  </si>
  <si>
    <t>98213840</t>
  </si>
  <si>
    <t>Lê Bùi Gia Hân</t>
  </si>
  <si>
    <t>31261570422</t>
  </si>
  <si>
    <t>hanle.31261570422@st.ueh.edu.vn</t>
  </si>
  <si>
    <t>72899460</t>
  </si>
  <si>
    <t>Lê Phúc An</t>
  </si>
  <si>
    <t>31261570423</t>
  </si>
  <si>
    <t>anle.31261570423@st.ueh.edu.vn</t>
  </si>
  <si>
    <t>60441217</t>
  </si>
  <si>
    <t>Nguyễn Hồ Huỳnh Tươi</t>
  </si>
  <si>
    <t>0944125404</t>
  </si>
  <si>
    <t>31261570424</t>
  </si>
  <si>
    <t>tuoinguyen.31261570424@st.ueh.edu.vn</t>
  </si>
  <si>
    <t>46113284</t>
  </si>
  <si>
    <t>Huỳnh Bảo Trân</t>
  </si>
  <si>
    <t>31261570425</t>
  </si>
  <si>
    <t>tranhuynh.31261570425@st.ueh.edu.vn</t>
  </si>
  <si>
    <t>71933317</t>
  </si>
  <si>
    <t>Lương Cát Tường</t>
  </si>
  <si>
    <t>0948531883</t>
  </si>
  <si>
    <t>31261570426</t>
  </si>
  <si>
    <t>tuongluong.31261570426@st.ueh.edu.vn</t>
  </si>
  <si>
    <t>59475073</t>
  </si>
  <si>
    <t>31261570427</t>
  </si>
  <si>
    <t>Đinh Thị Quế Anh</t>
  </si>
  <si>
    <t>anhdinh.31261570427@st.ueh.edu.vn</t>
  </si>
  <si>
    <t>15021555</t>
  </si>
  <si>
    <t>Nguyễn Phú Hào</t>
  </si>
  <si>
    <t>31261570428</t>
  </si>
  <si>
    <t>haonguyen.31261570428@st.ueh.edu.vn</t>
  </si>
  <si>
    <t>50849878</t>
  </si>
  <si>
    <t xml:space="preserve">Đỗ Phương Vy </t>
  </si>
  <si>
    <t>31261570429</t>
  </si>
  <si>
    <t>Đỗ Phương Vy</t>
  </si>
  <si>
    <t>vydo.31261570429@st.ueh.edu.vn</t>
  </si>
  <si>
    <t>13947651</t>
  </si>
  <si>
    <t>Trương Hoàng Khánh Linh</t>
  </si>
  <si>
    <t>31261570430</t>
  </si>
  <si>
    <t>linhtruong.31261570430@st.ueh.edu.vn</t>
  </si>
  <si>
    <t>77060759</t>
  </si>
  <si>
    <t>Trần Đông Phú</t>
  </si>
  <si>
    <t>31261570431</t>
  </si>
  <si>
    <t>phutran.31261570431@st.ueh.edu.vn</t>
  </si>
  <si>
    <t>69610183</t>
  </si>
  <si>
    <t>Dương Gia Bảo</t>
  </si>
  <si>
    <t>906326749</t>
  </si>
  <si>
    <t xml:space="preserve">Kinh doanh quốc tế </t>
  </si>
  <si>
    <t>31261570432</t>
  </si>
  <si>
    <t>baoduong.31261570432@st.ueh.edu.vn</t>
  </si>
  <si>
    <t>73146054</t>
  </si>
  <si>
    <t xml:space="preserve">Nguyễn Lê Minh Tâm </t>
  </si>
  <si>
    <t>0333440298</t>
  </si>
  <si>
    <t>31261570433</t>
  </si>
  <si>
    <t>Nguyễn Lê Minh Tâm</t>
  </si>
  <si>
    <t>tamnguyen.31261570433@st.ueh.edu.vn</t>
  </si>
  <si>
    <t>15836400</t>
  </si>
  <si>
    <t>31261570434</t>
  </si>
  <si>
    <t>Nguyễn Hùng Sang</t>
  </si>
  <si>
    <t>sangnguyen.31261570434@st.ueh.edu.vn</t>
  </si>
  <si>
    <t>83659997</t>
  </si>
  <si>
    <t>Nguyễn Thùy Linh</t>
  </si>
  <si>
    <t>Luật Kinh tế</t>
  </si>
  <si>
    <t>31261570435</t>
  </si>
  <si>
    <t>linhnguyen.31261570435@st.ueh.edu.vn</t>
  </si>
  <si>
    <t>51765438</t>
  </si>
  <si>
    <t>Lê Thảo Vi</t>
  </si>
  <si>
    <t>0393309526</t>
  </si>
  <si>
    <t>31261570436</t>
  </si>
  <si>
    <t>vile.31261570436@st.ueh.edu.vn</t>
  </si>
  <si>
    <t>24878546</t>
  </si>
  <si>
    <t xml:space="preserve">Lê Ngọc Hân </t>
  </si>
  <si>
    <t xml:space="preserve">Thương mại điện tử </t>
  </si>
  <si>
    <t>31261570437</t>
  </si>
  <si>
    <t>Lê Ngọc Hân</t>
  </si>
  <si>
    <t>hanle.31261570437@st.ueh.edu.vn</t>
  </si>
  <si>
    <t>52858401</t>
  </si>
  <si>
    <t>Đoàn Hồng Sơn</t>
  </si>
  <si>
    <t>0332488869</t>
  </si>
  <si>
    <t>31261570438</t>
  </si>
  <si>
    <t>sondoan.31261570438@st.ueh.edu.vn</t>
  </si>
  <si>
    <t>59242118</t>
  </si>
  <si>
    <t>Hồ Nguyễn Quốc Bình</t>
  </si>
  <si>
    <t>31261570439</t>
  </si>
  <si>
    <t>binhho.31261570439@st.ueh.edu.vn</t>
  </si>
  <si>
    <t>88497307</t>
  </si>
  <si>
    <t>Trương Nguyên Phúc</t>
  </si>
  <si>
    <t>31261570440</t>
  </si>
  <si>
    <t>74466552</t>
  </si>
  <si>
    <t>Dương Thị Diệu Thi</t>
  </si>
  <si>
    <t>31261570441</t>
  </si>
  <si>
    <t>thiduong.31261570441@st.ueh.edu.vn</t>
  </si>
  <si>
    <t>84285425</t>
  </si>
  <si>
    <t xml:space="preserve">Mai Thị Thúy Vân </t>
  </si>
  <si>
    <t>0817680847</t>
  </si>
  <si>
    <t>31261570442</t>
  </si>
  <si>
    <t>Mai Thị Thúy Vân</t>
  </si>
  <si>
    <t>vanmai.31261570442@st.ueh.edu.vn</t>
  </si>
  <si>
    <t>19127302</t>
  </si>
  <si>
    <t>Huỳnh Lê Hồng Ngân</t>
  </si>
  <si>
    <t>31261570443</t>
  </si>
  <si>
    <t>nganhuynh.31261570443@st.ueh.edu.vn</t>
  </si>
  <si>
    <t>54658447</t>
  </si>
  <si>
    <t xml:space="preserve">Trịnh Nguyễn Đan Khanh </t>
  </si>
  <si>
    <t>31261570444</t>
  </si>
  <si>
    <t>Trịnh Nguyễn Đan Khanh</t>
  </si>
  <si>
    <t>khanhtrinh.31261570444@st.ueh.edu.vn</t>
  </si>
  <si>
    <t>90486771</t>
  </si>
  <si>
    <t xml:space="preserve">Huỳnh Thị Mai Lan </t>
  </si>
  <si>
    <t>0816794748</t>
  </si>
  <si>
    <t>31261570445</t>
  </si>
  <si>
    <t>Huỳnh Thị Mai Lan</t>
  </si>
  <si>
    <t>lanhuynh.31261570445@st.ueh.edu.vn</t>
  </si>
  <si>
    <t>23161781</t>
  </si>
  <si>
    <t>Nguyễn Anh Quốc</t>
  </si>
  <si>
    <t>0702900402</t>
  </si>
  <si>
    <t>31261570446</t>
  </si>
  <si>
    <t>quocnguyen.31261570446@st.ueh.edu.vn</t>
  </si>
  <si>
    <t>50844458</t>
  </si>
  <si>
    <t>Trần Nguyễn Tâm Như</t>
  </si>
  <si>
    <t>31261570447</t>
  </si>
  <si>
    <t>nhutran.31261570447@st.ueh.edu.vn</t>
  </si>
  <si>
    <t>11101430</t>
  </si>
  <si>
    <t>Trần Ngọc Minh Tâm</t>
  </si>
  <si>
    <t>31261570448</t>
  </si>
  <si>
    <t>tamtran.31261570448@st.ueh.edu.vn</t>
  </si>
  <si>
    <t>32508150</t>
  </si>
  <si>
    <t>Nguyễn Huỳnh Diễm My</t>
  </si>
  <si>
    <t>0332197153</t>
  </si>
  <si>
    <t>31261570449</t>
  </si>
  <si>
    <t>mynguyen.31261570449@st.ueh.edu.vn</t>
  </si>
  <si>
    <t>95324080</t>
  </si>
  <si>
    <t>Huỳnh Ngân Giao</t>
  </si>
  <si>
    <t>31261570450</t>
  </si>
  <si>
    <t>giaohuynh.31261570450@st.ueh.edu.vn</t>
  </si>
  <si>
    <t>84438349</t>
  </si>
  <si>
    <t>Lê Vĩnh Khang</t>
  </si>
  <si>
    <t>31261570451</t>
  </si>
  <si>
    <t>khangle.31261570451@st.ueh.edu.vn</t>
  </si>
  <si>
    <t>47536122</t>
  </si>
  <si>
    <t>Nguyễn Lê Ngọc Hân</t>
  </si>
  <si>
    <t>31261570452</t>
  </si>
  <si>
    <t>hannguyen.31261570452@st.ueh.edu.vn</t>
  </si>
  <si>
    <t>51079038</t>
  </si>
  <si>
    <t xml:space="preserve">Trương Thị Thu Trang </t>
  </si>
  <si>
    <t>31261570453</t>
  </si>
  <si>
    <t>Trương Thị Thu Trang</t>
  </si>
  <si>
    <t>trangtruong.31261570453@st.ueh.edu.vn</t>
  </si>
  <si>
    <t>59325399</t>
  </si>
  <si>
    <t xml:space="preserve">Lê Hoàng Phương Anh </t>
  </si>
  <si>
    <t>0779852871</t>
  </si>
  <si>
    <t>31261570454</t>
  </si>
  <si>
    <t>Lê Hoàng Phương Anh</t>
  </si>
  <si>
    <t>anhle.31261570454@st.ueh.edu.vn</t>
  </si>
  <si>
    <t>96726234</t>
  </si>
  <si>
    <t>Nguyễn Hoàng Phúc</t>
  </si>
  <si>
    <t>0385470713</t>
  </si>
  <si>
    <t>Robot và trí tuệ nhân tạo</t>
  </si>
  <si>
    <t>31261570455</t>
  </si>
  <si>
    <t>phucnguyen.31261570455@st.ueh.edu.vn</t>
  </si>
  <si>
    <t>51975539</t>
  </si>
  <si>
    <t>Quang Thuận Phát</t>
  </si>
  <si>
    <t xml:space="preserve">0842428848 </t>
  </si>
  <si>
    <t>Robot và Trí tuệ nhân tạo - Hệ kỹ sư</t>
  </si>
  <si>
    <t>31261570456</t>
  </si>
  <si>
    <t>phatquang.31261570456@st.ueh.edu.vn</t>
  </si>
  <si>
    <t>62388767</t>
  </si>
  <si>
    <t xml:space="preserve">Trần đặng anh kiệt </t>
  </si>
  <si>
    <t>0966321017</t>
  </si>
  <si>
    <t>31261570457</t>
  </si>
  <si>
    <t>Trần đặng anh kiệt</t>
  </si>
  <si>
    <t>kiettran.31261570457@st.ueh.edu.vn</t>
  </si>
  <si>
    <t>54641014</t>
  </si>
  <si>
    <t>Chu Phúc Hưng</t>
  </si>
  <si>
    <t>0706102665</t>
  </si>
  <si>
    <t>31261570458</t>
  </si>
  <si>
    <t>hungchu.31261570458@st.ueh.edu.vn</t>
  </si>
  <si>
    <t>27456944</t>
  </si>
  <si>
    <t>Nguyễn Đăng Hưng</t>
  </si>
  <si>
    <t>0338283869</t>
  </si>
  <si>
    <t>31261570459</t>
  </si>
  <si>
    <t>hungnguyen.31261570459@st.ueh.edu.vn</t>
  </si>
  <si>
    <t>90570052</t>
  </si>
  <si>
    <t>Lê Hoàng Trung Kiên</t>
  </si>
  <si>
    <t>388512100</t>
  </si>
  <si>
    <t>31261570460</t>
  </si>
  <si>
    <t>kienle.31261570460@st.ueh.edu.vn</t>
  </si>
  <si>
    <t>33260398</t>
  </si>
  <si>
    <t>Nguyễn Xuân Nguyên</t>
  </si>
  <si>
    <t>349068909</t>
  </si>
  <si>
    <t>31261570461</t>
  </si>
  <si>
    <t>nguyennguyen.31261570461@st.ueh.edu.vn</t>
  </si>
  <si>
    <t>23940132</t>
  </si>
  <si>
    <t>Trần Xuân Bình</t>
  </si>
  <si>
    <t>31261570462</t>
  </si>
  <si>
    <t>binhtran.31261570462@st.ueh.edu.vn</t>
  </si>
  <si>
    <t>75769615</t>
  </si>
  <si>
    <t>Tào Hoàng Minh</t>
  </si>
  <si>
    <t>31261570463</t>
  </si>
  <si>
    <t>74297819</t>
  </si>
  <si>
    <t xml:space="preserve">Phạm Hoàng Phong </t>
  </si>
  <si>
    <t>31261570464</t>
  </si>
  <si>
    <t>Phạm Hoàng Phong</t>
  </si>
  <si>
    <t>phongpham.31261570464@st.ueh.edu.vn</t>
  </si>
  <si>
    <t>76565401</t>
  </si>
  <si>
    <t>31261570465</t>
  </si>
  <si>
    <t>Huỳnh Băng Trâm</t>
  </si>
  <si>
    <t>tramhuynh.31261570465@st.ueh.edu.vn</t>
  </si>
  <si>
    <t>27104215</t>
  </si>
  <si>
    <t>Nguyễn Thị Diễm Kiều</t>
  </si>
  <si>
    <t>948965065</t>
  </si>
  <si>
    <t>31261570466</t>
  </si>
  <si>
    <t>kieunguyen.31261570466@st.ueh.edu.vn</t>
  </si>
  <si>
    <t>49779224</t>
  </si>
  <si>
    <t>Lương Nguyễn Đạt</t>
  </si>
  <si>
    <t>31261570467</t>
  </si>
  <si>
    <t>datluong.31261570467@st.ueh.edu.vn</t>
  </si>
  <si>
    <t>24167667</t>
  </si>
  <si>
    <t>Phạm Thị Kiều</t>
  </si>
  <si>
    <t>0387889201</t>
  </si>
  <si>
    <t>31261570468</t>
  </si>
  <si>
    <t>kieupham.31261570468@st.ueh.edu.vn</t>
  </si>
  <si>
    <t>61865680</t>
  </si>
  <si>
    <t xml:space="preserve">Phạm Ngọc Dung </t>
  </si>
  <si>
    <t>31261570469</t>
  </si>
  <si>
    <t>Phạm Ngọc Dung</t>
  </si>
  <si>
    <t>62263572</t>
  </si>
  <si>
    <t>Nguyễn Phúc Khánh</t>
  </si>
  <si>
    <t>31261570470</t>
  </si>
  <si>
    <t>khanhnguyen.31261570470@st.ueh.edu.vn</t>
  </si>
  <si>
    <t>88076560</t>
  </si>
  <si>
    <t>Bùi Kim Triển</t>
  </si>
  <si>
    <t>079 2392660</t>
  </si>
  <si>
    <t>31261570471</t>
  </si>
  <si>
    <t>trienbui.31261570471@st.ueh.edu.vn</t>
  </si>
  <si>
    <t>48630710</t>
  </si>
  <si>
    <t>Lưu Anh Thư</t>
  </si>
  <si>
    <t>31261570472</t>
  </si>
  <si>
    <t>thuluu.31261570472@st.ueh.edu.vn</t>
  </si>
  <si>
    <t>29592287</t>
  </si>
  <si>
    <t>Phạm Thành Đạt</t>
  </si>
  <si>
    <t>0397506503</t>
  </si>
  <si>
    <t>31261570473</t>
  </si>
  <si>
    <t>datpham.31261570473@st.ueh.edu.vn</t>
  </si>
  <si>
    <t>39708337</t>
  </si>
  <si>
    <t>Trần Phan Hoàng Long</t>
  </si>
  <si>
    <t>038 6703475</t>
  </si>
  <si>
    <t>31261570474</t>
  </si>
  <si>
    <t>longtran.31261570474@st.ueh.edu.vn</t>
  </si>
  <si>
    <t>86827330</t>
  </si>
  <si>
    <t>Đặng Huỳnh Trúc Phương</t>
  </si>
  <si>
    <t>31261570475</t>
  </si>
  <si>
    <t>phuongdang.31261570475@st.ueh.edu.vn</t>
  </si>
  <si>
    <t>35496455</t>
  </si>
  <si>
    <t>Võ Phạm Như Quỳnh</t>
  </si>
  <si>
    <t>355587517</t>
  </si>
  <si>
    <t>31261570476</t>
  </si>
  <si>
    <t>quynhvo.31261570476@st.ueh.edu.vn</t>
  </si>
  <si>
    <t>81042936</t>
  </si>
  <si>
    <t>Hồ Thị Hồng Anh</t>
  </si>
  <si>
    <t>31261570477</t>
  </si>
  <si>
    <t>anhho.31261570477@st.ueh.edu.vn</t>
  </si>
  <si>
    <t>78302850</t>
  </si>
  <si>
    <t>Vũ Lê Quỳnh Anh</t>
  </si>
  <si>
    <t>937640023</t>
  </si>
  <si>
    <t>31261570478</t>
  </si>
  <si>
    <t>anhvu.31261570478@st.ueh.edu.vn</t>
  </si>
  <si>
    <t>81838721</t>
  </si>
  <si>
    <t>Lê Thị Ngọc Ánh</t>
  </si>
  <si>
    <t>795926478</t>
  </si>
  <si>
    <t>31261570479</t>
  </si>
  <si>
    <t>anhle.31261570479@st.ueh.edu.vn</t>
  </si>
  <si>
    <t>29239557</t>
  </si>
  <si>
    <t>Phạm Thụy Trâm Anh</t>
  </si>
  <si>
    <t>797280837</t>
  </si>
  <si>
    <t>31261570480</t>
  </si>
  <si>
    <t>anhpham.31261570480@st.ueh.edu.vn</t>
  </si>
  <si>
    <t>60060213</t>
  </si>
  <si>
    <t>Nguyễn Phúc Nguyên</t>
  </si>
  <si>
    <t>31261570481</t>
  </si>
  <si>
    <t>52609637</t>
  </si>
  <si>
    <t>Nguyễn Duy Thanh</t>
  </si>
  <si>
    <t>31261570482</t>
  </si>
  <si>
    <t>thanhnguyen.31261570482@st.ueh.edu.vn</t>
  </si>
  <si>
    <t>92851272</t>
  </si>
  <si>
    <t>Lê Văn Gia Thịnh</t>
  </si>
  <si>
    <t>0367488378</t>
  </si>
  <si>
    <t>31261570483</t>
  </si>
  <si>
    <t>thinhle.31261570483@st.ueh.edu.vn</t>
  </si>
  <si>
    <t>93249165</t>
  </si>
  <si>
    <t>Nguyễn Hoàng Kim</t>
  </si>
  <si>
    <t>31261570484</t>
  </si>
  <si>
    <t>kimnguyen.31261570484@st.ueh.edu.vn</t>
  </si>
  <si>
    <t>10227239</t>
  </si>
  <si>
    <t xml:space="preserve">Nguyễn Thụy Thảo My </t>
  </si>
  <si>
    <t>31261570485</t>
  </si>
  <si>
    <t>Nguyễn Thụy Thảo My</t>
  </si>
  <si>
    <t>mynguyen.31261570485@st.ueh.edu.vn</t>
  </si>
  <si>
    <t>16908133</t>
  </si>
  <si>
    <t>Nguyễn Ngọc Diệu Hương</t>
  </si>
  <si>
    <t>0855729839</t>
  </si>
  <si>
    <t>31261570486</t>
  </si>
  <si>
    <t>huongnguyen.31261570486@st.ueh.edu.vn</t>
  </si>
  <si>
    <t>30162162</t>
  </si>
  <si>
    <t xml:space="preserve">Nguyễn Duy Minh Phương </t>
  </si>
  <si>
    <t>31261570487</t>
  </si>
  <si>
    <t>Nguyễn Duy Minh Phương</t>
  </si>
  <si>
    <t>phuongnguyen.31261570487@st.ueh.edu.vn</t>
  </si>
  <si>
    <t>35270545</t>
  </si>
  <si>
    <t>Nguyễn Khánh Chi</t>
  </si>
  <si>
    <t>31261570488</t>
  </si>
  <si>
    <t>chinguyen.31261570488@st.ueh.edu.vn</t>
  </si>
  <si>
    <t>27522792</t>
  </si>
  <si>
    <t>Nguyễn Thị Kim Thư</t>
  </si>
  <si>
    <t>31261570489</t>
  </si>
  <si>
    <t>thunguyen.31261570489@st.ueh.edu.vn</t>
  </si>
  <si>
    <t>51770313</t>
  </si>
  <si>
    <t>Nguyễn Lan Phương</t>
  </si>
  <si>
    <t>31261570490</t>
  </si>
  <si>
    <t>phuongnguyen.31261570490@st.ueh.edu.vn</t>
  </si>
  <si>
    <t>97019616</t>
  </si>
  <si>
    <t>Mai Văn Kim Tài</t>
  </si>
  <si>
    <t>31261570491</t>
  </si>
  <si>
    <t>taimai.31261570491@st.ueh.edu.vn</t>
  </si>
  <si>
    <t>84858551</t>
  </si>
  <si>
    <t>31261570492</t>
  </si>
  <si>
    <t>Lê Ngọc Hà My</t>
  </si>
  <si>
    <t>myle.31261570492@st.ueh.edu.vn</t>
  </si>
  <si>
    <t>47956323</t>
  </si>
  <si>
    <t>Nguyễn Trần Yến Nhi</t>
  </si>
  <si>
    <t>31261570493</t>
  </si>
  <si>
    <t>nhinguyen.31261570493@st.ueh.edu.vn</t>
  </si>
  <si>
    <t>58072374</t>
  </si>
  <si>
    <t>Nguyễn Thị Huyền</t>
  </si>
  <si>
    <t>0388842508</t>
  </si>
  <si>
    <t>31261570494</t>
  </si>
  <si>
    <t>huyennguyen.31261570494@st.ueh.edu.vn</t>
  </si>
  <si>
    <t>74174249</t>
  </si>
  <si>
    <t xml:space="preserve">Bùi Thị Trúc Đào </t>
  </si>
  <si>
    <t>0932162940</t>
  </si>
  <si>
    <t>31261570495</t>
  </si>
  <si>
    <t>Bùi Thị Trúc Đào</t>
  </si>
  <si>
    <t>daobui.31261570495@st.ueh.edu.vn</t>
  </si>
  <si>
    <t>47584535</t>
  </si>
  <si>
    <t xml:space="preserve">Đặng Ngọc Mỹ </t>
  </si>
  <si>
    <t>31261570496</t>
  </si>
  <si>
    <t>Đặng Ngọc Mỹ</t>
  </si>
  <si>
    <t>mydang.31261570496@st.ueh.edu.vn</t>
  </si>
  <si>
    <t>94406351</t>
  </si>
  <si>
    <t>Nguyễn Hữu Chuẩn Khoa</t>
  </si>
  <si>
    <t>31261570497</t>
  </si>
  <si>
    <t>khoanguyen.31261570497@st.ueh.edu.vn</t>
  </si>
  <si>
    <t>38372031</t>
  </si>
  <si>
    <t>Trần Thị Hải Hà</t>
  </si>
  <si>
    <t>31261570498</t>
  </si>
  <si>
    <t>hatran.31261570498@st.ueh.edu.vn</t>
  </si>
  <si>
    <t>46618392</t>
  </si>
  <si>
    <t>Lê Tiết Quân</t>
  </si>
  <si>
    <t>0326558049</t>
  </si>
  <si>
    <t>31261570499</t>
  </si>
  <si>
    <t>quanle.31261570499@st.ueh.edu.vn</t>
  </si>
  <si>
    <t>93737385</t>
  </si>
  <si>
    <t>Nguyễn Thị Thuyên Kim</t>
  </si>
  <si>
    <t>0939802304</t>
  </si>
  <si>
    <t>31261570500</t>
  </si>
  <si>
    <t>kimnguyen.31261570500@st.ueh.edu.vn</t>
  </si>
  <si>
    <t>36130553</t>
  </si>
  <si>
    <t>Huỳnh Thị Thanh Ngân</t>
  </si>
  <si>
    <t>31261570501</t>
  </si>
  <si>
    <t>nganhuynh.31261570501@st.ueh.edu.vn</t>
  </si>
  <si>
    <t>65385742</t>
  </si>
  <si>
    <t>Nguyễn Quốc Minh Nguyệt</t>
  </si>
  <si>
    <t>0962131313</t>
  </si>
  <si>
    <t>31261570502</t>
  </si>
  <si>
    <t>nguyetnguyen.31261570502@st.ueh.edu.vn</t>
  </si>
  <si>
    <t>97481732</t>
  </si>
  <si>
    <t>Đặng Gia Huy</t>
  </si>
  <si>
    <t>31261570503</t>
  </si>
  <si>
    <t>huydang.31261570503@st.ueh.edu.vn</t>
  </si>
  <si>
    <t>75167461</t>
  </si>
  <si>
    <t>Mai Hữu Tài</t>
  </si>
  <si>
    <t>31261570504</t>
  </si>
  <si>
    <t>taimai.31261570504@st.ueh.edu.vn</t>
  </si>
  <si>
    <t>10400186</t>
  </si>
  <si>
    <t>Huỳnh Thị Thanh Tuyền</t>
  </si>
  <si>
    <t>31261570505</t>
  </si>
  <si>
    <t>tuyenhuynh.31261570505@st.ueh.edu.vn</t>
  </si>
  <si>
    <t>57222001</t>
  </si>
  <si>
    <t>Lê Hồng Thắm</t>
  </si>
  <si>
    <t xml:space="preserve">0357794136 </t>
  </si>
  <si>
    <t>31261570506</t>
  </si>
  <si>
    <t>thamle.31261570506@st.ueh.edu.vn</t>
  </si>
  <si>
    <t>84904678</t>
  </si>
  <si>
    <t>Lê Thị Kiều Oanh</t>
  </si>
  <si>
    <t>31261570507</t>
  </si>
  <si>
    <t>oanhle.31261570507@st.ueh.edu.vn</t>
  </si>
  <si>
    <t>54582631</t>
  </si>
  <si>
    <t xml:space="preserve">Trà Nguyễn Ý Vy </t>
  </si>
  <si>
    <t>31261570508</t>
  </si>
  <si>
    <t>Trà Nguyễn Ý Vy</t>
  </si>
  <si>
    <t>vytra.31261570508@st.ueh.edu.vn</t>
  </si>
  <si>
    <t>24260583</t>
  </si>
  <si>
    <t>Hồ Phan Thị Tuyết Phương</t>
  </si>
  <si>
    <t>31261570509</t>
  </si>
  <si>
    <t>phuongho.31261570509@st.ueh.edu.vn</t>
  </si>
  <si>
    <t>51943260</t>
  </si>
  <si>
    <t>Phạm Gia Linh</t>
  </si>
  <si>
    <t>31261570510</t>
  </si>
  <si>
    <t>linhpham.31261570510@st.ueh.edu.vn</t>
  </si>
  <si>
    <t>84633605</t>
  </si>
  <si>
    <t>Nguyễn Ngọc Bảo Loan</t>
  </si>
  <si>
    <t>Công nghệ đổi mới sáng tạo</t>
  </si>
  <si>
    <t>31261570511</t>
  </si>
  <si>
    <t>loannguyen.31261570511@st.ueh.edu.vn</t>
  </si>
  <si>
    <t>22019106</t>
  </si>
  <si>
    <t>Võ Tuyết Lê</t>
  </si>
  <si>
    <t>31261570512</t>
  </si>
  <si>
    <t>levo.31261570512@st.ueh.edu.vn</t>
  </si>
  <si>
    <t>54709450</t>
  </si>
  <si>
    <t>Nguyễn Thu Hằng</t>
  </si>
  <si>
    <t>31261570513</t>
  </si>
  <si>
    <t>hangnguyen.31261570513@st.ueh.edu.vn</t>
  </si>
  <si>
    <t>87102618</t>
  </si>
  <si>
    <t>Nguyễn Thị Mỹ Hạnh</t>
  </si>
  <si>
    <t>31261570514</t>
  </si>
  <si>
    <t>hanhnguyen.31261570514@st.ueh.edu.vn</t>
  </si>
  <si>
    <t>61788238</t>
  </si>
  <si>
    <t>Nguyễn Thiên Đức</t>
  </si>
  <si>
    <t>31261570515</t>
  </si>
  <si>
    <t>ducnguyen.31261570515@st.ueh.edu.vn</t>
  </si>
  <si>
    <t>48742685</t>
  </si>
  <si>
    <t>Trần Trung Nhân</t>
  </si>
  <si>
    <t>31261570516</t>
  </si>
  <si>
    <t>nhan.31261570516@st.ueh.edu.vn</t>
  </si>
  <si>
    <t>32721196</t>
  </si>
  <si>
    <t>Trần Thị Yến Nhi</t>
  </si>
  <si>
    <t>31261570517</t>
  </si>
  <si>
    <t>Trần Thị Yến  Nhi</t>
  </si>
  <si>
    <t>nhitran.31261570517@st.ueh.edu.vn</t>
  </si>
  <si>
    <t>40146008</t>
  </si>
  <si>
    <t>Trần Nguyễn Vân Anh</t>
  </si>
  <si>
    <t>31261570518</t>
  </si>
  <si>
    <t>Trần Nguyễn Vân  Anh</t>
  </si>
  <si>
    <t>anhtran.31261570518@st.ueh.edu.vn</t>
  </si>
  <si>
    <t>53102859</t>
  </si>
  <si>
    <t>Ôn Mỹ Phương</t>
  </si>
  <si>
    <t>Tiếng anh thương mại</t>
  </si>
  <si>
    <t>31261570519</t>
  </si>
  <si>
    <t>Ôn Mỹ  Phương</t>
  </si>
  <si>
    <t>phuongon.31261570519@st.ueh.edu.vn</t>
  </si>
  <si>
    <t>45355106</t>
  </si>
  <si>
    <t>Nguyễn Trung Vũ</t>
  </si>
  <si>
    <t>31261570520</t>
  </si>
  <si>
    <t>Nguyễn Trung  Vũ</t>
  </si>
  <si>
    <t>vunguyen.31261570520@st.ueh.edu.vn</t>
  </si>
  <si>
    <t>68327293</t>
  </si>
  <si>
    <t>Lê Bảo Trâm</t>
  </si>
  <si>
    <t>31261570521</t>
  </si>
  <si>
    <t>Lê Bảo  Trâm</t>
  </si>
  <si>
    <t>tramle.31261570521@st.ueh.edu.vn</t>
  </si>
  <si>
    <t>94437458</t>
  </si>
  <si>
    <t>Trần Nguyễn Trâm Anh</t>
  </si>
  <si>
    <t>31261570522</t>
  </si>
  <si>
    <t>Trần Nguyễn Trâm  Anh</t>
  </si>
  <si>
    <t>anhtran.31261570522@st.ueh.edu.vn</t>
  </si>
  <si>
    <t>36540494</t>
  </si>
  <si>
    <t>Phạm Kiều Lam</t>
  </si>
  <si>
    <t>31261570523</t>
  </si>
  <si>
    <t>lampham.31261570523@st.ueh.edu.vn</t>
  </si>
  <si>
    <t>90572415</t>
  </si>
  <si>
    <t>Bùi Vũ Ngọc Quyên</t>
  </si>
  <si>
    <t>31261570524</t>
  </si>
  <si>
    <t>quyenbui.31261570524@st.ueh.edu.vn</t>
  </si>
  <si>
    <t>13239135</t>
  </si>
  <si>
    <t>Nữ</t>
  </si>
  <si>
    <t>Nam</t>
  </si>
  <si>
    <t>SBD</t>
  </si>
  <si>
    <t>Mã nơi sinh</t>
  </si>
  <si>
    <t>Tên giải HSG</t>
  </si>
  <si>
    <t>Tên môn HSG</t>
  </si>
  <si>
    <t>Tên hạng HSG</t>
  </si>
  <si>
    <t>Năm HSG</t>
  </si>
  <si>
    <t>079208042443</t>
  </si>
  <si>
    <t>066308006122</t>
  </si>
  <si>
    <t>044208010722</t>
  </si>
  <si>
    <t>040208024160</t>
  </si>
  <si>
    <t>Giải thưởng kỳ thi chọn học sinh giỏi cấp tỉnh/TP:</t>
  </si>
  <si>
    <t>KSVBS2612098</t>
  </si>
  <si>
    <t xml:space="preserve">Trường điều chỉnh KV ưu tiên: KV3 =&gt;KV2 NT
</t>
  </si>
  <si>
    <t>015169</t>
  </si>
  <si>
    <t>D26316361</t>
  </si>
  <si>
    <t>483.00</t>
  </si>
  <si>
    <t>KQDGNL_112_072308010254.pdf</t>
  </si>
  <si>
    <t>Trường điều chỉnh học lực từ Đạt =&gt; Tốt theo học bạ của em</t>
  </si>
  <si>
    <t>KSVBS2625932</t>
  </si>
  <si>
    <t>134</t>
  </si>
  <si>
    <t>tổ 2 khu phố thanh bình</t>
  </si>
  <si>
    <t>75041053</t>
  </si>
  <si>
    <t>205</t>
  </si>
  <si>
    <t>THPT Đồng Xoài (Từ ngày 04/6/2021)</t>
  </si>
  <si>
    <t>KQTHPT_212_070308000856.pdf</t>
  </si>
  <si>
    <t>KSVBS2639716</t>
  </si>
  <si>
    <t>0932110729</t>
  </si>
  <si>
    <t>Số nhà 26/17, Khóm 7</t>
  </si>
  <si>
    <t>86015850</t>
  </si>
  <si>
    <t>510766</t>
  </si>
  <si>
    <t>D26746737</t>
  </si>
  <si>
    <t>852.00</t>
  </si>
  <si>
    <t>182879</t>
  </si>
  <si>
    <t>D26RV5YJT</t>
  </si>
  <si>
    <t>899.00</t>
  </si>
  <si>
    <t>KQTHPT_217_086308006592.pdf</t>
  </si>
  <si>
    <t>KQDGNL_217_086308006592.pdf</t>
  </si>
  <si>
    <t>Trường điều chỉnh học lực từ Giỏi thành Tốt theo học bạ của em</t>
  </si>
  <si>
    <t xml:space="preserve">- UEH chỉ chấp nhận Giấy chứng nhận kết quả thi tốt nghiệp THPT năm 2026 (định dạng PDF) 
</t>
  </si>
  <si>
    <t>KSVBS2620275</t>
  </si>
  <si>
    <t>132</t>
  </si>
  <si>
    <t>NGUYỄN TÀI NHÂN</t>
  </si>
  <si>
    <t>05/01/2008</t>
  </si>
  <si>
    <t>kumit1659@gmail.com</t>
  </si>
  <si>
    <t>0372388981</t>
  </si>
  <si>
    <t>087308000717</t>
  </si>
  <si>
    <t>đường nguyễn sinh sắc</t>
  </si>
  <si>
    <t>82017212</t>
  </si>
  <si>
    <t>582045</t>
  </si>
  <si>
    <t>D26CM4JKA</t>
  </si>
  <si>
    <t>Trường điều chỉnh điểm DGNL từ 82 thành 576 theo minh chứng điểm em cung cấp</t>
  </si>
  <si>
    <t>KQTHPT_228_087308000717.pdf</t>
  </si>
  <si>
    <t>KQDGNL_228_087308000717.pdf</t>
  </si>
  <si>
    <t>KSVBS2611160</t>
  </si>
  <si>
    <t>NGUYỄN TUẤN VŨ</t>
  </si>
  <si>
    <t>27/08/2006</t>
  </si>
  <si>
    <t>nguyentuanvu270806@gmail.com</t>
  </si>
  <si>
    <t>0862896961</t>
  </si>
  <si>
    <t>079206039090</t>
  </si>
  <si>
    <t xml:space="preserve">Số Nhà 341, Đường Tỉnh 794, Tổ 4 Ấp Đông Lợi </t>
  </si>
  <si>
    <t>TT GDNN-GDTX Tân Châu</t>
  </si>
  <si>
    <t>GDTX</t>
  </si>
  <si>
    <t>6.83</t>
  </si>
  <si>
    <t>6.42</t>
  </si>
  <si>
    <t>KQTHPT_231_079206039090.pdf</t>
  </si>
  <si>
    <t>KSVBS2610829</t>
  </si>
  <si>
    <t>135</t>
  </si>
  <si>
    <t>LÊ VŨ NAM</t>
  </si>
  <si>
    <t>28/01/2006</t>
  </si>
  <si>
    <t>vunam.2006bh@gmail.com</t>
  </si>
  <si>
    <t>0342334054</t>
  </si>
  <si>
    <t>066206017635</t>
  </si>
  <si>
    <t>Tổ Dân Phố 8</t>
  </si>
  <si>
    <t>66020558</t>
  </si>
  <si>
    <t>361513</t>
  </si>
  <si>
    <t>D26729235</t>
  </si>
  <si>
    <t>Trường THPT Buôn Ma Thuột</t>
  </si>
  <si>
    <t>KQTHPT_234_066206017635.pdf</t>
  </si>
  <si>
    <t>KQDGNL_234_066206017635.pdf</t>
  </si>
  <si>
    <t>KSVBS2600840</t>
  </si>
  <si>
    <t>136</t>
  </si>
  <si>
    <t>NGUYỄN NGỌC NHƯ QUỲNH</t>
  </si>
  <si>
    <t>25/11/2007</t>
  </si>
  <si>
    <t>quynhquynh2304nhuquynh@gmail.com</t>
  </si>
  <si>
    <t>0907814725</t>
  </si>
  <si>
    <t>086307005933</t>
  </si>
  <si>
    <t>239h đường 8/3</t>
  </si>
  <si>
    <t>KQTHPT_236_086307005933.pdf</t>
  </si>
  <si>
    <t>19/06/2008</t>
  </si>
  <si>
    <t>KSVBS2623414</t>
  </si>
  <si>
    <t>138</t>
  </si>
  <si>
    <t>NGUYỄN GIA ANH HIẾU</t>
  </si>
  <si>
    <t>09/07/2008</t>
  </si>
  <si>
    <t>nguyengiaanhhieu2k8@gmail.com</t>
  </si>
  <si>
    <t>0569619450</t>
  </si>
  <si>
    <t>Thôn Dinh Chu</t>
  </si>
  <si>
    <t>40029525</t>
  </si>
  <si>
    <t>40N</t>
  </si>
  <si>
    <t>188</t>
  </si>
  <si>
    <t>THPT Thanh Chương 1</t>
  </si>
  <si>
    <t>KQTHPT_239_040208024160.pdf</t>
  </si>
  <si>
    <t>KSVBS2629298</t>
  </si>
  <si>
    <t>141</t>
  </si>
  <si>
    <t>TRẦN THỊ NGỌC HÂN</t>
  </si>
  <si>
    <t>ngochantran894@gmail.com</t>
  </si>
  <si>
    <t>0362133313</t>
  </si>
  <si>
    <t>082308004573</t>
  </si>
  <si>
    <t xml:space="preserve">531, đường kênh Nguyễn Văn Tiếp </t>
  </si>
  <si>
    <t>82019130</t>
  </si>
  <si>
    <t>630</t>
  </si>
  <si>
    <t>THPT Thiên Hộ Dương</t>
  </si>
  <si>
    <t>Trường điều chỉnh điểm học bạ theo khớp với học bạ em cung cấp</t>
  </si>
  <si>
    <t>KQTHPT_243_082308004573.pdf</t>
  </si>
  <si>
    <t>KSVBS2618856</t>
  </si>
  <si>
    <t>NGUYỄN HOÀNG ANH THƯ</t>
  </si>
  <si>
    <t>nguyenthu234.hgi@gmail.com</t>
  </si>
  <si>
    <t>0783794828</t>
  </si>
  <si>
    <t>093308002659</t>
  </si>
  <si>
    <t>67/193 Ấp Tân Phú A, Thị trấn Cái Tắc, Châu Thành A-Hậu Giang</t>
  </si>
  <si>
    <t>92017134</t>
  </si>
  <si>
    <t>372</t>
  </si>
  <si>
    <t>THPT Cái Tắc (trước 04/6/2021) (trước 01/7/2025)</t>
  </si>
  <si>
    <t>371</t>
  </si>
  <si>
    <t>THPT Cái Tắc (từ 04/6/2021) (trước 01/7/2025)</t>
  </si>
  <si>
    <t xml:space="preserve">Em xóa file cũ và tải lên lại học bạ theo tiêu chí sau: Học bạ gồm ít nhất 07 trang: trang thông tin học sinh, trang kết quả học tập + trang nhận xét của lớp 10, 11, 12. Học bạ phải có đủ chữ ký, dấu mộc của trường THPT.
- Em up lại mục Giấy chứng nhận kết quả thi THPT năm 2026 nhé
</t>
  </si>
  <si>
    <t>KQTHPT_244_093308002659.pdf</t>
  </si>
  <si>
    <t>KSVBS2613705</t>
  </si>
  <si>
    <t>143</t>
  </si>
  <si>
    <t>HUỲNH MINH HUY</t>
  </si>
  <si>
    <t>huylebron123@gmail.com</t>
  </si>
  <si>
    <t>0364155601</t>
  </si>
  <si>
    <t>217/28 Bà Hom</t>
  </si>
  <si>
    <t>79006690</t>
  </si>
  <si>
    <t>845.00</t>
  </si>
  <si>
    <t>104592</t>
  </si>
  <si>
    <t>D26859478</t>
  </si>
  <si>
    <t>07/09/2025</t>
  </si>
  <si>
    <t>25VN525098HUYM101A</t>
  </si>
  <si>
    <t>ChungChiTA_246_079208042443.jpg</t>
  </si>
  <si>
    <t>045</t>
  </si>
  <si>
    <t>9.18</t>
  </si>
  <si>
    <t>KQTHPT_246_079208042443.pdf</t>
  </si>
  <si>
    <t>KQDGNL_246_079208042443.pdf</t>
  </si>
  <si>
    <t>KSVBS2615995</t>
  </si>
  <si>
    <t>VŨ KHÁNH BĂNG</t>
  </si>
  <si>
    <t>08/10/2007</t>
  </si>
  <si>
    <t>vukhanhbang810@gmail.com</t>
  </si>
  <si>
    <t>0888171570</t>
  </si>
  <si>
    <t>096307008557</t>
  </si>
  <si>
    <t>Khóm 14, phường Tân Thành,Cà Mau</t>
  </si>
  <si>
    <t>61000673</t>
  </si>
  <si>
    <t>THPT Hồ Thị Kỷ</t>
  </si>
  <si>
    <t>6.31</t>
  </si>
  <si>
    <t>7.17</t>
  </si>
  <si>
    <t xml:space="preserve">Thí sinh tự do (những thí sinh đã tốt nghiệp THPT trước năm 2026) hoàn toàn có thể xét tuyển vào UEH năm 2026
Phương thức xét tuyển: Thí sinh tự do sẽ tham gia xét tuyển thông qua Phương thức xét tuyển tích hợp.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</si>
  <si>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9.40</t>
  </si>
  <si>
    <t>KSVBS2642702</t>
  </si>
  <si>
    <t>142</t>
  </si>
  <si>
    <t>LÊ HỒNG QUÂN</t>
  </si>
  <si>
    <t>lehongquan0508@gmail.com</t>
  </si>
  <si>
    <t>0919747978</t>
  </si>
  <si>
    <t xml:space="preserve">Thôn Tuy Lộc </t>
  </si>
  <si>
    <t>44010909</t>
  </si>
  <si>
    <t>330669</t>
  </si>
  <si>
    <t>D26171301</t>
  </si>
  <si>
    <t>811.00</t>
  </si>
  <si>
    <t>30/08/2025</t>
  </si>
  <si>
    <t>25VN521033LEH002A</t>
  </si>
  <si>
    <t>ChungChiTA_251_044208010722.pdf</t>
  </si>
  <si>
    <t>45N</t>
  </si>
  <si>
    <t>046</t>
  </si>
  <si>
    <t>THPT Lệ Thủy</t>
  </si>
  <si>
    <t>KQTHPT_251_044208010722.pdf</t>
  </si>
  <si>
    <t>KQDGNL_251_044208010722.pdf</t>
  </si>
  <si>
    <t>KSVBS2611188</t>
  </si>
  <si>
    <t>145</t>
  </si>
  <si>
    <t>LÝ THỊ GIÁNG MY</t>
  </si>
  <si>
    <t>lythigiangmy008@gmail.com</t>
  </si>
  <si>
    <t>0896540820</t>
  </si>
  <si>
    <t>thôn 8</t>
  </si>
  <si>
    <t>Sán chay (Cao Lan, Sán Chỉ)</t>
  </si>
  <si>
    <t>66010126</t>
  </si>
  <si>
    <t>001</t>
  </si>
  <si>
    <t>Trường PTDTNT THPT Đam San</t>
  </si>
  <si>
    <t>KQTHPT_253_066308006122.pdf</t>
  </si>
  <si>
    <t>KSVBS2602356</t>
  </si>
  <si>
    <t>144</t>
  </si>
  <si>
    <t>NGUYỄN VÕ ĐĂNG KHOA</t>
  </si>
  <si>
    <t>khoa7749n@gmail.com</t>
  </si>
  <si>
    <t>0899055019</t>
  </si>
  <si>
    <t>079208045387</t>
  </si>
  <si>
    <t>230 Ấp Khánh Mỹ Đồng Tháp</t>
  </si>
  <si>
    <t>82012404</t>
  </si>
  <si>
    <t>7.92</t>
  </si>
  <si>
    <t>Trường điều chỉnh học lực Giỏi =&gt;Tốt theo học bạ của em</t>
  </si>
  <si>
    <t>KQTHPT_254_079208045387.pdf</t>
  </si>
  <si>
    <t>KSVBS2633381</t>
  </si>
  <si>
    <t>146</t>
  </si>
  <si>
    <t>TRẦN THỊ CẨM PHỤNG</t>
  </si>
  <si>
    <t>camphung.kg@gmail.com</t>
  </si>
  <si>
    <t>0835272741</t>
  </si>
  <si>
    <t>091308007372</t>
  </si>
  <si>
    <t>ấp Đặng Văn Do</t>
  </si>
  <si>
    <t>91006670</t>
  </si>
  <si>
    <t>217</t>
  </si>
  <si>
    <t>Trường THCS&amp;THPT U Minh Thượng (trước 30/6/2025)</t>
  </si>
  <si>
    <t>221</t>
  </si>
  <si>
    <t>Trường THCS&amp;THPT Võ Văn Kiệt (trước 29/01/2026)</t>
  </si>
  <si>
    <t>054</t>
  </si>
  <si>
    <t>Trường THCS&amp;THPT Vĩnh Hòa</t>
  </si>
  <si>
    <t>6.47</t>
  </si>
  <si>
    <t>KQTHPT_255_091308007372.pdf</t>
  </si>
  <si>
    <t>KQVSAT_255_091308007372.pdf</t>
  </si>
  <si>
    <t>KSVBS2649848</t>
  </si>
  <si>
    <t>147</t>
  </si>
  <si>
    <t>HỒ NGUYỄN HOÀNG NHẬT</t>
  </si>
  <si>
    <t>22/12/2007</t>
  </si>
  <si>
    <t>nhatho149@gmail.com</t>
  </si>
  <si>
    <t>0945536632</t>
  </si>
  <si>
    <t>091207002268</t>
  </si>
  <si>
    <t>1068/50/7 Nguyễn Trung Trực,Khu Phố 4, Phường Rạch Giá , Tỉnh An Giang</t>
  </si>
  <si>
    <t>54011873</t>
  </si>
  <si>
    <t>222</t>
  </si>
  <si>
    <t>Trường Phổ thông Nhiều cấp iSchool Rạch Giá (trước 29/01/2026)</t>
  </si>
  <si>
    <t>5.88</t>
  </si>
  <si>
    <t>6.23</t>
  </si>
  <si>
    <t>6.62</t>
  </si>
  <si>
    <t xml:space="preserve">Năm 2026, UEH MeKong áp dụng phương thức : Xét tuyển tích hợp
Cách tính điểm: Điểm xét tuyển = (Điểm thi x 60%) + (Điểm trung bình học tập THPT x 40%) + Điểm cộng ( nếu có) + Điểm ưu tiên KV,ĐT ( nếu có)
Điểm thi: Thí sinh sử dụng kết quả của 01 trong 03 kỳ thi: Tốt nghiệp THPT 2026, Đánh giá năng lực ĐHQG TP.HCM 2026, hoặc V-SAT 2026 Đại học Cần thơ tổ chức
</t>
  </si>
  <si>
    <t>KQTHPT_259_091207002268.pdf</t>
  </si>
  <si>
    <t>KSVBS2635356</t>
  </si>
  <si>
    <t>149</t>
  </si>
  <si>
    <t>NGUYỄN HỮU TRỌNG</t>
  </si>
  <si>
    <t>huutrong07102022@gmail.com</t>
  </si>
  <si>
    <t>0981728059</t>
  </si>
  <si>
    <t>091208003108</t>
  </si>
  <si>
    <t>tổ 3, ấp Giàn Gừa, xã Sơn Kiên, tỉnh An Giang</t>
  </si>
  <si>
    <t>91020148</t>
  </si>
  <si>
    <t>203</t>
  </si>
  <si>
    <t>Trường THPT Hòn Đất (trước 29/01/2026)</t>
  </si>
  <si>
    <t>Trường có cập nhật thêm điểm môn vật lý 4.5</t>
  </si>
  <si>
    <t>KQTHPT_265_091208003108.pdf</t>
  </si>
  <si>
    <t>Nguyễn Mai Khanh</t>
  </si>
  <si>
    <t>31261570525</t>
  </si>
  <si>
    <t>khanhnguyen.31261570525@st.ueh.edu.vn</t>
  </si>
  <si>
    <t>92200883</t>
  </si>
  <si>
    <t>Vongphachanh Sengaloun</t>
  </si>
  <si>
    <t>0942450766</t>
  </si>
  <si>
    <t>sengalounvongphachanh.31261570527@st.ueh.edu.vn</t>
  </si>
  <si>
    <t>Kongnalong Phonexay</t>
  </si>
  <si>
    <t>0703389793</t>
  </si>
  <si>
    <t>phonexaykongnalong.31261570528@st.ueh.edu.vn</t>
  </si>
  <si>
    <t>Xaiyavong Chinda</t>
  </si>
  <si>
    <t>0941756066</t>
  </si>
  <si>
    <t>chindaxaiyavong.31261570529@st.ueh.edu.vn</t>
  </si>
  <si>
    <t>Inthaphothong Sokxay</t>
  </si>
  <si>
    <t>0941793788</t>
  </si>
  <si>
    <t>sokxayinthaphothong.31261570530@st.ueh.edu.vn</t>
  </si>
  <si>
    <t>Lê Hồng Quân</t>
  </si>
  <si>
    <t>quanle.31261570526@st.ueh.edu.vn</t>
  </si>
  <si>
    <t>Nguyễn Vân Anh</t>
  </si>
  <si>
    <t>Nguyễn Vân  Anh</t>
  </si>
  <si>
    <t>anhnguyen.31261570531@st.ueh.edu.vn</t>
  </si>
  <si>
    <t>Nguyễn Anh Pha</t>
  </si>
  <si>
    <t>Nguyễn Anh  Pha</t>
  </si>
  <si>
    <t>phanguyen.31261570532@st.ueh.edu.vn</t>
  </si>
  <si>
    <t>Nguyễn Gia Anh Hiếu</t>
  </si>
  <si>
    <t>hieunguyen.31261570533@st.ueh.edu.vn</t>
  </si>
  <si>
    <t>Huỳnh Minh Huy</t>
  </si>
  <si>
    <t>Tiếng Anh Thương Mại</t>
  </si>
  <si>
    <t>huyhuynh.31261570534@st.ueh.edu.vn</t>
  </si>
  <si>
    <t>Lý Thị Giáng My</t>
  </si>
  <si>
    <t>myly.31261570535@st.ueh.edu.vn</t>
  </si>
  <si>
    <t>Cạp nhật cột này để lấy MSSV</t>
  </si>
  <si>
    <t>Nguyễn Ngọc Minh Thư</t>
  </si>
  <si>
    <t>thunguyen.31261570536@st.ueh.edu.vn</t>
  </si>
  <si>
    <t>Nguyễn Hữu Trọng</t>
  </si>
  <si>
    <t>trongnguyen.31261570537@st.ueh.edu.vn</t>
  </si>
  <si>
    <t xml:space="preserve">0926814889	</t>
  </si>
  <si>
    <t>083308007749</t>
  </si>
  <si>
    <t>KSVBS2648515</t>
  </si>
  <si>
    <t>150</t>
  </si>
  <si>
    <t>NGUYỄN PHƯƠNG THẢO</t>
  </si>
  <si>
    <t>28/10/2006</t>
  </si>
  <si>
    <t>sabrinabettywine@gmail.com</t>
  </si>
  <si>
    <t>0983400421</t>
  </si>
  <si>
    <t>079306007462</t>
  </si>
  <si>
    <t>47/3 đường nguyễn đức ngữ phường chánh hưng thành phố hồ chí minh</t>
  </si>
  <si>
    <t>790306007462</t>
  </si>
  <si>
    <t>241329</t>
  </si>
  <si>
    <t>D26RN4CJT</t>
  </si>
  <si>
    <t>6.90</t>
  </si>
  <si>
    <t xml:space="preserve">- Bổ sung học bạ THPT em úp thêm ảnh trang thông tin học sinh nữa nha
</t>
  </si>
  <si>
    <t>KQTHPT_267_079306007462.pdf</t>
  </si>
  <si>
    <t>KQDGNL_267_079306007462.pdf</t>
  </si>
  <si>
    <t>KSVBS2634521</t>
  </si>
  <si>
    <t>151</t>
  </si>
  <si>
    <t>TÔ THỊ ÁNH LINH</t>
  </si>
  <si>
    <t>26/02/2008</t>
  </si>
  <si>
    <t>peklinh2602@gmail.com</t>
  </si>
  <si>
    <t>0862590198</t>
  </si>
  <si>
    <t>số nhà 75, ấp Tân Lợi, đường tỉnh lộ 882</t>
  </si>
  <si>
    <t>86004072</t>
  </si>
  <si>
    <t>472204</t>
  </si>
  <si>
    <t>D26697953</t>
  </si>
  <si>
    <t>826.00</t>
  </si>
  <si>
    <t>564091</t>
  </si>
  <si>
    <t>D26565046</t>
  </si>
  <si>
    <t>823.00</t>
  </si>
  <si>
    <t>9.47</t>
  </si>
  <si>
    <t>KQTHPT_270_083308007749.pdf</t>
  </si>
  <si>
    <t>KQDGNL_270_083308007749.pdf</t>
  </si>
  <si>
    <r>
      <t xml:space="preserve">Đợt xét tuyển </t>
    </r>
    <r>
      <rPr>
        <b/>
        <sz val="11"/>
        <color indexed="10"/>
        <rFont val="Times New Roman"/>
        <family val="1"/>
      </rPr>
      <t>(*)</t>
    </r>
    <r>
      <rPr>
        <b/>
        <sz val="11"/>
        <rFont val="Times New Roman"/>
        <family val="1"/>
      </rPr>
      <t xml:space="preserve"> </t>
    </r>
  </si>
  <si>
    <r>
      <t xml:space="preserve">Phương thức xét tuyển của trường </t>
    </r>
    <r>
      <rPr>
        <b/>
        <sz val="11"/>
        <color indexed="10"/>
        <rFont val="Times New Roman"/>
        <family val="1"/>
      </rPr>
      <t>(*)</t>
    </r>
  </si>
  <si>
    <r>
      <t xml:space="preserve">Phương thức xét tuyển chuẩn </t>
    </r>
    <r>
      <rPr>
        <b/>
        <sz val="11"/>
        <color indexed="10"/>
        <rFont val="Times New Roman"/>
        <family val="1"/>
      </rPr>
      <t>(*)</t>
    </r>
  </si>
  <si>
    <t>Số báo danh thi THPTQG 2026 (nếu có)</t>
  </si>
  <si>
    <r>
      <t xml:space="preserve">Số ĐDCN </t>
    </r>
    <r>
      <rPr>
        <b/>
        <sz val="11"/>
        <color indexed="10"/>
        <rFont val="Times New Roman"/>
        <family val="1"/>
      </rPr>
      <t>(*)</t>
    </r>
  </si>
  <si>
    <r>
      <t xml:space="preserve">Họ tên </t>
    </r>
    <r>
      <rPr>
        <b/>
        <sz val="11"/>
        <color indexed="10"/>
        <rFont val="Times New Roman"/>
        <family val="1"/>
      </rPr>
      <t>(*)</t>
    </r>
  </si>
  <si>
    <r>
      <t xml:space="preserve">Ngày sinh </t>
    </r>
    <r>
      <rPr>
        <b/>
        <sz val="11"/>
        <color indexed="10"/>
        <rFont val="Times New Roman"/>
        <family val="1"/>
      </rPr>
      <t>(*)</t>
    </r>
  </si>
  <si>
    <r>
      <t xml:space="preserve">Giới tính </t>
    </r>
    <r>
      <rPr>
        <b/>
        <sz val="11"/>
        <color indexed="10"/>
        <rFont val="Times New Roman"/>
        <family val="1"/>
      </rPr>
      <t>(*)</t>
    </r>
  </si>
  <si>
    <r>
      <t xml:space="preserve">Dân tộc </t>
    </r>
    <r>
      <rPr>
        <b/>
        <sz val="11"/>
        <color indexed="10"/>
        <rFont val="Times New Roman"/>
        <family val="1"/>
      </rPr>
      <t>(*)</t>
    </r>
  </si>
  <si>
    <r>
      <t xml:space="preserve">Điện thoại </t>
    </r>
    <r>
      <rPr>
        <b/>
        <sz val="11"/>
        <color indexed="10"/>
        <rFont val="Times New Roman"/>
        <family val="1"/>
      </rPr>
      <t>(*)</t>
    </r>
  </si>
  <si>
    <r>
      <t xml:space="preserve">Email </t>
    </r>
    <r>
      <rPr>
        <b/>
        <sz val="11"/>
        <color indexed="10"/>
        <rFont val="Times New Roman"/>
        <family val="1"/>
      </rPr>
      <t>(*)</t>
    </r>
  </si>
  <si>
    <r>
      <t xml:space="preserve">Mã Tỉnh </t>
    </r>
    <r>
      <rPr>
        <b/>
        <sz val="11"/>
        <color indexed="10"/>
        <rFont val="Times New Roman"/>
        <family val="1"/>
      </rPr>
      <t>(*)</t>
    </r>
  </si>
  <si>
    <r>
      <t xml:space="preserve">Mã Xã/Phường </t>
    </r>
    <r>
      <rPr>
        <b/>
        <sz val="11"/>
        <color indexed="10"/>
        <rFont val="Times New Roman"/>
        <family val="1"/>
      </rPr>
      <t>(*)</t>
    </r>
  </si>
  <si>
    <r>
      <t xml:space="preserve">Khu vực ưu tiên </t>
    </r>
    <r>
      <rPr>
        <b/>
        <sz val="11"/>
        <color indexed="10"/>
        <rFont val="Times New Roman"/>
        <family val="1"/>
      </rPr>
      <t>(*)</t>
    </r>
  </si>
  <si>
    <t>Đối tượng ưu tiên (nếu có)</t>
  </si>
  <si>
    <r>
      <t xml:space="preserve">Mã trường ĐH, CĐ </t>
    </r>
    <r>
      <rPr>
        <b/>
        <sz val="11"/>
        <color indexed="10"/>
        <rFont val="Times New Roman"/>
        <family val="1"/>
      </rPr>
      <t>(*)</t>
    </r>
  </si>
  <si>
    <r>
      <t xml:space="preserve">Mã xét tuyển </t>
    </r>
    <r>
      <rPr>
        <b/>
        <sz val="11"/>
        <color indexed="10"/>
        <rFont val="Times New Roman"/>
        <family val="1"/>
      </rPr>
      <t>(*)</t>
    </r>
  </si>
  <si>
    <r>
      <t xml:space="preserve">Tên mã xét tuyển </t>
    </r>
    <r>
      <rPr>
        <b/>
        <sz val="11"/>
        <color indexed="10"/>
        <rFont val="Times New Roman"/>
        <family val="1"/>
      </rPr>
      <t>(*)</t>
    </r>
  </si>
  <si>
    <r>
      <t xml:space="preserve">Mã ngành </t>
    </r>
    <r>
      <rPr>
        <b/>
        <sz val="11"/>
        <color indexed="10"/>
        <rFont val="Times New Roman"/>
        <family val="1"/>
      </rPr>
      <t>(*)</t>
    </r>
  </si>
  <si>
    <t>Mã tổ hợp (nếu có)</t>
  </si>
  <si>
    <t>Môn xét tuyển (nếu có)</t>
  </si>
  <si>
    <t>Mã Văn bằng/Chứng chỉ xét tuyển</t>
  </si>
  <si>
    <t>Điểm/Mức độ/giải/loại (tương đương với Văn bằng/chứng chỉ)</t>
  </si>
  <si>
    <r>
      <t xml:space="preserve">Điểm xét tuyển (thí sinh) </t>
    </r>
    <r>
      <rPr>
        <b/>
        <sz val="11"/>
        <color indexed="10"/>
        <rFont val="Times New Roman"/>
        <family val="1"/>
      </rPr>
      <t>(*)</t>
    </r>
  </si>
  <si>
    <r>
      <t xml:space="preserve">Mức điểm trúng tuyển (ngành) </t>
    </r>
    <r>
      <rPr>
        <b/>
        <sz val="11"/>
        <color indexed="10"/>
        <rFont val="Times New Roman"/>
        <family val="1"/>
      </rPr>
      <t>(*)</t>
    </r>
    <r>
      <rPr>
        <b/>
        <sz val="11"/>
        <rFont val="Times New Roman"/>
        <family val="1"/>
      </rPr>
      <t xml:space="preserve"> </t>
    </r>
  </si>
  <si>
    <t>Mức tiêu chí phụ (nếu có)</t>
  </si>
  <si>
    <r>
      <t xml:space="preserve">Thang điểm </t>
    </r>
    <r>
      <rPr>
        <b/>
        <sz val="11"/>
        <color indexed="10"/>
        <rFont val="Times New Roman"/>
        <family val="1"/>
      </rPr>
      <t>(*)</t>
    </r>
  </si>
  <si>
    <r>
      <t xml:space="preserve">Năm tốt nghiệp </t>
    </r>
    <r>
      <rPr>
        <b/>
        <sz val="11"/>
        <color indexed="10"/>
        <rFont val="Times New Roman"/>
        <family val="1"/>
      </rPr>
      <t>(*)</t>
    </r>
  </si>
  <si>
    <t>Điểm năng khiếu 1 (nếu có)</t>
  </si>
  <si>
    <t>Điểm năng khiếu 2 (nếu có)</t>
  </si>
  <si>
    <r>
      <t xml:space="preserve">Học lực/Kết quả học tập lớp 12 </t>
    </r>
    <r>
      <rPr>
        <b/>
        <sz val="11"/>
        <color indexed="10"/>
        <rFont val="Times New Roman"/>
        <family val="1"/>
      </rPr>
      <t>(*)</t>
    </r>
    <r>
      <rPr>
        <b/>
        <sz val="11"/>
        <rFont val="Times New Roman"/>
        <family val="1"/>
      </rPr>
      <t xml:space="preserve"> </t>
    </r>
  </si>
  <si>
    <r>
      <t xml:space="preserve">Hạnh kiểm/Kết quả rèn luyện lớp 12 </t>
    </r>
    <r>
      <rPr>
        <b/>
        <sz val="11"/>
        <color indexed="10"/>
        <rFont val="Times New Roman"/>
        <family val="1"/>
      </rPr>
      <t>(*)</t>
    </r>
  </si>
  <si>
    <r>
      <t xml:space="preserve">Tháng (đợt nhập) </t>
    </r>
    <r>
      <rPr>
        <b/>
        <sz val="11"/>
        <color indexed="10"/>
        <rFont val="Times New Roman"/>
        <family val="1"/>
      </rPr>
      <t>(*)</t>
    </r>
  </si>
  <si>
    <r>
      <t xml:space="preserve">Hình thức đào tạo </t>
    </r>
    <r>
      <rPr>
        <b/>
        <sz val="11"/>
        <color indexed="10"/>
        <rFont val="Times New Roman"/>
        <family val="1"/>
      </rPr>
      <t>(*)</t>
    </r>
  </si>
  <si>
    <r>
      <t xml:space="preserve">Mã Sinh viên </t>
    </r>
    <r>
      <rPr>
        <b/>
        <sz val="11"/>
        <color indexed="10"/>
        <rFont val="Times New Roman"/>
        <family val="1"/>
      </rPr>
      <t>(*)</t>
    </r>
  </si>
  <si>
    <r>
      <t xml:space="preserve">Lớp Sinh viên </t>
    </r>
    <r>
      <rPr>
        <b/>
        <sz val="11"/>
        <color indexed="10"/>
        <rFont val="Times New Roman"/>
        <family val="1"/>
      </rPr>
      <t>(*)</t>
    </r>
  </si>
  <si>
    <t>Ghi chú (nếu có)</t>
  </si>
  <si>
    <t>Mã tỉnh lớp 12</t>
  </si>
  <si>
    <t>Mã trường lớp 12</t>
  </si>
  <si>
    <t>Tên trường lớp 12</t>
  </si>
  <si>
    <t>Địa chỉ liên hệ</t>
  </si>
  <si>
    <t>Tên dân tộc</t>
  </si>
  <si>
    <t>Tên tỉnh</t>
  </si>
  <si>
    <t>Tên xã phường</t>
  </si>
  <si>
    <t>TO</t>
  </si>
  <si>
    <t>VA</t>
  </si>
  <si>
    <t>LI</t>
  </si>
  <si>
    <t>HO</t>
  </si>
  <si>
    <t>SI</t>
  </si>
  <si>
    <t>SU</t>
  </si>
  <si>
    <t>DI</t>
  </si>
  <si>
    <t>NN</t>
  </si>
  <si>
    <t>Mã môn NN</t>
  </si>
  <si>
    <t>KTPL</t>
  </si>
  <si>
    <t>TI</t>
  </si>
  <si>
    <t>CNCN</t>
  </si>
  <si>
    <t>CNNN</t>
  </si>
  <si>
    <t>NK1</t>
  </si>
  <si>
    <t>NK2</t>
  </si>
  <si>
    <t>NK3</t>
  </si>
  <si>
    <t>NK4</t>
  </si>
  <si>
    <t>NK5</t>
  </si>
  <si>
    <t>NK6</t>
  </si>
  <si>
    <t>NK7</t>
  </si>
  <si>
    <t>NK8</t>
  </si>
  <si>
    <t>NK9</t>
  </si>
  <si>
    <t>NK10</t>
  </si>
  <si>
    <t>Thí sinh đặc cách</t>
  </si>
  <si>
    <t>Mã tỉnh lớp 10</t>
  </si>
  <si>
    <t>Mã trường lớp 10</t>
  </si>
  <si>
    <t>Mã tỉnh lớp 11</t>
  </si>
  <si>
    <t>Mã trường lớp 11</t>
  </si>
  <si>
    <t>Thí sinh miễn thi TN</t>
  </si>
  <si>
    <t>28537</t>
  </si>
  <si>
    <t>2NT</t>
  </si>
  <si>
    <t>T</t>
  </si>
  <si>
    <t>Huỳnh Thị Thanh Ngân, sđt 0776806873, lớp 12A9, trường THPT Tân Hiệp, Châu Thành, Đồng Tháp.</t>
  </si>
  <si>
    <t>Đồng Tháp</t>
  </si>
  <si>
    <t>Xã Long Hưng</t>
  </si>
  <si>
    <t xml:space="preserve">  6.25</t>
  </si>
  <si>
    <t xml:space="preserve">  7.75</t>
  </si>
  <si>
    <t xml:space="preserve">  4.20</t>
  </si>
  <si>
    <t xml:space="preserve">  5.00</t>
  </si>
  <si>
    <t>N1</t>
  </si>
  <si>
    <t>25159</t>
  </si>
  <si>
    <t>THPT Cát Tiên</t>
  </si>
  <si>
    <t>0943853915 Trần Thị Hải Hà Thôn 2 - Xã Cát Tiên - Lâm Đồng</t>
  </si>
  <si>
    <t>Lâm Đồng</t>
  </si>
  <si>
    <t>Xã Cát Tiên</t>
  </si>
  <si>
    <t xml:space="preserve">  7.75*</t>
  </si>
  <si>
    <t xml:space="preserve">  5.25</t>
  </si>
  <si>
    <t>31360</t>
  </si>
  <si>
    <t>K</t>
  </si>
  <si>
    <t>Số 31 Quốc Lộ 61 Ấp Thị Tứ, Xã Thạnh Xuân, Thành Phố Cần Thơ - Cần Thơ</t>
  </si>
  <si>
    <t>Cần Thơ</t>
  </si>
  <si>
    <t>Xã Thạnh Xuân</t>
  </si>
  <si>
    <t xml:space="preserve">  6.50</t>
  </si>
  <si>
    <t xml:space="preserve">  3.10</t>
  </si>
  <si>
    <t>30436</t>
  </si>
  <si>
    <t>Nguyễn Ngọc Thảo Vi, 0818335529, Xã Phú An - An Giang</t>
  </si>
  <si>
    <t>An Giang</t>
  </si>
  <si>
    <t>Xã Phú An</t>
  </si>
  <si>
    <t xml:space="preserve">  4.25</t>
  </si>
  <si>
    <t xml:space="preserve">  7.50</t>
  </si>
  <si>
    <t xml:space="preserve">  5.75</t>
  </si>
  <si>
    <t xml:space="preserve">  4.75</t>
  </si>
  <si>
    <t>6.91</t>
  </si>
  <si>
    <t>29734</t>
  </si>
  <si>
    <t>Ấp 2A - Xã Hòa Hiệp - Vĩnh Long</t>
  </si>
  <si>
    <t>Vĩnh Long</t>
  </si>
  <si>
    <t>Xã Hòa Hiệp</t>
  </si>
  <si>
    <t xml:space="preserve">  5.50</t>
  </si>
  <si>
    <t xml:space="preserve">  6.00</t>
  </si>
  <si>
    <t xml:space="preserve">  6.60</t>
  </si>
  <si>
    <t>28921</t>
  </si>
  <si>
    <t>Số nhà 38 , Ấp Đông Thuận - Xã Tân Thành Bình - Vĩnh Long</t>
  </si>
  <si>
    <t>Xã Tân Thành Bình</t>
  </si>
  <si>
    <t xml:space="preserve">  6.75</t>
  </si>
  <si>
    <t xml:space="preserve">  5.35</t>
  </si>
  <si>
    <t xml:space="preserve">  7.25</t>
  </si>
  <si>
    <t>30631</t>
  </si>
  <si>
    <t>HỒ NGUYỄN QUỐC BÌNH ,0763307374, số nhà 206/184 , ấp Mỹ Quí - Xã Long Điền - An Giang</t>
  </si>
  <si>
    <t>Xã Long Điền</t>
  </si>
  <si>
    <t xml:space="preserve">  8.00</t>
  </si>
  <si>
    <t>huynhbangtram@gmail.com</t>
  </si>
  <si>
    <t>29242</t>
  </si>
  <si>
    <t>111/15, hẻm 288, Phạm Ngũ Lão - Phường Trà Vinh - Vĩnh Long</t>
  </si>
  <si>
    <t>Phường Trà Vinh</t>
  </si>
  <si>
    <t xml:space="preserve">  8.50</t>
  </si>
  <si>
    <t>Kcuc0823@gmail.com</t>
  </si>
  <si>
    <t>Phan Thị Kim Cúc-0383170265-Xã Phú An - An Giang</t>
  </si>
  <si>
    <t xml:space="preserve">  3.50</t>
  </si>
  <si>
    <t>7.09</t>
  </si>
  <si>
    <t>29905</t>
  </si>
  <si>
    <t>Số 26 Lô A Khu Dân Cư, khóm Tân Thuận, Tổ 9 - Phường Sa Đéc - Đồng Tháp</t>
  </si>
  <si>
    <t>Phường Sa Đéc</t>
  </si>
  <si>
    <t xml:space="preserve">  3.50*</t>
  </si>
  <si>
    <t>30742</t>
  </si>
  <si>
    <t>Vương Hoàng Kim Yến, 0943959098, 1104 Mạc Cửu, Khu phố Nguyễn Thái Bình, Phường Rạch Giá, Tỉnh An Giang</t>
  </si>
  <si>
    <t>Phường Rạch Giá</t>
  </si>
  <si>
    <t xml:space="preserve">  4.50</t>
  </si>
  <si>
    <t xml:space="preserve">  4.85</t>
  </si>
  <si>
    <t>6.65</t>
  </si>
  <si>
    <t>lengocthienctld@gmail.com</t>
  </si>
  <si>
    <t>25162</t>
  </si>
  <si>
    <t>Lê Ngọc Thiện -Thôn2 - Xã Cát Tiên 3 - Lâm Đồng</t>
  </si>
  <si>
    <t>Xã Cát Tiên 3</t>
  </si>
  <si>
    <t xml:space="preserve">  7.00</t>
  </si>
  <si>
    <t>27694</t>
  </si>
  <si>
    <t>Nguyễn Thụy Thảo My số nhà 369/7A, đường quốc lộ 1, phường Long An, Tây Ninh</t>
  </si>
  <si>
    <t>Tây Ninh</t>
  </si>
  <si>
    <t>phường Long An</t>
  </si>
  <si>
    <t>29329</t>
  </si>
  <si>
    <t>Đinh Thị Quế Anh ,12c2, trường THPT  phong phú , xã phong thạnh tỉnh vĩnh long</t>
  </si>
  <si>
    <t>Xã Phong Thạnh</t>
  </si>
  <si>
    <t xml:space="preserve">  4.00</t>
  </si>
  <si>
    <t xml:space="preserve">  7.35</t>
  </si>
  <si>
    <t xml:space="preserve">  2.50</t>
  </si>
  <si>
    <t>0979810212</t>
  </si>
  <si>
    <t>29771</t>
  </si>
  <si>
    <t>THPT Bình Minh (từ 29/01/2026)</t>
  </si>
  <si>
    <t>Số nhà 45, tổ 13, khóm 5  - Phường Bình Minh - Vĩnh Long</t>
  </si>
  <si>
    <t>Phường Bình Minh</t>
  </si>
  <si>
    <t xml:space="preserve">  3.00</t>
  </si>
  <si>
    <t>6.52</t>
  </si>
  <si>
    <t>471</t>
  </si>
  <si>
    <t>31894</t>
  </si>
  <si>
    <t>Ấp Thạnh Hưng 2 - Xã Châu Thới - Cà Mau</t>
  </si>
  <si>
    <t>Cà Mau</t>
  </si>
  <si>
    <t>Xã Châu Thới</t>
  </si>
  <si>
    <t>superphuc23@gmail.com</t>
  </si>
  <si>
    <t>28810</t>
  </si>
  <si>
    <t>Ấp 4 - Xã Phú Túc - Vĩnh Long</t>
  </si>
  <si>
    <t>Xã Phú Túc</t>
  </si>
  <si>
    <t xml:space="preserve">  3.25</t>
  </si>
  <si>
    <t>6.72</t>
  </si>
  <si>
    <t>shuzjpisthebest303@gmail.com</t>
  </si>
  <si>
    <t>26680</t>
  </si>
  <si>
    <t>Vũ Lê Quỳnh Anh, 12a9, 0937640023, trường THPT Võ Thị Sáu - Bà Rịa - Vũng Tàu, ấp Hiệp Hòa, xã Đất Đỏ, thành phố Hồ Chí Minh</t>
  </si>
  <si>
    <t>Tp. Hồ Chí Minh</t>
  </si>
  <si>
    <t>Xã Đất Đỏ</t>
  </si>
  <si>
    <t xml:space="preserve">  2.25</t>
  </si>
  <si>
    <t>978</t>
  </si>
  <si>
    <t>31825</t>
  </si>
  <si>
    <t>THPT Chuyên Bạc Liêu (từ 2026)</t>
  </si>
  <si>
    <t>49  - Phường Bạc Liêu - Cà Mau</t>
  </si>
  <si>
    <t>Phường Bạc Liêu</t>
  </si>
  <si>
    <t>11413</t>
  </si>
  <si>
    <t>Nguyễn Lan Phương-0705796418-Số nhà 40, ngõ 2, Bùi Viện, Hải An, Hải Phòng</t>
  </si>
  <si>
    <t>Hải Phòng</t>
  </si>
  <si>
    <t>Phường Hải An</t>
  </si>
  <si>
    <t>29557</t>
  </si>
  <si>
    <t>41L/3 - Phường Phước Hậu - Vĩnh Long</t>
  </si>
  <si>
    <t>Phường Phước Hậu</t>
  </si>
  <si>
    <t>7.01</t>
  </si>
  <si>
    <t>SỐ NHÀ 75/10A, Đường Trần Phú, Tổ 6, Khóm 6, Phường Phước Hậu - Vĩnh Long</t>
  </si>
  <si>
    <t>29719</t>
  </si>
  <si>
    <t>ấp mỹ phú 3 - Xã Tam Bình - Vĩnh Long</t>
  </si>
  <si>
    <t>Xã Tam Bình</t>
  </si>
  <si>
    <t xml:space="preserve">  5.08*</t>
  </si>
  <si>
    <t xml:space="preserve">  5.00*</t>
  </si>
  <si>
    <t>28036</t>
  </si>
  <si>
    <t>1/21 khu 1 ô3, Đường Phan Văn Tình, Xã Thủ Thừa, Tỉnh Tây Ninh - xã Thủ Thừa - Tây Ninh</t>
  </si>
  <si>
    <t>xã Thủ Thừa</t>
  </si>
  <si>
    <t xml:space="preserve">  4.60</t>
  </si>
  <si>
    <t>Đ</t>
  </si>
  <si>
    <t>Nguyễn Hùng Sang, 0947184772, 859/74 Mạc Cửu, phường Rạch Giá, tỉnh An Giang</t>
  </si>
  <si>
    <t xml:space="preserve">  3.75</t>
  </si>
  <si>
    <t>75006920</t>
  </si>
  <si>
    <t>26020</t>
  </si>
  <si>
    <t>161, Huỳnh Dân Sanh, tổ 19, kp 32 - Phường Long Bình - Đồng Nai</t>
  </si>
  <si>
    <t>TP. Đồng Nai</t>
  </si>
  <si>
    <t>Phường Long Bình</t>
  </si>
  <si>
    <t>anhth.vnpt@gmail.com</t>
  </si>
  <si>
    <t>62/27, Khóm 8, Phường Phước Hậu, Vĩnh Long</t>
  </si>
  <si>
    <t>29551</t>
  </si>
  <si>
    <t>29/22 - Hưng Đạo Vương - Phường Long Châu - Vĩnh Long</t>
  </si>
  <si>
    <t>Phường Long Châu</t>
  </si>
  <si>
    <t>29611</t>
  </si>
  <si>
    <t>Số Nhà 11, Tổ 1, Ấp Phước Lợi - Xã Phú Quới - Vĩnh Long</t>
  </si>
  <si>
    <t>Xã Phú Quới</t>
  </si>
  <si>
    <t xml:space="preserve">  8.75</t>
  </si>
  <si>
    <t>hohotai34@gmail.com</t>
  </si>
  <si>
    <t>28429</t>
  </si>
  <si>
    <t>Nguyễn Thị Bích Thuỷ , 12A1 , THPT Lê Thanh Hiền , ấp 1 , xã An Hữu , tỉnh Đồng Tháp</t>
  </si>
  <si>
    <t>Xã An Hữu</t>
  </si>
  <si>
    <t xml:space="preserve">  3.60</t>
  </si>
  <si>
    <t>31759</t>
  </si>
  <si>
    <t>Ấp Kiết Bình, Xã Lâm Tân - Cần Thơ</t>
  </si>
  <si>
    <t>Xã Lâm Tân</t>
  </si>
  <si>
    <t xml:space="preserve">  8.25</t>
  </si>
  <si>
    <t>Nguyễn Hoàng Kim - Ấp 1  - Xã Tam Bình - Vĩnh Long</t>
  </si>
  <si>
    <t xml:space="preserve">  7.25*</t>
  </si>
  <si>
    <t>30577</t>
  </si>
  <si>
    <t>Trương Hoàng Khánh Linh- 0813281882- Ấp Ninh Thuận - xã Ô Lâm - An Giang - Xã Ô Lâm - An Giang</t>
  </si>
  <si>
    <t>Xã Ô Lâm</t>
  </si>
  <si>
    <t>7.23</t>
  </si>
  <si>
    <t>08</t>
  </si>
  <si>
    <t>02509</t>
  </si>
  <si>
    <t>Vũ Yến Nhi-0367711616 Tổ Dân Phố Kim Phú 26 - Phường Mỹ Lâm - Tuyên Quang</t>
  </si>
  <si>
    <t>Tuyên Quang</t>
  </si>
  <si>
    <t>Phường Mỹ Lâm</t>
  </si>
  <si>
    <t>Số 13/8 Trần Văn Ơn Phường Long Châu - Vĩnh Long</t>
  </si>
  <si>
    <t>0986319937</t>
  </si>
  <si>
    <t>07900</t>
  </si>
  <si>
    <t>Số 17- Tổ 22C-Khu Hà Liễu - Phường Việt Trì - Phú Thọ</t>
  </si>
  <si>
    <t>Phú Thọ</t>
  </si>
  <si>
    <t>Phường Việt Trì</t>
  </si>
  <si>
    <t>7.9</t>
  </si>
  <si>
    <t>31288</t>
  </si>
  <si>
    <t>333, ấp Trường Trung - Xã Trường Thành - Cần Thơ</t>
  </si>
  <si>
    <t>Xã Trường Thành</t>
  </si>
  <si>
    <t xml:space="preserve">  5.60</t>
  </si>
  <si>
    <t>26782</t>
  </si>
  <si>
    <t>Phường Tân Thới Hiệp - Tp. Hồ Chí Minh</t>
  </si>
  <si>
    <t>Phường Tân Thới Hiệp</t>
  </si>
  <si>
    <t>6.57</t>
  </si>
  <si>
    <t>Trannhattuyen3@gmail.com</t>
  </si>
  <si>
    <t>20137</t>
  </si>
  <si>
    <t>Thuỷ Cam,Xã Chân Mây-Lăng Cô,Thành phố Huế</t>
  </si>
  <si>
    <t>Thành phố Huế</t>
  </si>
  <si>
    <t>Xã Chân Mây - Lăng Cô</t>
  </si>
  <si>
    <t>29137</t>
  </si>
  <si>
    <t>Nguyễn Thị Kim Thư, 0397288421, 056/Tt3, Ấp Tân Thanh 3, Xã Tân Xuân, Vĩnh Long</t>
  </si>
  <si>
    <t>Xã Tân Xuân</t>
  </si>
  <si>
    <t>25552</t>
  </si>
  <si>
    <t>Trần Tấn Lộc, 0764469952, tổ 3, ấp 1 - xã Dương Minh Châu - Tây Ninh</t>
  </si>
  <si>
    <t>xã Dương Minh Châu</t>
  </si>
  <si>
    <t>5.84</t>
  </si>
  <si>
    <t>82030065</t>
  </si>
  <si>
    <t>0367736506</t>
  </si>
  <si>
    <t>giahuybeboiz@gmail.com</t>
  </si>
  <si>
    <t>28273</t>
  </si>
  <si>
    <t>176i, Lê Văn Nghề, khu phố Mỹ Thạnh, phường Mỹ Phong, tỉnh Đồng Tháp</t>
  </si>
  <si>
    <t>Phường Mỹ Phong</t>
  </si>
  <si>
    <t>28436</t>
  </si>
  <si>
    <t>Khu Phố Thanh Hưng - Phường Thanh Hòa - Đồng Tháp</t>
  </si>
  <si>
    <t>Phường Thanh Hòa</t>
  </si>
  <si>
    <t>0794702236</t>
  </si>
  <si>
    <t>Phuckhanh2110@gmail.com</t>
  </si>
  <si>
    <t>29812</t>
  </si>
  <si>
    <t>Số nhà 149, Tổ 5, Khóm Đông Hưng 1, Phường Đông Thành, Tỉnh Vĩnh Long</t>
  </si>
  <si>
    <t>Phường Đông Thành</t>
  </si>
  <si>
    <t xml:space="preserve">  5.85</t>
  </si>
  <si>
    <t>6.94</t>
  </si>
  <si>
    <t>THPT Bạc Liêu (từ 2026)</t>
  </si>
  <si>
    <t>03, Khu tập thể Công nghiệp, Khóm Trà Kha - Phường Bạc Liêu - Cà Mau</t>
  </si>
  <si>
    <t xml:space="preserve">  6.10</t>
  </si>
  <si>
    <t>7.1</t>
  </si>
  <si>
    <t>894</t>
  </si>
  <si>
    <t>18484</t>
  </si>
  <si>
    <t>xóm Đô Hành  - Xã Đồng Lộc - Hà Tĩnh</t>
  </si>
  <si>
    <t>Hà Tĩnh</t>
  </si>
  <si>
    <t>Xã Đồng Lộc</t>
  </si>
  <si>
    <t>Ấp Thanh Bình 1 - Xã Tân Thành Bình - Vĩnh Long</t>
  </si>
  <si>
    <t xml:space="preserve">  4.35</t>
  </si>
  <si>
    <t>28783</t>
  </si>
  <si>
    <t>146, KP Phước Hựu - Phường Sơn Đông - Vĩnh Long</t>
  </si>
  <si>
    <t>Phường Sơn Đông</t>
  </si>
  <si>
    <t>6.81</t>
  </si>
  <si>
    <t>16093</t>
  </si>
  <si>
    <t>101A Lưu Chí Hiếu,Phường Rạch Dừa,Thành phố Hồ Chí Minh</t>
  </si>
  <si>
    <t>Thanh Hoá</t>
  </si>
  <si>
    <t>Xã Nga Sơn</t>
  </si>
  <si>
    <t>6.48</t>
  </si>
  <si>
    <t>959</t>
  </si>
  <si>
    <t>30673</t>
  </si>
  <si>
    <t>Nguyễn Thị Xuân Nhi số điện thoại 0703617258, ấp An Phú, xã Hội An, Tỉnh An Giang</t>
  </si>
  <si>
    <t>Xã Hội An</t>
  </si>
  <si>
    <t xml:space="preserve">  5.10</t>
  </si>
  <si>
    <t>31120</t>
  </si>
  <si>
    <t>147/1/3A Đường Cách Mạng Tháng 8 - Phường Cái Khế - Cần Thơ</t>
  </si>
  <si>
    <t>Phường Cái Khế</t>
  </si>
  <si>
    <t xml:space="preserve">  2.75</t>
  </si>
  <si>
    <t>24883</t>
  </si>
  <si>
    <t>NGUYỄN DUY MINH PHƯƠNG, 0337891696, Thôn Nam Hà, Xã Nam Hà Lâm Hà- Lâm Đồng</t>
  </si>
  <si>
    <t>Xã Nam Hà Lâm Hà</t>
  </si>
  <si>
    <t>Số nhà 446/63/12, Tổ 06, Khóm Đông Thuận, Phường Đông Thành, Tỉnh Vĩnh Long</t>
  </si>
  <si>
    <t>7.2</t>
  </si>
  <si>
    <t>26773</t>
  </si>
  <si>
    <t>2 Thới An 10 phường Thới An TP.Hồ Chí Minh</t>
  </si>
  <si>
    <t>Phường Thới An</t>
  </si>
  <si>
    <t>24568</t>
  </si>
  <si>
    <t>Xã Dur Kmăl - Đắk Lắk</t>
  </si>
  <si>
    <t>Đắk Lắk</t>
  </si>
  <si>
    <t>Xã Dur Kmăl</t>
  </si>
  <si>
    <t xml:space="preserve">  4.00*</t>
  </si>
  <si>
    <t>29602</t>
  </si>
  <si>
    <t>Số nhà 273a Tổ 22-Ấp Long Thới - Xã Long Hồ - Vĩnh Long</t>
  </si>
  <si>
    <t>Xã Long Hồ</t>
  </si>
  <si>
    <t xml:space="preserve">  9.00</t>
  </si>
  <si>
    <t>Không tìm thấy thí sinh</t>
  </si>
  <si>
    <t>28201</t>
  </si>
  <si>
    <t>Lê Bùi Gia Hân, 0819523730, Số 283 ấp Long An 4 xã, Phước Vĩnh Tây, tỉnh Tây Ninh</t>
  </si>
  <si>
    <t>xã Phước Vĩnh Tây</t>
  </si>
  <si>
    <t>phamngocdung0918@gmail.com</t>
  </si>
  <si>
    <t>Phạm Ngọc Dung, 0932466792, ấp Long An 4, xã Phước Vĩnh Tây, tỉnh Tây Ninh</t>
  </si>
  <si>
    <t>Nguyễn Vân Anh, 0773138215, 273a/22, ấp Phú Long A, xã Phú Quới, tỉnh Vĩnh Long</t>
  </si>
  <si>
    <t>28981</t>
  </si>
  <si>
    <t>NGUYỄN DUY THANH - SĐT 0962287654 - Số nhà 34 - Ấp Bình Tây 2 - Xã Hương Mỹ - Vĩnh Long</t>
  </si>
  <si>
    <t>Xã Hương Mỹ</t>
  </si>
  <si>
    <t>Bùi Kim Triển, lớp 12A4, 0792392660, trường THPT Võ Thị Sáu - Bà Rịa - Vũng Tàu, ấp Hiệp Hoà, xã Đất Đỏ, thành phố Hồ Chí Minh</t>
  </si>
  <si>
    <t>8.2</t>
  </si>
  <si>
    <t>185/32 Đường HT35 Khu Phố 25, Phường Tân Thới Hiệp, Thành Phố Hồ Chí Minh</t>
  </si>
  <si>
    <t>32134</t>
  </si>
  <si>
    <t>G</t>
  </si>
  <si>
    <t>THPT Phú Hưng (2025 trở về trước)</t>
  </si>
  <si>
    <t>ấp Cái Rắn A, xã Lương Thế Trân, tỉnh Cà Mau - Xã Lương Thế Trân - Cà Mau</t>
  </si>
  <si>
    <t>Xã Lương Thế Trân</t>
  </si>
  <si>
    <t>Lê Ngọc Hân - Lớp 12/1- ĐT 0325243150- Trường THPT Lê Anh Xuân, ấp Chợ Xếp, xã Tân Thành Bình, tỉnh Vĩnh Long</t>
  </si>
  <si>
    <t xml:space="preserve">  6.35</t>
  </si>
  <si>
    <t>0971973770</t>
  </si>
  <si>
    <t>rosykhanh12380@gmail.com</t>
  </si>
  <si>
    <t>27004</t>
  </si>
  <si>
    <t>Nguyễn Mai Khanh,0971973770,31/47 Hoàng Hoa Thám phường Tân Bình TPHCM</t>
  </si>
  <si>
    <t>Phường Tân Bình</t>
  </si>
  <si>
    <t>6.55</t>
  </si>
  <si>
    <t>82013305</t>
  </si>
  <si>
    <t>pn089245@gmail.com</t>
  </si>
  <si>
    <t>30169</t>
  </si>
  <si>
    <t>0793198144</t>
  </si>
  <si>
    <t>Xã Lấp Vò</t>
  </si>
  <si>
    <t>29821</t>
  </si>
  <si>
    <t>NGÔ THỊ ANH THƯ, 0369562288, Tổ 13 - Khóm Mỹ Lợi - Xã Trà Ôn - Vĩnh Long</t>
  </si>
  <si>
    <t>Xã Trà Ôn</t>
  </si>
  <si>
    <t>6.44</t>
  </si>
  <si>
    <t>32182</t>
  </si>
  <si>
    <t>Ấp Lung Trường, xã Quách Phẩm,huyện Đầm Dơi, tỉnh Cà Mau</t>
  </si>
  <si>
    <t>Xã Quách Phẩm</t>
  </si>
  <si>
    <t>ĐỖ NGUYỄN THÚY AN</t>
  </si>
  <si>
    <t>28405</t>
  </si>
  <si>
    <t>Đỗ Nguyễn Thuý An,lớp 12A4,ĐT 0334405882,Trường THPT Huỳnh Văn Sâm,Cái Bè,Đồng Tháp</t>
  </si>
  <si>
    <t>Xã Mỹ Đức Tây</t>
  </si>
  <si>
    <t xml:space="preserve">  1.75</t>
  </si>
  <si>
    <t>6.54</t>
  </si>
  <si>
    <t>29641</t>
  </si>
  <si>
    <t>Nguyễn Nam Anh, 0766963034- Ấp Chợ, xã Cái Nhum, tỉnh Vĩnh Long</t>
  </si>
  <si>
    <t>Xã Cái Nhum</t>
  </si>
  <si>
    <t>31153</t>
  </si>
  <si>
    <t>HUỲNH BẢO TRÂN, 0907819646, Ấp Thới Hoà C1, Phường Ô Môn - Cần Thơ</t>
  </si>
  <si>
    <t>Phường Ô Môn</t>
  </si>
  <si>
    <t>6.68</t>
  </si>
  <si>
    <t>29593</t>
  </si>
  <si>
    <t>Phường Tân Hạnh - Vĩnh Long</t>
  </si>
  <si>
    <t>Phường Tân Hạnh</t>
  </si>
  <si>
    <t>111A,Phạm Thái Bường - Phường Phước Hậu - Vĩnh Long</t>
  </si>
  <si>
    <t>7.5</t>
  </si>
  <si>
    <t>29869</t>
  </si>
  <si>
    <t>Huỳnh Lê Hồng Ngân 0792518575 518 Trần Hưng Đạo tổ 36, khóm 4, phường Cao Lãnh tỉnh Đồng THáp</t>
  </si>
  <si>
    <t>Phường Cao Lãnh</t>
  </si>
  <si>
    <t>25681</t>
  </si>
  <si>
    <t>Nguyễn Thành Danh Lợi, 0364456488, lớp 12A2, trường THPT Nguyễn Huệ, số 49 Đặng Văn Son, ấp Thuận Bắc, xã Bến Cầu, tỉnh Tây Ninh.</t>
  </si>
  <si>
    <t>xã Bến Cầu</t>
  </si>
  <si>
    <t>6.71</t>
  </si>
  <si>
    <t>30949</t>
  </si>
  <si>
    <t>Huỳnh Ngân Giao, 0376435793, Số nhà 255, Ấp Hoà An B, xã Hoà Thuận, tỉnh An Giang</t>
  </si>
  <si>
    <t>Xã Hòa Thuận</t>
  </si>
  <si>
    <t xml:space="preserve">  6.45</t>
  </si>
  <si>
    <t>nguyetnqmfct30561@gmail.com</t>
  </si>
  <si>
    <t>Số 50B, Đường Trưng Nữ Vương - Phường Long Châu - Vĩnh Long</t>
  </si>
  <si>
    <t>6.76</t>
  </si>
  <si>
    <t>29638</t>
  </si>
  <si>
    <t>0792573639 Nguyễn Thành Tâm ấp thiềng long 2 - Xã Bình Phước - Vĩnh Long</t>
  </si>
  <si>
    <t>Xã Bình Phước</t>
  </si>
  <si>
    <t xml:space="preserve">  4.10</t>
  </si>
  <si>
    <t>41/36 Trưng Nữ Vương - Phường Long Châu - Vĩnh Long</t>
  </si>
  <si>
    <t>30244</t>
  </si>
  <si>
    <t>Phạm Thụy Trâm Anh, 0797280837, số nhà 625, tổ 13, ấp An Thạnh 2 - Xã Phú Hựu - Đồng Tháp</t>
  </si>
  <si>
    <t>Xã Phú Hựu</t>
  </si>
  <si>
    <t xml:space="preserve">  3.85</t>
  </si>
  <si>
    <t>28723</t>
  </si>
  <si>
    <t>Lê Thị Kiều Oanh, lớp 12/14, trường THPT Gò Công Đông, xã Tân Đông , tỉnh Đồng Tháp</t>
  </si>
  <si>
    <t>Xã Tân Đông</t>
  </si>
  <si>
    <t>29590</t>
  </si>
  <si>
    <t>nhà số 27, đường số 12, khu nhà ở Hoàng Hảo, Thanh Sơn - Phường Thanh Đức - Vĩnh Long</t>
  </si>
  <si>
    <t>Phường Thanh Đức</t>
  </si>
  <si>
    <t>tổ 13, ấp Tân Phú, xã Phú Hựu, tỉnh Đồng Tháp</t>
  </si>
  <si>
    <t>30307</t>
  </si>
  <si>
    <t>22/8z Đường Thánh Thiên, Phường Mỹ Quý, Thành Phố Long Xuyên, An Giang</t>
  </si>
  <si>
    <t>Phường Long Xuyên</t>
  </si>
  <si>
    <t>28378</t>
  </si>
  <si>
    <t>Nguyễn Phú Hào, Lớp 12A2, Trường THPT Phạm Thành Trung, Ấp 2, Xã Thanh Hưng, Tỉnh Đồng Tháp</t>
  </si>
  <si>
    <t>Xã Mỹ Thiện</t>
  </si>
  <si>
    <t>30685</t>
  </si>
  <si>
    <t>311/19 ấp Đông An xã Phú Hoà tỉnh An Giang</t>
  </si>
  <si>
    <t>Xã Phú Hòa</t>
  </si>
  <si>
    <t>25459</t>
  </si>
  <si>
    <t>Nguyễn Lê Ngọc Hân, Lớp 12C9, Trường THPT Lê Quý Đôn-Tân Ninh, số 412, đường Lạc Long Quân, khu phố 11, phường Tân Ninh, tỉnh Tây Ninh</t>
  </si>
  <si>
    <t>phường Tân Ninh</t>
  </si>
  <si>
    <t>96017494</t>
  </si>
  <si>
    <t>31972</t>
  </si>
  <si>
    <t>Ấp 2 , Xã Gành Hào - Cà Mau</t>
  </si>
  <si>
    <t>Xã Gành Hào</t>
  </si>
  <si>
    <t>7.04</t>
  </si>
  <si>
    <t>nguyenlehoangduy87@gmail.com</t>
  </si>
  <si>
    <t>31228</t>
  </si>
  <si>
    <t>trường THPT Nguyễn Văn Thoại-Nguyễn Lê Hoàng Duy-12a3-0344197951</t>
  </si>
  <si>
    <t>Phường Thuận Hưng</t>
  </si>
  <si>
    <t>28285</t>
  </si>
  <si>
    <t>198c tổ 10 khu phố 10 - Phường Trung An - Đồng Tháp</t>
  </si>
  <si>
    <t>Phường Trung An</t>
  </si>
  <si>
    <t>7.35</t>
  </si>
  <si>
    <t>14362</t>
  </si>
  <si>
    <t>Phạm Gia Linh, 0903017782, số nhà 464, đường Quang Trung, phường Tam Điệp, tỉnh Ninh Binh</t>
  </si>
  <si>
    <t>Ninh Bình</t>
  </si>
  <si>
    <t>Phường Tam Điệp</t>
  </si>
  <si>
    <t>N4</t>
  </si>
  <si>
    <t>30835</t>
  </si>
  <si>
    <t>Trần Đông Phú, 0949360904, 283 Tổ 2 - Ấp Giàn Gừa - Xã Sơn Kiên - An Giang</t>
  </si>
  <si>
    <t>Xã Sơn Kiên</t>
  </si>
  <si>
    <t xml:space="preserve">  7.10</t>
  </si>
  <si>
    <t>30208</t>
  </si>
  <si>
    <t>107A, ấp 2 - Xã Hòa Long - Đồng Tháp</t>
  </si>
  <si>
    <t>Xã Hòa Long</t>
  </si>
  <si>
    <t>25771</t>
  </si>
  <si>
    <t>408 , ĐX065 , Thủ Dầu Một - Phường Bình Dương - Tp. Hồ Chí Minh</t>
  </si>
  <si>
    <t>Phường Chánh Hiệp</t>
  </si>
  <si>
    <t>6.45</t>
  </si>
  <si>
    <t>533</t>
  </si>
  <si>
    <t>26503</t>
  </si>
  <si>
    <t>Tổ 6, Ấp 5 - Xã Phước An - Đồng Nai</t>
  </si>
  <si>
    <t>Xã Phước An</t>
  </si>
  <si>
    <t xml:space="preserve">  3.95</t>
  </si>
  <si>
    <t>onphuong2008@gmail.com</t>
  </si>
  <si>
    <t>59/3A, khóm 4, Thoại Ngọc Hầu, Mỹ Long</t>
  </si>
  <si>
    <t>31753</t>
  </si>
  <si>
    <t>Nguyễn Quốc Minh,Khu Vực Vĩnh Sử - Phường Mỹ Quới - Cần Thơ</t>
  </si>
  <si>
    <t>Phường Mỹ Quới</t>
  </si>
  <si>
    <t xml:space="preserve">  2.85</t>
  </si>
  <si>
    <t>6.66</t>
  </si>
  <si>
    <t>24916</t>
  </si>
  <si>
    <t>NGUYỄN HOÀNG ANH - ĐT 0352837789 - Xóm Chùa, thôn Tân Trung - Xã Tân Hà Lâm Hà - Lâm Đồng</t>
  </si>
  <si>
    <t>Xã Tân Hà Lâm Hà</t>
  </si>
  <si>
    <t>30544</t>
  </si>
  <si>
    <t>Phạm Lê Cẩm Ngọc,0981124901,Tổ 15 Ấp 2,Xã Tri Tôn Tỉnh An Giang</t>
  </si>
  <si>
    <t>Xã Tri Tôn</t>
  </si>
  <si>
    <t>22945</t>
  </si>
  <si>
    <t>02, CHU VĂN AN, TỔ 2, Tổ dân phố 14 - Phường Phan Thiết - Lâm Đồng</t>
  </si>
  <si>
    <t>Phường Phan Thiết</t>
  </si>
  <si>
    <t>6.22</t>
  </si>
  <si>
    <t>24559</t>
  </si>
  <si>
    <t>Thôn Quỳnh Ngọc - Xã Ea Na - Đắk Lắk</t>
  </si>
  <si>
    <t>Xã Ea Na</t>
  </si>
  <si>
    <t>26188</t>
  </si>
  <si>
    <t>Tổ 5, khu phố Tân Phú, phường Tân Triều, tỉnh Đồng Nai - Phường Tân Triều - Đồng Nai</t>
  </si>
  <si>
    <t>Phường Tân Triều</t>
  </si>
  <si>
    <t>22873</t>
  </si>
  <si>
    <t>97/3G, đường Phạm Thị Giây, ấp 65, xã Đông Thạnh, TP. Hồ Chí Minh</t>
  </si>
  <si>
    <t>Khánh Hoà</t>
  </si>
  <si>
    <t>Xã Phước Hậu</t>
  </si>
  <si>
    <t>12103</t>
  </si>
  <si>
    <t>Tdp Phúc Xá - Phường Mỹ Hào - Hưng Yên</t>
  </si>
  <si>
    <t>Hưng Yên</t>
  </si>
  <si>
    <t>Phường Mỹ Hào</t>
  </si>
  <si>
    <t>29461</t>
  </si>
  <si>
    <t>Tổ 8, ấp Thanh Thủy, phường An Lộc - Đồng Nai</t>
  </si>
  <si>
    <t>Xã Trà Cú</t>
  </si>
  <si>
    <t>82001874</t>
  </si>
  <si>
    <t>29955</t>
  </si>
  <si>
    <t>Khóm 3, Đường Ngô Quyền, Phường Hồng Ngự - Đồng Tháp</t>
  </si>
  <si>
    <t>Phường Hồng Ngự</t>
  </si>
  <si>
    <t xml:space="preserve">  1.80</t>
  </si>
  <si>
    <t>6.02</t>
  </si>
  <si>
    <t>206</t>
  </si>
  <si>
    <t>24169</t>
  </si>
  <si>
    <t>Tổ Dân Phố 3, Phường Ea Kao, Tỉnh Đắk Lắk</t>
  </si>
  <si>
    <t>Phường Ea Kao</t>
  </si>
  <si>
    <t>0869124438</t>
  </si>
  <si>
    <t>146/4B Đường Thoại Ngọc Hầu khóm 5, phường Long Xuyên, tỉnh An Giang</t>
  </si>
  <si>
    <t>30688</t>
  </si>
  <si>
    <t>Trường THPT Nguyễn Văn Thoại, nguyễn thị mỹ hạnh, 12a3, 0333709867</t>
  </si>
  <si>
    <t>Xã Óc Eo</t>
  </si>
  <si>
    <t>32128</t>
  </si>
  <si>
    <t>THPT Cái Nước (từ 2026)</t>
  </si>
  <si>
    <t>Ấp 2  - Xã Cái Nước - Cà Mau</t>
  </si>
  <si>
    <t>Xã Cái Nước</t>
  </si>
  <si>
    <t>8.3</t>
  </si>
  <si>
    <t>28321</t>
  </si>
  <si>
    <t>Lê Thái Ngọc, lớp 12A4, trường THPT Tân Phước, ấp 3, xã Tân Phước 1, tỉnh Đồng Tháp</t>
  </si>
  <si>
    <t>Xã Tân Phước 1</t>
  </si>
  <si>
    <t>31465</t>
  </si>
  <si>
    <t>Ấp 2 - Xã Vị Thanh 1 - Cần Thơ</t>
  </si>
  <si>
    <t>Xã Vị Thanh 1</t>
  </si>
  <si>
    <t>23128</t>
  </si>
  <si>
    <t>Bùi Vũ Ngọc Quyên, 0395657508, thôn Dân Phú, xã Hàm Kiệm, tỉnh Lâm Đồng</t>
  </si>
  <si>
    <t>Xã Hàm Kiệm</t>
  </si>
  <si>
    <t>26206</t>
  </si>
  <si>
    <t>THPT Tân Phú</t>
  </si>
  <si>
    <t>Tổ 13, Ấp Hiệp Đồng  - Xã Định Quán - Đồng Nai</t>
  </si>
  <si>
    <t>Xã Định Quán</t>
  </si>
  <si>
    <t>6.27</t>
  </si>
  <si>
    <t>80026012</t>
  </si>
  <si>
    <t>0924718725</t>
  </si>
  <si>
    <t>30817</t>
  </si>
  <si>
    <t>Nguyễn Văn Tiền- sđt 0962978932-trường THPT Bình Thạnh, ấp Bình Hoà, xã Phước Chỉ, Tây Ninh</t>
  </si>
  <si>
    <t>Xã Hòn Đất</t>
  </si>
  <si>
    <t>48029767</t>
  </si>
  <si>
    <t>20848</t>
  </si>
  <si>
    <t>Tổ 7 thôn an thành 1</t>
  </si>
  <si>
    <t>Đà Nẵng</t>
  </si>
  <si>
    <t>Xã Thăng Điền</t>
  </si>
  <si>
    <t>7.05</t>
  </si>
  <si>
    <t>SỐ NHÀ 329, TỔ 23, ẤP LONG HÒA - Xã Phú Quới - Vĩnh Long</t>
  </si>
  <si>
    <t>28957</t>
  </si>
  <si>
    <t>Nguyễn Anh Pha , 0929669708,ấp Tân Quới Tây B , xã An Đinh ,tỉnh Vĩnh Long - Xã An Định - Vĩnh Long</t>
  </si>
  <si>
    <t>Xã An Định</t>
  </si>
  <si>
    <t xml:space="preserve">  4.75*</t>
  </si>
  <si>
    <t>PHAN THỊ THÙY TRANG</t>
  </si>
  <si>
    <t>25405</t>
  </si>
  <si>
    <t>Phan Thị Thùy Trang 0983498407 - Thôn Bom Bo - Xã Bom Bo - Đồng Nai</t>
  </si>
  <si>
    <t>Xã Bom Bo</t>
  </si>
  <si>
    <t>96015994</t>
  </si>
  <si>
    <t>31951</t>
  </si>
  <si>
    <t>khóm 12, Phường Láng Tròn - Cà Mau</t>
  </si>
  <si>
    <t>Phường Láng Tròn</t>
  </si>
  <si>
    <t xml:space="preserve">  5.70</t>
  </si>
  <si>
    <t>92011693</t>
  </si>
  <si>
    <t>32188</t>
  </si>
  <si>
    <t>Ấp Hồng Phước  - Xã Tân Tiến - Cà Mau</t>
  </si>
  <si>
    <t>Xã Tân Tiến</t>
  </si>
  <si>
    <t>0355220748</t>
  </si>
  <si>
    <t>25657</t>
  </si>
  <si>
    <t>Phạm Phúc Hiển, Lớp 12A5, Trường THPT Ngô Gia Tự, Ấp Bến Mương, Xã Thạnh Đức, Tỉnh Tây Ninh</t>
  </si>
  <si>
    <t>xã Thạnh Đức</t>
  </si>
  <si>
    <t>24640</t>
  </si>
  <si>
    <t>203 Nguyễn Tất Thành - Xã Cư Jút - Lâm Đồng</t>
  </si>
  <si>
    <t>Xã Cư Jút</t>
  </si>
  <si>
    <t xml:space="preserve">  5.85*</t>
  </si>
  <si>
    <t>7.31</t>
  </si>
  <si>
    <t>0767940070</t>
  </si>
  <si>
    <t>16 - Ấp So Đũa Lớn- Xã Thạnh Xuân - Cần Thơ</t>
  </si>
  <si>
    <t>6.06</t>
  </si>
  <si>
    <t>25210</t>
  </si>
  <si>
    <t>tổ 2 khu phố thanh bình phường đồng xoài</t>
  </si>
  <si>
    <t>Phường Đồng Xoài</t>
  </si>
  <si>
    <t>6.82</t>
  </si>
  <si>
    <t>Số nhà 26/17, Khóm 7 - Phường Phước Hậu - Vĩnh Long</t>
  </si>
  <si>
    <t>30880</t>
  </si>
  <si>
    <t>Trường THPT Nguyễn Hùng Sơn (trước 29/01/2026)</t>
  </si>
  <si>
    <t>Nguyễn Quỳnh Giao _ 0989477943_ ấp Tân Phước  - Xã Châu Thành - An Giang</t>
  </si>
  <si>
    <t>Xã Châu Thành</t>
  </si>
  <si>
    <t>buinguyenbichngocbt@gmail.com</t>
  </si>
  <si>
    <t>28858</t>
  </si>
  <si>
    <t>Bùi Nguyễn Bích Ngọc - 0842228708 - 285a, Khu Phố 3 - Phường Phú Tân - Vĩnh Long</t>
  </si>
  <si>
    <t>Phường Phú Tân</t>
  </si>
  <si>
    <t xml:space="preserve">  9.25</t>
  </si>
  <si>
    <t>30214</t>
  </si>
  <si>
    <t>437, đường Nguyễn Sinh Sắc,ấp Phú Long,xã Tân Dương,tỉnh Đông Tháp</t>
  </si>
  <si>
    <t>Xã Tân Dương</t>
  </si>
  <si>
    <t>6.9</t>
  </si>
  <si>
    <t>80021796</t>
  </si>
  <si>
    <t>25522</t>
  </si>
  <si>
    <t>Nguyễn Tuấn Vũ, 0862896961, số nhà 341, đường 359, tổ 4, Ấp Đông Lợi, xã Tân Đông, tỉnh Tây Ninh</t>
  </si>
  <si>
    <t>xã Tân Đông</t>
  </si>
  <si>
    <t>24340</t>
  </si>
  <si>
    <t>TDP 8, Phường Cư Bao - Đắk Lắk</t>
  </si>
  <si>
    <t>Phường Cư Bao</t>
  </si>
  <si>
    <t>nguyengiaanhhieu2008@icloud.com</t>
  </si>
  <si>
    <t>17713</t>
  </si>
  <si>
    <t>Thôn Tường Đình - Xã Đại Đồng - Nghệ An</t>
  </si>
  <si>
    <t>Nghệ An</t>
  </si>
  <si>
    <t>Xã Đại Đồng</t>
  </si>
  <si>
    <t>28366</t>
  </si>
  <si>
    <t>Lớp 12A1, Trường THPT Thiên Hộ Dương, ấp Hậu Phú 1, xã Hậu Mỹ, tỉnh Đồng Tháp</t>
  </si>
  <si>
    <t>Xã Hậu Mỹ</t>
  </si>
  <si>
    <t xml:space="preserve">  7.60</t>
  </si>
  <si>
    <t>31369</t>
  </si>
  <si>
    <t>Trường THPT Cái Tắc</t>
  </si>
  <si>
    <t>Xã Đông Phước - Cần Thơ</t>
  </si>
  <si>
    <t>Xã Đông Phước</t>
  </si>
  <si>
    <t>27349</t>
  </si>
  <si>
    <t>217/28 - Bà Hom - Phường Phú Lâm - Tp. Hồ Chí Minh</t>
  </si>
  <si>
    <t>Phường Phú Lâm</t>
  </si>
  <si>
    <t>96004679</t>
  </si>
  <si>
    <t>32025</t>
  </si>
  <si>
    <t>Khóm 14 - Phường Tân Thành - Cà Mau</t>
  </si>
  <si>
    <t>Phường Tân Thành</t>
  </si>
  <si>
    <t xml:space="preserve">  4.45</t>
  </si>
  <si>
    <t>19249</t>
  </si>
  <si>
    <t>Thôn Tuy Lộc - Xã Lệ Thủy - Quảng Trị</t>
  </si>
  <si>
    <t>Quảng Trị</t>
  </si>
  <si>
    <t>Xã Lệ Thủy</t>
  </si>
  <si>
    <t>24406</t>
  </si>
  <si>
    <t>thôn 21, Xã Cư Yang - Đắk Lắk</t>
  </si>
  <si>
    <t>Sán Chay</t>
  </si>
  <si>
    <t>Xã Cư Yang</t>
  </si>
  <si>
    <t>27286</t>
  </si>
  <si>
    <t>Nguyễn Võ Đăng Khoa , 0899055019, Số nhà 230, ấp Khánh Mỹ A, Xã Tân Khánh Trung, Đồng Tháp</t>
  </si>
  <si>
    <t>Phường Vĩnh Hội</t>
  </si>
  <si>
    <t xml:space="preserve">  8.25*</t>
  </si>
  <si>
    <t>31012</t>
  </si>
  <si>
    <t>Trần Thị Cẩm Phụng, 0823323428, ấp Đặng Văn Do, xã Vĩnh Hoà, tỉnh An Giang</t>
  </si>
  <si>
    <t>Xã Vĩnh Hòa</t>
  </si>
  <si>
    <t>Nguyễn Hữu Trọng, 0981728059, tổ 3, ấp Giàn Gừa, Xã Sơn Kiên - An Giang</t>
  </si>
  <si>
    <t>6.7</t>
  </si>
  <si>
    <t>79039240</t>
  </si>
  <si>
    <t>27418</t>
  </si>
  <si>
    <t>47/3 Đường Nguyễn Đức Ngữ Phường 4 Quận 8 - Phường Chánh Hưng - Tp. Hồ Chí Minh</t>
  </si>
  <si>
    <t>Phường Chánh Hưng</t>
  </si>
  <si>
    <t>28915</t>
  </si>
  <si>
    <t>Ấp Tân Lợi - Xã Phước Mỹ Trung - Vĩnh Long</t>
  </si>
  <si>
    <t>Xã Phước Mỹ Trung</t>
  </si>
  <si>
    <t>-Ghi chú: + Các cột ghi dấu (*) là các trường dữ liệu bắt buộc nhập
              + Nhập dân tộc theo mã (thầy/cô xem danh sách bên sheet "Dân tộc")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</si>
</sst>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1"/>
      <name val="Calibri"/>
      <family val="2"/>
    </font>
    <font>
      <sz val="12"/>
      <color theme="1"/>
      <name val="Times New Roman"/>
      <family val="1"/>
    </font>
    <font>
      <sz val="13"/>
      <color theme="1"/>
      <name val="Times New Roman"/>
      <family val="1"/>
    </font>
    <font>
      <sz val="11"/>
      <color theme="1"/>
      <name val="Times New Roman"/>
      <family val="1"/>
    </font>
    <font>
      <sz val="11"/>
      <color rgb="FF000000"/>
      <name val="Times New Roman"/>
      <family val="1"/>
    </font>
    <font>
      <sz val="14"/>
      <color theme="1"/>
      <name val="Times New Roman"/>
      <family val="1"/>
    </font>
    <font>
      <sz val="15"/>
      <color theme="1"/>
      <name val="Times New Roman"/>
      <family val="1"/>
    </font>
    <font>
      <sz val="12"/>
      <color rgb="FF000000"/>
      <name val="Times New Roman"/>
      <family val="1"/>
    </font>
    <font>
      <sz val="12"/>
      <color rgb="FFFF0000"/>
      <name val="Times New Roman"/>
      <family val="1"/>
    </font>
    <font>
      <sz val="11"/>
      <color rgb="FFFF0000"/>
      <name val="Calibri"/>
      <family val="2"/>
      <scheme val="minor"/>
    </font>
    <font>
      <sz val="12"/>
      <name val="Times New Roman"/>
      <family val="1"/>
    </font>
    <font>
      <sz val="11"/>
      <name val="Calibri"/>
      <family val="2"/>
      <scheme val="minor"/>
    </font>
    <font>
      <sz val="11"/>
      <color indexed="8"/>
      <name val="Calibri"/>
      <family val="2"/>
    </font>
    <font>
      <b/>
      <sz val="11"/>
      <name val="Times New Roman"/>
      <family val="1"/>
    </font>
    <font>
      <b/>
      <sz val="11"/>
      <color indexed="10"/>
      <name val="Times New Roman"/>
      <family val="1"/>
    </font>
    <font>
      <b/>
      <sz val="11"/>
      <color indexed="8"/>
      <name val="Times New Roman"/>
      <family val="1"/>
    </font>
    <font>
      <sz val="11"/>
      <color indexed="8"/>
      <name val="Times New Roman"/>
      <family val="1"/>
    </font>
    <font>
      <sz val="11"/>
      <color indexed="10"/>
      <name val="Times New Roman"/>
      <family val="1"/>
    </font>
    <font>
      <sz val="9"/>
      <color indexed="81"/>
      <name val="Tahoma"/>
      <family val="2"/>
    </font>
    <font>
      <b/>
      <sz val="8"/>
      <color indexed="81"/>
      <name val="Tahoma"/>
      <family val="2"/>
      <charset val="163"/>
    </font>
    <font>
      <sz val="8"/>
      <color indexed="81"/>
      <name val="Tahoma"/>
      <family val="2"/>
      <charset val="163"/>
    </font>
    <font>
      <b/>
      <sz val="9"/>
      <color indexed="81"/>
      <name val="Tahoma"/>
      <family val="2"/>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bgColor rgb="FFFFF2CC"/>
      </patternFill>
    </fill>
    <fill>
      <patternFill patternType="solid">
        <fgColor theme="0"/>
        <bgColor rgb="FFF8F9FA"/>
      </patternFill>
    </fill>
    <fill>
      <patternFill patternType="solid">
        <fgColor theme="0"/>
        <bgColor rgb="FFFFFFFF"/>
      </patternFill>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1" fillId="0" borderId="0"/>
    <xf numFmtId="0" fontId="14" fillId="0" borderId="0" applyNumberFormat="0" applyFont="0" applyFill="0" applyBorder="0" applyAlignment="0" applyProtection="0"/>
  </cellStyleXfs>
  <cellXfs count="63">
    <xf numFmtId="0" fontId="0" fillId="0" borderId="0" xfId="0"/>
    <xf numFmtId="0" fontId="2" fillId="0" borderId="0" xfId="1"/>
    <xf numFmtId="0" fontId="3"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5" fillId="2" borderId="0" xfId="0" applyFont="1" applyFill="1"/>
    <xf numFmtId="0" fontId="3" fillId="2" borderId="1" xfId="0" applyFont="1" applyFill="1" applyBorder="1" applyAlignment="1">
      <alignment horizontal="center" vertical="center"/>
    </xf>
    <xf numFmtId="0" fontId="6" fillId="0" borderId="2" xfId="0" applyFont="1" applyBorder="1" applyAlignment="1">
      <alignment vertical="center" wrapText="1"/>
    </xf>
    <xf numFmtId="0" fontId="4" fillId="3" borderId="1" xfId="0" applyFont="1" applyFill="1" applyBorder="1"/>
    <xf numFmtId="49" fontId="4" fillId="3" borderId="1" xfId="0" applyNumberFormat="1" applyFont="1" applyFill="1" applyBorder="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wrapText="1"/>
    </xf>
    <xf numFmtId="49" fontId="4" fillId="3" borderId="1" xfId="0" quotePrefix="1" applyNumberFormat="1" applyFont="1" applyFill="1" applyBorder="1" applyAlignment="1">
      <alignment horizontal="center"/>
    </xf>
    <xf numFmtId="0" fontId="3" fillId="3" borderId="1" xfId="0" applyFont="1" applyFill="1" applyBorder="1" applyAlignment="1">
      <alignment horizontal="center" vertical="center" wrapText="1"/>
    </xf>
    <xf numFmtId="0" fontId="7" fillId="3" borderId="1" xfId="0" applyFont="1" applyFill="1" applyBorder="1" applyAlignment="1">
      <alignment horizontal="left"/>
    </xf>
    <xf numFmtId="0" fontId="7" fillId="3" borderId="1" xfId="0" applyFont="1" applyFill="1" applyBorder="1"/>
    <xf numFmtId="0" fontId="7"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wrapText="1"/>
    </xf>
    <xf numFmtId="0" fontId="7" fillId="4" borderId="1" xfId="0" applyFont="1" applyFill="1" applyBorder="1"/>
    <xf numFmtId="49" fontId="4" fillId="4" borderId="1" xfId="0" applyNumberFormat="1" applyFont="1" applyFill="1" applyBorder="1" applyAlignment="1">
      <alignment horizontal="center"/>
    </xf>
    <xf numFmtId="0" fontId="7" fillId="5" borderId="1" xfId="0" applyFont="1" applyFill="1" applyBorder="1"/>
    <xf numFmtId="49" fontId="4" fillId="5" borderId="1" xfId="0" quotePrefix="1" applyNumberFormat="1" applyFont="1" applyFill="1" applyBorder="1" applyAlignment="1">
      <alignment horizontal="center"/>
    </xf>
    <xf numFmtId="0" fontId="8" fillId="3" borderId="1" xfId="0" applyFont="1" applyFill="1" applyBorder="1"/>
    <xf numFmtId="0" fontId="4" fillId="4" borderId="1" xfId="0" applyFont="1" applyFill="1" applyBorder="1"/>
    <xf numFmtId="49" fontId="4" fillId="4" borderId="1" xfId="0" quotePrefix="1" applyNumberFormat="1" applyFont="1" applyFill="1" applyBorder="1" applyAlignment="1">
      <alignment horizontal="center"/>
    </xf>
    <xf numFmtId="49" fontId="4" fillId="3" borderId="1" xfId="0" quotePrefix="1" applyNumberFormat="1" applyFont="1" applyFill="1" applyBorder="1"/>
    <xf numFmtId="0" fontId="3" fillId="2" borderId="0" xfId="2" applyFont="1" applyFill="1" applyAlignment="1">
      <alignment horizontal="center" vertical="center"/>
    </xf>
    <xf numFmtId="0" fontId="9" fillId="6" borderId="0" xfId="0" applyFont="1" applyFill="1" applyAlignment="1">
      <alignment vertical="center"/>
    </xf>
    <xf numFmtId="49" fontId="3" fillId="3" borderId="0" xfId="2" applyNumberFormat="1" applyFont="1" applyFill="1" applyAlignment="1">
      <alignment horizontal="center"/>
    </xf>
    <xf numFmtId="0" fontId="3" fillId="3" borderId="0" xfId="2" applyFont="1" applyFill="1" applyAlignment="1">
      <alignment horizontal="center" vertical="center" wrapText="1"/>
    </xf>
    <xf numFmtId="0" fontId="3" fillId="3" borderId="0" xfId="2" applyFont="1" applyFill="1" applyAlignment="1">
      <alignment horizontal="center" wrapText="1"/>
    </xf>
    <xf numFmtId="49" fontId="3" fillId="3" borderId="0" xfId="2" quotePrefix="1" applyNumberFormat="1" applyFont="1" applyFill="1" applyAlignment="1">
      <alignment horizontal="center"/>
    </xf>
    <xf numFmtId="0" fontId="1" fillId="0" borderId="0" xfId="0" quotePrefix="1" applyFont="1"/>
    <xf numFmtId="0" fontId="10" fillId="2" borderId="0" xfId="2" applyFont="1" applyFill="1" applyAlignment="1">
      <alignment horizontal="center" vertical="center"/>
    </xf>
    <xf numFmtId="0" fontId="10" fillId="6" borderId="0" xfId="0" applyFont="1" applyFill="1" applyAlignment="1">
      <alignment vertical="center"/>
    </xf>
    <xf numFmtId="49" fontId="10" fillId="3" borderId="0" xfId="2" quotePrefix="1" applyNumberFormat="1" applyFont="1" applyFill="1" applyAlignment="1">
      <alignment horizontal="center"/>
    </xf>
    <xf numFmtId="0" fontId="10" fillId="3" borderId="0" xfId="2" applyFont="1" applyFill="1" applyAlignment="1">
      <alignment horizontal="center" vertical="center" wrapText="1"/>
    </xf>
    <xf numFmtId="0" fontId="3" fillId="2" borderId="0" xfId="0" applyFont="1" applyFill="1" applyAlignment="1">
      <alignment horizontal="center" vertical="center"/>
    </xf>
    <xf numFmtId="49" fontId="4" fillId="2" borderId="0" xfId="0" applyNumberFormat="1" applyFont="1" applyFill="1" applyAlignment="1">
      <alignment horizontal="center" vertical="center"/>
    </xf>
    <xf numFmtId="0" fontId="3" fillId="2" borderId="0" xfId="0" applyFont="1" applyFill="1" applyAlignment="1">
      <alignment horizontal="center" vertical="center" wrapText="1"/>
    </xf>
    <xf numFmtId="0" fontId="12" fillId="2" borderId="0" xfId="2" applyFont="1" applyFill="1" applyAlignment="1">
      <alignment horizontal="center" vertical="center"/>
    </xf>
    <xf numFmtId="0" fontId="12" fillId="6" borderId="0" xfId="0" applyFont="1" applyFill="1" applyAlignment="1">
      <alignment vertical="center"/>
    </xf>
    <xf numFmtId="49" fontId="12" fillId="3" borderId="0" xfId="2" quotePrefix="1" applyNumberFormat="1" applyFont="1" applyFill="1" applyAlignment="1">
      <alignment horizontal="center"/>
    </xf>
    <xf numFmtId="0" fontId="12" fillId="3" borderId="0" xfId="2" applyFont="1" applyFill="1" applyAlignment="1">
      <alignment horizontal="center" vertical="center" wrapText="1"/>
    </xf>
    <xf numFmtId="0" fontId="13" fillId="0" borderId="0" xfId="0" quotePrefix="1" applyFont="1"/>
    <xf numFmtId="0" fontId="13" fillId="0" borderId="0" xfId="0" applyFont="1"/>
    <xf numFmtId="0" fontId="11" fillId="0" borderId="0" xfId="0" applyFont="1"/>
    <xf numFmtId="0" fontId="0" fillId="0" borderId="0" xfId="0" quotePrefix="1"/>
    <xf numFmtId="0" fontId="0" fillId="0" borderId="0" xfId="0" applyAlignment="1">
      <alignment horizontal="center"/>
    </xf>
    <xf numFmtId="0" fontId="1" fillId="0" borderId="0" xfId="0" quotePrefix="1" applyFont="1" applyAlignment="1">
      <alignment horizontal="center"/>
    </xf>
    <xf numFmtId="0" fontId="13" fillId="0" borderId="0" xfId="0" applyFont="1" applyAlignment="1">
      <alignment horizontal="center"/>
    </xf>
    <xf numFmtId="0" fontId="11" fillId="0" borderId="0" xfId="0" applyFont="1" applyAlignment="1">
      <alignment horizontal="center"/>
    </xf>
    <xf numFmtId="49" fontId="15" fillId="0" borderId="2" xfId="3" applyNumberFormat="1" applyFont="1" applyBorder="1" applyAlignment="1">
      <alignment horizontal="center" vertical="center" wrapText="1"/>
    </xf>
    <xf numFmtId="0" fontId="17" fillId="0" borderId="2" xfId="3" applyFont="1" applyFill="1" applyBorder="1" applyAlignment="1">
      <alignment horizontal="center" vertical="center" wrapText="1"/>
    </xf>
    <xf numFmtId="0" fontId="17" fillId="0" borderId="2" xfId="3" applyNumberFormat="1" applyFont="1" applyFill="1" applyBorder="1" applyAlignment="1" applyProtection="1">
      <alignment horizontal="center" vertical="center"/>
    </xf>
    <xf numFmtId="0" fontId="17" fillId="0" borderId="2" xfId="3" applyNumberFormat="1" applyFont="1" applyFill="1" applyBorder="1" applyAlignment="1" applyProtection="1">
      <alignment horizontal="center" vertical="center" wrapText="1"/>
    </xf>
    <xf numFmtId="49" fontId="15" fillId="0" borderId="0" xfId="3" applyNumberFormat="1" applyFont="1" applyAlignment="1">
      <alignment horizontal="center" vertical="center" wrapText="1"/>
    </xf>
    <xf numFmtId="49" fontId="18" fillId="0" borderId="2" xfId="3" applyNumberFormat="1" applyFont="1" applyBorder="1"/>
    <xf numFmtId="49" fontId="18" fillId="0" borderId="3" xfId="3" applyNumberFormat="1" applyFont="1" applyBorder="1"/>
    <xf numFmtId="49" fontId="18" fillId="0" borderId="2" xfId="3" applyNumberFormat="1" applyFont="1" applyBorder="1" applyAlignment="1">
      <alignment wrapText="1"/>
    </xf>
    <xf numFmtId="49" fontId="18" fillId="0" borderId="0" xfId="3" applyNumberFormat="1" applyFont="1"/>
    <xf numFmtId="49" fontId="19" fillId="0" borderId="0" xfId="3" applyNumberFormat="1" applyFont="1" applyAlignment="1">
      <alignment horizontal="left" wrapText="1"/>
    </xf>
  </cellXfs>
  <cellStyles count="4">
    <cellStyle name="Normal" xfId="0" builtinId="0"/>
    <cellStyle name="Normal 2" xfId="1" xr:uid="{292BC7A2-D724-4376-9F5E-1268A03CB24A}"/>
    <cellStyle name="Normal 2 2" xfId="2" xr:uid="{E596C50C-2BED-407D-9A84-6564536C3499}"/>
    <cellStyle name="Normal 3" xfId="3" xr:uid="{52BA3421-9ACC-4250-BD86-810E7CB0FD4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DAFB-B4E5-404D-9E56-473DAFA24B65}">
  <dimension ref="A1:AA109"/>
  <sheetViews>
    <sheetView workbookViewId="0">
      <selection activeCell="A2" sqref="A2"/>
    </sheetView>
  </sheetViews>
  <sheetFormatPr defaultRowHeight="15" x14ac:dyDescent="0.25"/>
  <cols>
    <col min="3" max="3" width="12.7109375" bestFit="1" customWidth="1"/>
    <col min="17" max="17" width="13.5703125" bestFit="1" customWidth="1"/>
    <col min="18" max="18" width="17.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7" x14ac:dyDescent="0.25">
      <c r="A2">
        <v>1</v>
      </c>
      <c r="B2" t="s">
        <v>56</v>
      </c>
      <c r="R2">
        <v>68.59</v>
      </c>
      <c r="T2">
        <v>67.760000000000005</v>
      </c>
      <c r="V2">
        <v>0</v>
      </c>
    </row>
    <row r="3" spans="1:27" x14ac:dyDescent="0.25">
      <c r="A3">
        <v>2</v>
      </c>
      <c r="B3" t="s">
        <v>58</v>
      </c>
      <c r="R3">
        <v>64.7</v>
      </c>
      <c r="T3">
        <v>64.7</v>
      </c>
      <c r="V3">
        <v>0</v>
      </c>
    </row>
    <row r="4" spans="1:27" x14ac:dyDescent="0.25">
      <c r="A4">
        <v>3</v>
      </c>
      <c r="B4" t="s">
        <v>72</v>
      </c>
      <c r="R4">
        <v>79.010000000000005</v>
      </c>
      <c r="T4">
        <v>76.680000000000007</v>
      </c>
      <c r="V4">
        <v>0</v>
      </c>
    </row>
    <row r="5" spans="1:27" x14ac:dyDescent="0.25">
      <c r="A5">
        <v>4</v>
      </c>
      <c r="B5" t="s">
        <v>77</v>
      </c>
      <c r="R5">
        <v>67.989999999999995</v>
      </c>
      <c r="T5">
        <v>66.319999999999993</v>
      </c>
      <c r="V5">
        <v>0</v>
      </c>
    </row>
    <row r="6" spans="1:27" x14ac:dyDescent="0.25">
      <c r="A6">
        <v>5</v>
      </c>
      <c r="B6" t="s">
        <v>1174</v>
      </c>
      <c r="R6">
        <v>63.13</v>
      </c>
      <c r="T6">
        <v>61.46</v>
      </c>
      <c r="V6">
        <v>0</v>
      </c>
    </row>
    <row r="7" spans="1:27" x14ac:dyDescent="0.25">
      <c r="A7">
        <v>6</v>
      </c>
      <c r="B7" t="s">
        <v>1748</v>
      </c>
      <c r="R7">
        <v>67.709999999999994</v>
      </c>
      <c r="T7">
        <v>66.040000000000006</v>
      </c>
    </row>
    <row r="8" spans="1:27" x14ac:dyDescent="0.25">
      <c r="A8">
        <v>7</v>
      </c>
      <c r="B8" t="s">
        <v>2916</v>
      </c>
      <c r="R8">
        <v>88.94</v>
      </c>
      <c r="T8">
        <v>88.94</v>
      </c>
      <c r="V8">
        <v>7</v>
      </c>
    </row>
    <row r="9" spans="1:27" x14ac:dyDescent="0.25">
      <c r="A9">
        <v>8</v>
      </c>
      <c r="B9" t="s">
        <v>1778</v>
      </c>
      <c r="R9">
        <v>64.47</v>
      </c>
      <c r="T9">
        <v>63.64</v>
      </c>
      <c r="V9">
        <v>0</v>
      </c>
    </row>
    <row r="10" spans="1:27" x14ac:dyDescent="0.25">
      <c r="A10">
        <v>9</v>
      </c>
      <c r="B10" t="s">
        <v>2917</v>
      </c>
      <c r="R10">
        <v>77.510000000000005</v>
      </c>
      <c r="T10">
        <v>68.34</v>
      </c>
      <c r="V10">
        <v>0</v>
      </c>
    </row>
    <row r="11" spans="1:27" x14ac:dyDescent="0.25">
      <c r="A11">
        <v>10</v>
      </c>
      <c r="B11" t="s">
        <v>2918</v>
      </c>
      <c r="R11">
        <v>84.64</v>
      </c>
      <c r="T11">
        <v>83.54</v>
      </c>
      <c r="V11">
        <v>6.5</v>
      </c>
    </row>
    <row r="12" spans="1:27" x14ac:dyDescent="0.25">
      <c r="A12">
        <v>11</v>
      </c>
      <c r="B12" t="s">
        <v>2919</v>
      </c>
      <c r="R12">
        <v>73.95</v>
      </c>
      <c r="T12">
        <v>72.28</v>
      </c>
      <c r="V12">
        <v>0</v>
      </c>
    </row>
    <row r="13" spans="1:27" x14ac:dyDescent="0.25">
      <c r="A13">
        <v>12</v>
      </c>
      <c r="B13" t="s">
        <v>1976</v>
      </c>
      <c r="R13">
        <v>68.39</v>
      </c>
      <c r="T13">
        <v>67.56</v>
      </c>
      <c r="V13">
        <v>0</v>
      </c>
    </row>
    <row r="14" spans="1:27" x14ac:dyDescent="0.25">
      <c r="A14">
        <v>13</v>
      </c>
      <c r="B14" t="s">
        <v>120</v>
      </c>
      <c r="C14" t="s">
        <v>974</v>
      </c>
      <c r="D14" t="s">
        <v>981</v>
      </c>
      <c r="J14" t="s">
        <v>977</v>
      </c>
      <c r="K14" t="s">
        <v>2908</v>
      </c>
      <c r="L14" t="s">
        <v>288</v>
      </c>
      <c r="M14" t="s">
        <v>978</v>
      </c>
      <c r="R14">
        <v>80.56</v>
      </c>
      <c r="T14">
        <v>78.400000000000006</v>
      </c>
      <c r="V14">
        <v>0</v>
      </c>
      <c r="Y14">
        <v>8.4600000000000009</v>
      </c>
      <c r="Z14">
        <v>8.5</v>
      </c>
      <c r="AA14">
        <v>8.7200000000000006</v>
      </c>
    </row>
    <row r="15" spans="1:27" x14ac:dyDescent="0.25">
      <c r="A15">
        <v>14</v>
      </c>
      <c r="B15" t="s">
        <v>119</v>
      </c>
      <c r="C15" t="s">
        <v>1008</v>
      </c>
      <c r="D15" t="s">
        <v>1015</v>
      </c>
      <c r="J15" t="s">
        <v>1011</v>
      </c>
      <c r="K15" t="s">
        <v>2908</v>
      </c>
      <c r="L15" t="s">
        <v>288</v>
      </c>
      <c r="M15" t="s">
        <v>1012</v>
      </c>
      <c r="N15" t="s">
        <v>2744</v>
      </c>
      <c r="O15" t="s">
        <v>2746</v>
      </c>
      <c r="P15" t="s">
        <v>2745</v>
      </c>
      <c r="Q15" t="s">
        <v>2746</v>
      </c>
      <c r="R15">
        <v>78.459999999999994</v>
      </c>
      <c r="T15">
        <v>77.72</v>
      </c>
      <c r="V15">
        <v>0</v>
      </c>
      <c r="Y15">
        <v>8.6199999999999992</v>
      </c>
      <c r="Z15">
        <v>8.69</v>
      </c>
      <c r="AA15">
        <v>9.19</v>
      </c>
    </row>
    <row r="16" spans="1:27" x14ac:dyDescent="0.25">
      <c r="A16">
        <v>15</v>
      </c>
      <c r="B16" t="s">
        <v>118</v>
      </c>
      <c r="C16" t="s">
        <v>2027</v>
      </c>
      <c r="D16" t="s">
        <v>2034</v>
      </c>
      <c r="J16" t="s">
        <v>2030</v>
      </c>
      <c r="K16" t="s">
        <v>2908</v>
      </c>
      <c r="L16" t="s">
        <v>288</v>
      </c>
      <c r="M16" t="s">
        <v>2031</v>
      </c>
      <c r="N16" t="s">
        <v>2854</v>
      </c>
      <c r="O16" t="s">
        <v>2856</v>
      </c>
      <c r="P16" t="s">
        <v>2855</v>
      </c>
      <c r="Q16" t="s">
        <v>2856</v>
      </c>
      <c r="R16">
        <v>82.02</v>
      </c>
      <c r="T16">
        <v>81.400000000000006</v>
      </c>
      <c r="V16">
        <v>0</v>
      </c>
      <c r="Y16">
        <v>8.59</v>
      </c>
      <c r="Z16">
        <v>8.52</v>
      </c>
      <c r="AA16">
        <v>8.66</v>
      </c>
    </row>
    <row r="17" spans="1:27" x14ac:dyDescent="0.25">
      <c r="A17">
        <v>16</v>
      </c>
      <c r="B17" t="s">
        <v>117</v>
      </c>
      <c r="C17" t="s">
        <v>758</v>
      </c>
      <c r="D17" t="s">
        <v>589</v>
      </c>
      <c r="J17" t="s">
        <v>585</v>
      </c>
      <c r="K17" t="s">
        <v>2908</v>
      </c>
      <c r="L17" t="s">
        <v>288</v>
      </c>
      <c r="M17" t="s">
        <v>586</v>
      </c>
      <c r="N17" t="s">
        <v>2752</v>
      </c>
      <c r="O17" t="s">
        <v>2754</v>
      </c>
      <c r="P17" t="s">
        <v>2753</v>
      </c>
      <c r="Q17" t="s">
        <v>2754</v>
      </c>
      <c r="R17">
        <v>76.22</v>
      </c>
      <c r="T17">
        <v>76.22</v>
      </c>
      <c r="V17">
        <v>0</v>
      </c>
      <c r="Y17">
        <v>8.68</v>
      </c>
      <c r="Z17">
        <v>8.11</v>
      </c>
      <c r="AA17">
        <v>8.93</v>
      </c>
    </row>
    <row r="18" spans="1:27" x14ac:dyDescent="0.25">
      <c r="A18">
        <v>17</v>
      </c>
      <c r="B18" t="s">
        <v>116</v>
      </c>
      <c r="C18" t="s">
        <v>1821</v>
      </c>
      <c r="D18" t="s">
        <v>1828</v>
      </c>
      <c r="J18" t="s">
        <v>1824</v>
      </c>
      <c r="K18" t="s">
        <v>2908</v>
      </c>
      <c r="L18" t="s">
        <v>288</v>
      </c>
      <c r="M18" t="s">
        <v>1825</v>
      </c>
      <c r="N18" t="s">
        <v>2841</v>
      </c>
      <c r="O18" t="s">
        <v>2843</v>
      </c>
      <c r="P18" t="s">
        <v>2842</v>
      </c>
      <c r="Q18" t="s">
        <v>2843</v>
      </c>
      <c r="R18">
        <v>67.489999999999995</v>
      </c>
      <c r="T18">
        <v>66.66</v>
      </c>
      <c r="V18">
        <v>0</v>
      </c>
      <c r="Y18">
        <v>7.06</v>
      </c>
      <c r="Z18">
        <v>7.54</v>
      </c>
      <c r="AA18">
        <v>7.7</v>
      </c>
    </row>
    <row r="19" spans="1:27" x14ac:dyDescent="0.25">
      <c r="A19">
        <v>18</v>
      </c>
      <c r="B19" t="s">
        <v>115</v>
      </c>
      <c r="C19" t="s">
        <v>2005</v>
      </c>
      <c r="D19" t="s">
        <v>2012</v>
      </c>
      <c r="J19" t="s">
        <v>2008</v>
      </c>
      <c r="K19" t="s">
        <v>2908</v>
      </c>
      <c r="L19" t="s">
        <v>288</v>
      </c>
      <c r="M19" t="s">
        <v>2009</v>
      </c>
      <c r="N19" t="s">
        <v>2846</v>
      </c>
      <c r="O19" t="s">
        <v>2848</v>
      </c>
      <c r="P19" t="s">
        <v>2847</v>
      </c>
      <c r="Q19" t="s">
        <v>2848</v>
      </c>
      <c r="R19">
        <v>75.77</v>
      </c>
      <c r="T19">
        <v>74.099999999999994</v>
      </c>
      <c r="V19">
        <v>0</v>
      </c>
      <c r="Y19">
        <v>8.18</v>
      </c>
      <c r="Z19">
        <v>8.7200000000000006</v>
      </c>
      <c r="AA19">
        <v>8.74</v>
      </c>
    </row>
    <row r="20" spans="1:27" x14ac:dyDescent="0.25">
      <c r="A20">
        <v>19</v>
      </c>
      <c r="B20" t="s">
        <v>114</v>
      </c>
      <c r="C20" t="s">
        <v>1194</v>
      </c>
      <c r="D20" t="s">
        <v>1201</v>
      </c>
      <c r="J20" t="s">
        <v>1197</v>
      </c>
      <c r="K20" t="s">
        <v>2908</v>
      </c>
      <c r="L20" t="s">
        <v>288</v>
      </c>
      <c r="M20" t="s">
        <v>1198</v>
      </c>
      <c r="N20" t="s">
        <v>2414</v>
      </c>
      <c r="O20" t="s">
        <v>2416</v>
      </c>
      <c r="P20" t="s">
        <v>2415</v>
      </c>
      <c r="Q20" t="s">
        <v>2416</v>
      </c>
      <c r="R20">
        <v>62.87</v>
      </c>
      <c r="T20">
        <v>62.04</v>
      </c>
      <c r="V20">
        <v>0</v>
      </c>
      <c r="Y20">
        <v>8.0299999999999994</v>
      </c>
      <c r="Z20">
        <v>8.01</v>
      </c>
      <c r="AA20">
        <v>8</v>
      </c>
    </row>
    <row r="21" spans="1:27" x14ac:dyDescent="0.25">
      <c r="A21">
        <v>20</v>
      </c>
      <c r="B21" t="s">
        <v>113</v>
      </c>
      <c r="C21" t="s">
        <v>1153</v>
      </c>
      <c r="D21" t="s">
        <v>1160</v>
      </c>
      <c r="J21" t="s">
        <v>1156</v>
      </c>
      <c r="K21" t="s">
        <v>2908</v>
      </c>
      <c r="L21" t="s">
        <v>288</v>
      </c>
      <c r="M21" t="s">
        <v>1157</v>
      </c>
      <c r="N21" t="s">
        <v>2870</v>
      </c>
      <c r="O21" t="s">
        <v>2873</v>
      </c>
      <c r="P21" t="s">
        <v>2872</v>
      </c>
      <c r="Q21" t="s">
        <v>2873</v>
      </c>
      <c r="R21">
        <v>64.67</v>
      </c>
      <c r="T21">
        <v>63</v>
      </c>
      <c r="V21">
        <v>0</v>
      </c>
      <c r="Y21">
        <v>6.69</v>
      </c>
      <c r="Z21">
        <v>7.73</v>
      </c>
      <c r="AA21">
        <v>8.11</v>
      </c>
    </row>
    <row r="22" spans="1:27" x14ac:dyDescent="0.25">
      <c r="A22">
        <v>21</v>
      </c>
      <c r="B22" t="s">
        <v>112</v>
      </c>
      <c r="C22" t="s">
        <v>1043</v>
      </c>
      <c r="D22" t="s">
        <v>1050</v>
      </c>
      <c r="J22" t="s">
        <v>1046</v>
      </c>
      <c r="K22" t="s">
        <v>2909</v>
      </c>
      <c r="L22" t="s">
        <v>288</v>
      </c>
      <c r="M22" t="s">
        <v>1047</v>
      </c>
      <c r="R22">
        <v>66.150000000000006</v>
      </c>
      <c r="T22">
        <v>64.48</v>
      </c>
      <c r="V22">
        <v>0</v>
      </c>
      <c r="Y22">
        <v>7.43</v>
      </c>
      <c r="Z22">
        <v>7.81</v>
      </c>
      <c r="AA22">
        <v>8.06</v>
      </c>
    </row>
    <row r="23" spans="1:27" x14ac:dyDescent="0.25">
      <c r="A23">
        <v>22</v>
      </c>
      <c r="B23" t="s">
        <v>111</v>
      </c>
      <c r="C23" t="s">
        <v>2018</v>
      </c>
      <c r="D23" t="s">
        <v>2024</v>
      </c>
      <c r="J23" t="s">
        <v>2020</v>
      </c>
      <c r="K23" t="s">
        <v>2908</v>
      </c>
      <c r="L23" t="s">
        <v>288</v>
      </c>
      <c r="M23" t="s">
        <v>2021</v>
      </c>
      <c r="N23" t="s">
        <v>2850</v>
      </c>
      <c r="O23" t="s">
        <v>2852</v>
      </c>
      <c r="P23" t="s">
        <v>2851</v>
      </c>
      <c r="Q23" t="s">
        <v>2852</v>
      </c>
      <c r="R23">
        <v>65.47</v>
      </c>
      <c r="T23">
        <v>64.64</v>
      </c>
      <c r="V23">
        <v>0</v>
      </c>
      <c r="Y23">
        <v>7.48</v>
      </c>
      <c r="Z23">
        <v>7.71</v>
      </c>
      <c r="AA23">
        <v>7.58</v>
      </c>
    </row>
    <row r="24" spans="1:27" x14ac:dyDescent="0.25">
      <c r="A24">
        <v>23</v>
      </c>
      <c r="B24" t="s">
        <v>110</v>
      </c>
      <c r="C24" t="s">
        <v>2167</v>
      </c>
      <c r="D24" t="s">
        <v>2173</v>
      </c>
      <c r="J24" t="s">
        <v>2169</v>
      </c>
      <c r="K24" t="s">
        <v>2908</v>
      </c>
      <c r="L24" t="s">
        <v>288</v>
      </c>
      <c r="M24" t="s">
        <v>2170</v>
      </c>
      <c r="N24" t="s">
        <v>2905</v>
      </c>
      <c r="O24" t="s">
        <v>2907</v>
      </c>
      <c r="P24" t="s">
        <v>2906</v>
      </c>
      <c r="Q24" t="s">
        <v>2907</v>
      </c>
      <c r="R24">
        <v>80.81</v>
      </c>
      <c r="T24">
        <v>79.44</v>
      </c>
      <c r="V24">
        <v>0</v>
      </c>
      <c r="Y24">
        <v>8.42</v>
      </c>
      <c r="Z24">
        <v>8.83</v>
      </c>
      <c r="AA24">
        <v>8.92</v>
      </c>
    </row>
    <row r="25" spans="1:27" x14ac:dyDescent="0.25">
      <c r="A25">
        <v>24</v>
      </c>
      <c r="B25" t="s">
        <v>109</v>
      </c>
      <c r="C25" t="s">
        <v>2074</v>
      </c>
      <c r="D25" t="s">
        <v>2081</v>
      </c>
      <c r="F25" t="s">
        <v>2920</v>
      </c>
      <c r="G25" t="s">
        <v>742</v>
      </c>
      <c r="H25" t="s">
        <v>2082</v>
      </c>
      <c r="I25" t="s">
        <v>289</v>
      </c>
      <c r="J25" t="s">
        <v>2077</v>
      </c>
      <c r="K25" t="s">
        <v>2909</v>
      </c>
      <c r="L25" t="s">
        <v>288</v>
      </c>
      <c r="M25" t="s">
        <v>2078</v>
      </c>
      <c r="R25">
        <v>86.12</v>
      </c>
      <c r="T25">
        <v>85.64</v>
      </c>
      <c r="V25">
        <v>0</v>
      </c>
      <c r="Y25">
        <v>8.1300000000000008</v>
      </c>
      <c r="Z25">
        <v>8.34</v>
      </c>
      <c r="AA25">
        <v>8.5399999999999991</v>
      </c>
    </row>
    <row r="26" spans="1:27" x14ac:dyDescent="0.25">
      <c r="A26">
        <v>25</v>
      </c>
      <c r="B26" t="s">
        <v>108</v>
      </c>
      <c r="C26" t="s">
        <v>1289</v>
      </c>
      <c r="D26" t="s">
        <v>1296</v>
      </c>
      <c r="J26" t="s">
        <v>1292</v>
      </c>
      <c r="K26" t="s">
        <v>2909</v>
      </c>
      <c r="L26" t="s">
        <v>288</v>
      </c>
      <c r="M26" t="s">
        <v>1293</v>
      </c>
      <c r="N26" t="s">
        <v>2721</v>
      </c>
      <c r="O26" t="s">
        <v>2723</v>
      </c>
      <c r="P26" t="s">
        <v>2722</v>
      </c>
      <c r="Q26" t="s">
        <v>2723</v>
      </c>
      <c r="R26">
        <v>80.34</v>
      </c>
      <c r="T26">
        <v>78.16</v>
      </c>
      <c r="V26">
        <v>0</v>
      </c>
      <c r="Y26">
        <v>8.2799999999999994</v>
      </c>
      <c r="Z26">
        <v>8.8800000000000008</v>
      </c>
      <c r="AA26">
        <v>8.5299999999999994</v>
      </c>
    </row>
    <row r="27" spans="1:27" x14ac:dyDescent="0.25">
      <c r="A27">
        <v>26</v>
      </c>
      <c r="B27" t="s">
        <v>107</v>
      </c>
      <c r="C27" t="s">
        <v>1992</v>
      </c>
      <c r="D27" t="s">
        <v>1997</v>
      </c>
      <c r="J27" t="s">
        <v>1257</v>
      </c>
      <c r="K27" t="s">
        <v>2908</v>
      </c>
      <c r="L27" t="s">
        <v>288</v>
      </c>
      <c r="M27" t="s">
        <v>1994</v>
      </c>
      <c r="N27" t="s">
        <v>2891</v>
      </c>
      <c r="O27" t="s">
        <v>2894</v>
      </c>
      <c r="P27" t="s">
        <v>2893</v>
      </c>
      <c r="Q27" t="s">
        <v>2894</v>
      </c>
      <c r="R27">
        <v>77.63</v>
      </c>
      <c r="T27">
        <v>75.14</v>
      </c>
      <c r="V27">
        <v>0</v>
      </c>
      <c r="Y27">
        <v>8.3000000000000007</v>
      </c>
      <c r="Z27">
        <v>8.17</v>
      </c>
      <c r="AA27">
        <v>8.5399999999999991</v>
      </c>
    </row>
    <row r="28" spans="1:27" x14ac:dyDescent="0.25">
      <c r="A28">
        <v>27</v>
      </c>
      <c r="B28" t="s">
        <v>106</v>
      </c>
      <c r="C28" t="s">
        <v>2289</v>
      </c>
      <c r="D28" t="s">
        <v>2295</v>
      </c>
      <c r="J28" t="s">
        <v>318</v>
      </c>
      <c r="K28" t="s">
        <v>2908</v>
      </c>
      <c r="L28" t="s">
        <v>288</v>
      </c>
      <c r="M28" t="s">
        <v>2292</v>
      </c>
      <c r="N28" t="s">
        <v>2875</v>
      </c>
      <c r="O28" t="s">
        <v>2878</v>
      </c>
      <c r="P28" t="s">
        <v>2877</v>
      </c>
      <c r="Q28" t="s">
        <v>2878</v>
      </c>
      <c r="R28">
        <v>70.28</v>
      </c>
      <c r="T28">
        <v>67.78</v>
      </c>
      <c r="V28">
        <v>0</v>
      </c>
      <c r="Y28">
        <v>8.17</v>
      </c>
      <c r="Z28">
        <v>8.24</v>
      </c>
      <c r="AA28">
        <v>8.6</v>
      </c>
    </row>
    <row r="29" spans="1:27" x14ac:dyDescent="0.25">
      <c r="A29">
        <v>28</v>
      </c>
      <c r="B29" t="s">
        <v>105</v>
      </c>
      <c r="C29" t="s">
        <v>1237</v>
      </c>
      <c r="D29" t="s">
        <v>1243</v>
      </c>
      <c r="J29" t="s">
        <v>472</v>
      </c>
      <c r="K29" t="s">
        <v>2909</v>
      </c>
      <c r="L29" t="s">
        <v>288</v>
      </c>
      <c r="M29" t="s">
        <v>1240</v>
      </c>
      <c r="R29">
        <v>84.49</v>
      </c>
      <c r="T29">
        <v>83.38</v>
      </c>
      <c r="V29">
        <v>0</v>
      </c>
      <c r="Y29">
        <v>8.73</v>
      </c>
      <c r="Z29">
        <v>8.68</v>
      </c>
      <c r="AA29">
        <v>8.76</v>
      </c>
    </row>
    <row r="30" spans="1:27" x14ac:dyDescent="0.25">
      <c r="A30">
        <v>29</v>
      </c>
      <c r="B30" t="s">
        <v>104</v>
      </c>
      <c r="C30" t="s">
        <v>1947</v>
      </c>
      <c r="D30" t="s">
        <v>1954</v>
      </c>
      <c r="F30" t="s">
        <v>2920</v>
      </c>
      <c r="G30" t="s">
        <v>742</v>
      </c>
      <c r="H30" t="s">
        <v>743</v>
      </c>
      <c r="I30" t="s">
        <v>289</v>
      </c>
      <c r="J30" t="s">
        <v>1950</v>
      </c>
      <c r="K30" t="s">
        <v>2909</v>
      </c>
      <c r="L30" t="s">
        <v>288</v>
      </c>
      <c r="M30" t="s">
        <v>1951</v>
      </c>
      <c r="R30">
        <v>90.48</v>
      </c>
      <c r="T30">
        <v>89.8</v>
      </c>
      <c r="V30">
        <v>0</v>
      </c>
      <c r="Y30">
        <v>8.9600000000000009</v>
      </c>
      <c r="Z30">
        <v>8.86</v>
      </c>
      <c r="AA30">
        <v>8.51</v>
      </c>
    </row>
    <row r="31" spans="1:27" x14ac:dyDescent="0.25">
      <c r="A31">
        <v>30</v>
      </c>
      <c r="B31" t="s">
        <v>103</v>
      </c>
      <c r="C31" t="s">
        <v>549</v>
      </c>
      <c r="D31" t="s">
        <v>556</v>
      </c>
      <c r="J31" t="s">
        <v>552</v>
      </c>
      <c r="K31" t="s">
        <v>2909</v>
      </c>
      <c r="L31" t="s">
        <v>288</v>
      </c>
      <c r="M31" t="s">
        <v>553</v>
      </c>
      <c r="R31">
        <v>67.17</v>
      </c>
      <c r="T31">
        <v>65.5</v>
      </c>
      <c r="V31">
        <v>0</v>
      </c>
      <c r="Y31">
        <v>7.24</v>
      </c>
      <c r="Z31">
        <v>7.02</v>
      </c>
      <c r="AA31">
        <v>7.41</v>
      </c>
    </row>
    <row r="32" spans="1:27" x14ac:dyDescent="0.25">
      <c r="A32">
        <v>31</v>
      </c>
      <c r="B32" t="s">
        <v>102</v>
      </c>
      <c r="C32" t="s">
        <v>357</v>
      </c>
      <c r="D32" t="s">
        <v>364</v>
      </c>
      <c r="J32" t="s">
        <v>360</v>
      </c>
      <c r="K32" t="s">
        <v>2908</v>
      </c>
      <c r="L32" t="s">
        <v>288</v>
      </c>
      <c r="M32" t="s">
        <v>361</v>
      </c>
      <c r="N32" t="s">
        <v>2788</v>
      </c>
      <c r="O32" t="s">
        <v>2790</v>
      </c>
      <c r="P32" t="s">
        <v>2789</v>
      </c>
      <c r="Q32" t="s">
        <v>2790</v>
      </c>
      <c r="R32">
        <v>78.14</v>
      </c>
      <c r="T32">
        <v>76.58</v>
      </c>
      <c r="V32">
        <v>0</v>
      </c>
      <c r="Y32">
        <v>8.6999999999999993</v>
      </c>
      <c r="Z32">
        <v>8.56</v>
      </c>
      <c r="AA32">
        <v>8.94</v>
      </c>
    </row>
    <row r="33" spans="1:27" x14ac:dyDescent="0.25">
      <c r="A33">
        <v>32</v>
      </c>
      <c r="B33" t="s">
        <v>101</v>
      </c>
      <c r="C33" t="s">
        <v>2179</v>
      </c>
      <c r="D33" t="s">
        <v>2185</v>
      </c>
      <c r="J33" t="s">
        <v>1527</v>
      </c>
      <c r="K33" t="s">
        <v>2908</v>
      </c>
      <c r="L33" t="s">
        <v>288</v>
      </c>
      <c r="M33" t="s">
        <v>2182</v>
      </c>
      <c r="N33" t="s">
        <v>2896</v>
      </c>
      <c r="O33" t="s">
        <v>2899</v>
      </c>
      <c r="P33" t="s">
        <v>2898</v>
      </c>
      <c r="Q33" t="s">
        <v>2899</v>
      </c>
      <c r="R33">
        <v>63.37</v>
      </c>
      <c r="T33">
        <v>61.7</v>
      </c>
      <c r="V33">
        <v>0</v>
      </c>
      <c r="Y33">
        <v>7.07</v>
      </c>
      <c r="Z33">
        <v>7.29</v>
      </c>
      <c r="AA33">
        <v>7.13</v>
      </c>
    </row>
    <row r="34" spans="1:27" x14ac:dyDescent="0.25">
      <c r="A34">
        <v>33</v>
      </c>
      <c r="B34" t="s">
        <v>100</v>
      </c>
      <c r="C34" t="s">
        <v>845</v>
      </c>
      <c r="D34" t="s">
        <v>852</v>
      </c>
      <c r="J34" t="s">
        <v>848</v>
      </c>
      <c r="K34" t="s">
        <v>2908</v>
      </c>
      <c r="L34" t="s">
        <v>288</v>
      </c>
      <c r="M34" t="s">
        <v>849</v>
      </c>
      <c r="N34" t="s">
        <v>2497</v>
      </c>
      <c r="O34" t="s">
        <v>2499</v>
      </c>
      <c r="P34" t="s">
        <v>2498</v>
      </c>
      <c r="Q34" t="s">
        <v>2499</v>
      </c>
      <c r="R34">
        <v>73.75</v>
      </c>
      <c r="T34">
        <v>72.92</v>
      </c>
      <c r="V34">
        <v>0</v>
      </c>
      <c r="Y34">
        <v>7.72</v>
      </c>
      <c r="Z34">
        <v>7.79</v>
      </c>
      <c r="AA34">
        <v>7.69</v>
      </c>
    </row>
    <row r="35" spans="1:27" x14ac:dyDescent="0.25">
      <c r="A35">
        <v>34</v>
      </c>
      <c r="B35" t="s">
        <v>99</v>
      </c>
      <c r="C35" t="s">
        <v>1411</v>
      </c>
      <c r="D35" t="s">
        <v>1418</v>
      </c>
      <c r="J35" t="s">
        <v>1414</v>
      </c>
      <c r="K35" t="s">
        <v>2909</v>
      </c>
      <c r="L35" t="s">
        <v>288</v>
      </c>
      <c r="M35" t="s">
        <v>1415</v>
      </c>
      <c r="N35" t="s">
        <v>2667</v>
      </c>
      <c r="O35" t="s">
        <v>2669</v>
      </c>
      <c r="P35" t="s">
        <v>2668</v>
      </c>
      <c r="Q35" t="s">
        <v>2669</v>
      </c>
      <c r="R35">
        <v>84.71</v>
      </c>
      <c r="T35">
        <v>83.62</v>
      </c>
      <c r="V35">
        <v>0</v>
      </c>
      <c r="Y35">
        <v>8.4700000000000006</v>
      </c>
      <c r="Z35">
        <v>8.73</v>
      </c>
      <c r="AA35">
        <v>8.42</v>
      </c>
    </row>
    <row r="36" spans="1:27" x14ac:dyDescent="0.25">
      <c r="A36">
        <v>35</v>
      </c>
      <c r="B36" t="s">
        <v>98</v>
      </c>
      <c r="C36" t="s">
        <v>695</v>
      </c>
      <c r="D36" t="s">
        <v>702</v>
      </c>
      <c r="J36" t="s">
        <v>698</v>
      </c>
      <c r="K36" t="s">
        <v>2908</v>
      </c>
      <c r="L36" t="s">
        <v>288</v>
      </c>
      <c r="M36" t="s">
        <v>699</v>
      </c>
      <c r="N36" t="s">
        <v>2699</v>
      </c>
      <c r="O36" t="s">
        <v>2701</v>
      </c>
      <c r="P36" t="s">
        <v>2700</v>
      </c>
      <c r="Q36" t="s">
        <v>2701</v>
      </c>
      <c r="R36">
        <v>71.09</v>
      </c>
      <c r="T36">
        <v>69.42</v>
      </c>
      <c r="V36">
        <v>0</v>
      </c>
      <c r="Y36">
        <v>7.57</v>
      </c>
      <c r="Z36">
        <v>7.88</v>
      </c>
      <c r="AA36">
        <v>8.2100000000000009</v>
      </c>
    </row>
    <row r="37" spans="1:27" x14ac:dyDescent="0.25">
      <c r="A37">
        <v>36</v>
      </c>
      <c r="B37" t="s">
        <v>97</v>
      </c>
      <c r="C37" t="s">
        <v>1266</v>
      </c>
      <c r="D37" t="s">
        <v>1273</v>
      </c>
      <c r="J37" t="s">
        <v>1269</v>
      </c>
      <c r="K37" t="s">
        <v>2908</v>
      </c>
      <c r="L37" t="s">
        <v>288</v>
      </c>
      <c r="M37" t="s">
        <v>1270</v>
      </c>
      <c r="N37" t="s">
        <v>2764</v>
      </c>
      <c r="O37" t="s">
        <v>2766</v>
      </c>
      <c r="P37" t="s">
        <v>2765</v>
      </c>
      <c r="Q37" t="s">
        <v>2766</v>
      </c>
      <c r="R37">
        <v>81.98</v>
      </c>
      <c r="T37">
        <v>81.98</v>
      </c>
      <c r="U37" t="s">
        <v>596</v>
      </c>
      <c r="V37">
        <v>6.5</v>
      </c>
      <c r="W37" t="s">
        <v>1277</v>
      </c>
      <c r="Y37">
        <v>9.39</v>
      </c>
      <c r="Z37">
        <v>9.2899999999999991</v>
      </c>
      <c r="AA37">
        <v>9.42</v>
      </c>
    </row>
    <row r="38" spans="1:27" x14ac:dyDescent="0.25">
      <c r="A38">
        <v>37</v>
      </c>
      <c r="B38" t="s">
        <v>96</v>
      </c>
      <c r="C38" t="s">
        <v>1474</v>
      </c>
      <c r="D38" t="s">
        <v>1480</v>
      </c>
      <c r="J38" t="s">
        <v>512</v>
      </c>
      <c r="K38" t="s">
        <v>2908</v>
      </c>
      <c r="L38" t="s">
        <v>288</v>
      </c>
      <c r="M38" t="s">
        <v>1477</v>
      </c>
      <c r="R38">
        <v>63.02</v>
      </c>
      <c r="T38">
        <v>63.02</v>
      </c>
      <c r="V38">
        <v>0</v>
      </c>
      <c r="Y38">
        <v>6.51</v>
      </c>
      <c r="Z38">
        <v>7.61</v>
      </c>
      <c r="AA38">
        <v>8.01</v>
      </c>
    </row>
    <row r="39" spans="1:27" x14ac:dyDescent="0.25">
      <c r="A39">
        <v>38</v>
      </c>
      <c r="B39" t="s">
        <v>95</v>
      </c>
      <c r="C39" t="s">
        <v>1032</v>
      </c>
      <c r="D39" t="s">
        <v>1039</v>
      </c>
      <c r="J39" t="s">
        <v>1035</v>
      </c>
      <c r="K39" t="s">
        <v>2908</v>
      </c>
      <c r="L39" t="s">
        <v>288</v>
      </c>
      <c r="M39" t="s">
        <v>1036</v>
      </c>
      <c r="N39" t="s">
        <v>2419</v>
      </c>
      <c r="O39" t="s">
        <v>2421</v>
      </c>
      <c r="P39" t="s">
        <v>2420</v>
      </c>
      <c r="Q39" t="s">
        <v>2421</v>
      </c>
      <c r="R39">
        <v>66.11</v>
      </c>
      <c r="T39">
        <v>65.28</v>
      </c>
      <c r="V39">
        <v>0</v>
      </c>
      <c r="Y39">
        <v>7.46</v>
      </c>
      <c r="Z39">
        <v>7.99</v>
      </c>
      <c r="AA39">
        <v>8.32</v>
      </c>
    </row>
    <row r="40" spans="1:27" x14ac:dyDescent="0.25">
      <c r="A40">
        <v>39</v>
      </c>
      <c r="B40" t="s">
        <v>94</v>
      </c>
      <c r="C40" t="s">
        <v>763</v>
      </c>
      <c r="D40" t="s">
        <v>770</v>
      </c>
      <c r="J40" t="s">
        <v>766</v>
      </c>
      <c r="K40" t="s">
        <v>2908</v>
      </c>
      <c r="L40" t="s">
        <v>288</v>
      </c>
      <c r="M40" t="s">
        <v>767</v>
      </c>
      <c r="R40">
        <v>69.510000000000005</v>
      </c>
      <c r="T40">
        <v>68.680000000000007</v>
      </c>
      <c r="V40">
        <v>0</v>
      </c>
      <c r="Y40">
        <v>8.4700000000000006</v>
      </c>
      <c r="Z40">
        <v>8.49</v>
      </c>
      <c r="AA40">
        <v>8.32</v>
      </c>
    </row>
    <row r="41" spans="1:27" x14ac:dyDescent="0.25">
      <c r="A41">
        <v>40</v>
      </c>
      <c r="B41" t="s">
        <v>93</v>
      </c>
      <c r="C41" t="s">
        <v>1341</v>
      </c>
      <c r="D41" t="s">
        <v>1348</v>
      </c>
      <c r="J41" t="s">
        <v>1344</v>
      </c>
      <c r="K41" t="s">
        <v>2908</v>
      </c>
      <c r="L41" t="s">
        <v>288</v>
      </c>
      <c r="M41" t="s">
        <v>1345</v>
      </c>
      <c r="N41" t="s">
        <v>2437</v>
      </c>
      <c r="O41" t="s">
        <v>2439</v>
      </c>
      <c r="P41" t="s">
        <v>2438</v>
      </c>
      <c r="Q41" t="s">
        <v>2439</v>
      </c>
      <c r="R41">
        <v>77.680000000000007</v>
      </c>
      <c r="T41">
        <v>76.08</v>
      </c>
      <c r="V41">
        <v>0</v>
      </c>
      <c r="Y41">
        <v>8.81</v>
      </c>
      <c r="Z41">
        <v>8.59</v>
      </c>
      <c r="AA41">
        <v>8.89</v>
      </c>
    </row>
    <row r="42" spans="1:27" x14ac:dyDescent="0.25">
      <c r="A42">
        <v>41</v>
      </c>
      <c r="B42" t="s">
        <v>92</v>
      </c>
      <c r="C42" t="s">
        <v>565</v>
      </c>
      <c r="D42" t="s">
        <v>572</v>
      </c>
      <c r="J42" t="s">
        <v>568</v>
      </c>
      <c r="K42" t="s">
        <v>2908</v>
      </c>
      <c r="L42" t="s">
        <v>288</v>
      </c>
      <c r="M42" t="s">
        <v>569</v>
      </c>
      <c r="R42">
        <v>76.91</v>
      </c>
      <c r="T42">
        <v>76.12</v>
      </c>
      <c r="V42">
        <v>0</v>
      </c>
      <c r="Y42">
        <v>8.64</v>
      </c>
      <c r="Z42">
        <v>8.57</v>
      </c>
      <c r="AA42">
        <v>8.59</v>
      </c>
    </row>
    <row r="43" spans="1:27" x14ac:dyDescent="0.25">
      <c r="A43">
        <v>42</v>
      </c>
      <c r="B43" t="s">
        <v>91</v>
      </c>
      <c r="C43" t="s">
        <v>813</v>
      </c>
      <c r="D43" t="s">
        <v>820</v>
      </c>
      <c r="J43" t="s">
        <v>816</v>
      </c>
      <c r="K43" t="s">
        <v>2908</v>
      </c>
      <c r="L43" t="s">
        <v>288</v>
      </c>
      <c r="M43" t="s">
        <v>817</v>
      </c>
      <c r="N43" t="s">
        <v>2554</v>
      </c>
      <c r="O43" t="s">
        <v>2556</v>
      </c>
      <c r="P43" t="s">
        <v>2555</v>
      </c>
      <c r="Q43" t="s">
        <v>2556</v>
      </c>
      <c r="R43">
        <v>67.23</v>
      </c>
      <c r="T43">
        <v>65.56</v>
      </c>
      <c r="V43">
        <v>0</v>
      </c>
      <c r="Y43">
        <v>7.39</v>
      </c>
      <c r="Z43">
        <v>8.67</v>
      </c>
      <c r="AA43">
        <v>9.0399999999999991</v>
      </c>
    </row>
    <row r="44" spans="1:27" x14ac:dyDescent="0.25">
      <c r="A44">
        <v>43</v>
      </c>
      <c r="B44" t="s">
        <v>90</v>
      </c>
      <c r="C44" t="s">
        <v>1361</v>
      </c>
      <c r="D44" t="s">
        <v>1368</v>
      </c>
      <c r="J44" t="s">
        <v>1364</v>
      </c>
      <c r="K44" t="s">
        <v>2908</v>
      </c>
      <c r="L44" t="s">
        <v>288</v>
      </c>
      <c r="M44" t="s">
        <v>1365</v>
      </c>
      <c r="R44">
        <v>75.569999999999993</v>
      </c>
      <c r="T44">
        <v>73.900000000000006</v>
      </c>
      <c r="V44">
        <v>0</v>
      </c>
      <c r="Y44">
        <v>8.42</v>
      </c>
      <c r="Z44">
        <v>8.42</v>
      </c>
      <c r="AA44">
        <v>8.7799999999999994</v>
      </c>
    </row>
    <row r="45" spans="1:27" x14ac:dyDescent="0.25">
      <c r="A45">
        <v>44</v>
      </c>
      <c r="B45" t="s">
        <v>89</v>
      </c>
      <c r="C45" t="s">
        <v>905</v>
      </c>
      <c r="D45" t="s">
        <v>911</v>
      </c>
      <c r="J45" t="s">
        <v>867</v>
      </c>
      <c r="K45" t="s">
        <v>2909</v>
      </c>
      <c r="L45" t="s">
        <v>288</v>
      </c>
      <c r="M45" t="s">
        <v>908</v>
      </c>
      <c r="N45" t="s">
        <v>2756</v>
      </c>
      <c r="O45" t="s">
        <v>2758</v>
      </c>
      <c r="P45" t="s">
        <v>2757</v>
      </c>
      <c r="Q45" t="s">
        <v>2758</v>
      </c>
      <c r="R45">
        <v>71.63</v>
      </c>
      <c r="T45">
        <v>69.959999999999994</v>
      </c>
      <c r="V45">
        <v>0</v>
      </c>
      <c r="Y45">
        <v>9.2100000000000009</v>
      </c>
      <c r="Z45">
        <v>8.99</v>
      </c>
      <c r="AA45">
        <v>8.82</v>
      </c>
    </row>
    <row r="46" spans="1:27" x14ac:dyDescent="0.25">
      <c r="A46">
        <v>45</v>
      </c>
      <c r="B46" t="s">
        <v>88</v>
      </c>
      <c r="C46" t="s">
        <v>2143</v>
      </c>
      <c r="D46" t="s">
        <v>2149</v>
      </c>
      <c r="J46" t="s">
        <v>2145</v>
      </c>
      <c r="K46" t="s">
        <v>2909</v>
      </c>
      <c r="L46" t="s">
        <v>288</v>
      </c>
      <c r="M46" t="s">
        <v>2146</v>
      </c>
      <c r="R46">
        <v>69.61</v>
      </c>
      <c r="T46">
        <v>67.94</v>
      </c>
      <c r="V46">
        <v>0</v>
      </c>
      <c r="Y46">
        <v>8.1300000000000008</v>
      </c>
      <c r="Z46">
        <v>8.82</v>
      </c>
      <c r="AA46">
        <v>9.1300000000000008</v>
      </c>
    </row>
    <row r="47" spans="1:27" x14ac:dyDescent="0.25">
      <c r="A47">
        <v>46</v>
      </c>
      <c r="B47" t="s">
        <v>86</v>
      </c>
      <c r="C47" t="s">
        <v>1103</v>
      </c>
      <c r="D47" t="s">
        <v>1110</v>
      </c>
      <c r="J47" t="s">
        <v>1106</v>
      </c>
      <c r="K47" t="s">
        <v>2908</v>
      </c>
      <c r="L47" t="s">
        <v>288</v>
      </c>
      <c r="M47" t="s">
        <v>1107</v>
      </c>
      <c r="N47" t="s">
        <v>2819</v>
      </c>
      <c r="O47" t="s">
        <v>2821</v>
      </c>
      <c r="P47" t="s">
        <v>2820</v>
      </c>
      <c r="Q47" t="s">
        <v>2821</v>
      </c>
      <c r="R47">
        <v>72.55</v>
      </c>
      <c r="T47">
        <v>71.72</v>
      </c>
      <c r="V47">
        <v>0</v>
      </c>
      <c r="Y47">
        <v>7.61</v>
      </c>
      <c r="Z47">
        <v>8.19</v>
      </c>
      <c r="AA47">
        <v>8.5399999999999991</v>
      </c>
    </row>
    <row r="48" spans="1:27" x14ac:dyDescent="0.25">
      <c r="A48">
        <v>47</v>
      </c>
      <c r="B48" t="s">
        <v>85</v>
      </c>
      <c r="C48" t="s">
        <v>335</v>
      </c>
      <c r="D48" t="s">
        <v>342</v>
      </c>
      <c r="J48" t="s">
        <v>338</v>
      </c>
      <c r="K48" t="s">
        <v>2908</v>
      </c>
      <c r="L48" t="s">
        <v>288</v>
      </c>
      <c r="M48" t="s">
        <v>339</v>
      </c>
      <c r="N48" t="s">
        <v>2802</v>
      </c>
      <c r="O48" t="s">
        <v>2804</v>
      </c>
      <c r="P48" t="s">
        <v>2803</v>
      </c>
      <c r="Q48" t="s">
        <v>2804</v>
      </c>
      <c r="R48">
        <v>75.349999999999994</v>
      </c>
      <c r="T48">
        <v>73.680000000000007</v>
      </c>
      <c r="V48">
        <v>0</v>
      </c>
      <c r="Y48">
        <v>8.27</v>
      </c>
      <c r="Z48">
        <v>8.73</v>
      </c>
      <c r="AA48">
        <v>9.27</v>
      </c>
    </row>
    <row r="49" spans="1:27" x14ac:dyDescent="0.25">
      <c r="A49">
        <v>48</v>
      </c>
      <c r="B49" t="s">
        <v>84</v>
      </c>
      <c r="C49" t="s">
        <v>1680</v>
      </c>
      <c r="D49" t="s">
        <v>1687</v>
      </c>
      <c r="J49" t="s">
        <v>1683</v>
      </c>
      <c r="K49" t="s">
        <v>2908</v>
      </c>
      <c r="L49" t="s">
        <v>288</v>
      </c>
      <c r="M49" t="s">
        <v>1684</v>
      </c>
      <c r="N49" t="s">
        <v>2828</v>
      </c>
      <c r="O49" t="s">
        <v>2830</v>
      </c>
      <c r="P49" t="s">
        <v>2829</v>
      </c>
      <c r="Q49" t="s">
        <v>2830</v>
      </c>
      <c r="R49">
        <v>67.37</v>
      </c>
      <c r="T49">
        <v>65.7</v>
      </c>
      <c r="V49">
        <v>0</v>
      </c>
      <c r="Y49">
        <v>8.18</v>
      </c>
      <c r="Z49">
        <v>8.09</v>
      </c>
      <c r="AA49">
        <v>8.5299999999999994</v>
      </c>
    </row>
    <row r="50" spans="1:27" x14ac:dyDescent="0.25">
      <c r="A50">
        <v>49</v>
      </c>
      <c r="B50" t="s">
        <v>83</v>
      </c>
      <c r="C50" t="s">
        <v>1524</v>
      </c>
      <c r="D50" t="s">
        <v>1531</v>
      </c>
      <c r="J50" t="s">
        <v>1527</v>
      </c>
      <c r="K50" t="s">
        <v>2908</v>
      </c>
      <c r="L50" t="s">
        <v>288</v>
      </c>
      <c r="M50" t="s">
        <v>1528</v>
      </c>
      <c r="R50">
        <v>65.31</v>
      </c>
      <c r="T50">
        <v>63.64</v>
      </c>
      <c r="V50">
        <v>0</v>
      </c>
      <c r="Y50">
        <v>7.9</v>
      </c>
      <c r="Z50">
        <v>8.57</v>
      </c>
      <c r="AA50">
        <v>8.98</v>
      </c>
    </row>
    <row r="51" spans="1:27" x14ac:dyDescent="0.25">
      <c r="A51">
        <v>50</v>
      </c>
      <c r="B51" t="s">
        <v>82</v>
      </c>
      <c r="C51" t="s">
        <v>1390</v>
      </c>
      <c r="D51" t="s">
        <v>1397</v>
      </c>
      <c r="J51" t="s">
        <v>1393</v>
      </c>
      <c r="K51" t="s">
        <v>2909</v>
      </c>
      <c r="L51" t="s">
        <v>288</v>
      </c>
      <c r="M51" t="s">
        <v>1394</v>
      </c>
      <c r="N51" t="s">
        <v>2716</v>
      </c>
      <c r="O51" t="s">
        <v>2718</v>
      </c>
      <c r="P51" t="s">
        <v>2717</v>
      </c>
      <c r="Q51" t="s">
        <v>2718</v>
      </c>
      <c r="R51">
        <v>77.38</v>
      </c>
      <c r="T51">
        <v>75.760000000000005</v>
      </c>
      <c r="V51">
        <v>0</v>
      </c>
      <c r="Y51">
        <v>9.2899999999999991</v>
      </c>
      <c r="Z51">
        <v>9.14</v>
      </c>
      <c r="AA51">
        <v>9.31</v>
      </c>
    </row>
    <row r="52" spans="1:27" x14ac:dyDescent="0.25">
      <c r="A52">
        <v>51</v>
      </c>
      <c r="B52" t="s">
        <v>81</v>
      </c>
      <c r="C52" t="s">
        <v>674</v>
      </c>
      <c r="D52" t="s">
        <v>681</v>
      </c>
      <c r="J52" t="s">
        <v>677</v>
      </c>
      <c r="K52" t="s">
        <v>2909</v>
      </c>
      <c r="L52" t="s">
        <v>288</v>
      </c>
      <c r="M52" t="s">
        <v>678</v>
      </c>
      <c r="N52" t="s">
        <v>2521</v>
      </c>
      <c r="O52" t="s">
        <v>2522</v>
      </c>
      <c r="P52" t="s">
        <v>678</v>
      </c>
      <c r="Q52" t="s">
        <v>2522</v>
      </c>
      <c r="R52">
        <v>70.27</v>
      </c>
      <c r="T52">
        <v>68.599999999999994</v>
      </c>
      <c r="V52">
        <v>0</v>
      </c>
      <c r="Y52">
        <v>7.44</v>
      </c>
      <c r="Z52">
        <v>7.87</v>
      </c>
      <c r="AA52">
        <v>8.16</v>
      </c>
    </row>
    <row r="53" spans="1:27" x14ac:dyDescent="0.25">
      <c r="A53">
        <v>52</v>
      </c>
      <c r="B53" t="s">
        <v>80</v>
      </c>
      <c r="C53" t="s">
        <v>1183</v>
      </c>
      <c r="D53" t="s">
        <v>1190</v>
      </c>
      <c r="J53" t="s">
        <v>1186</v>
      </c>
      <c r="K53" t="s">
        <v>2908</v>
      </c>
      <c r="L53" t="s">
        <v>288</v>
      </c>
      <c r="M53" t="s">
        <v>1187</v>
      </c>
      <c r="N53" t="s">
        <v>2628</v>
      </c>
      <c r="O53" t="s">
        <v>2630</v>
      </c>
      <c r="P53" t="s">
        <v>2629</v>
      </c>
      <c r="Q53" t="s">
        <v>2630</v>
      </c>
      <c r="R53">
        <v>67.89</v>
      </c>
      <c r="T53">
        <v>66.22</v>
      </c>
      <c r="V53">
        <v>0</v>
      </c>
      <c r="Y53">
        <v>7.91</v>
      </c>
      <c r="Z53">
        <v>8.06</v>
      </c>
      <c r="AA53">
        <v>8.84</v>
      </c>
    </row>
    <row r="54" spans="1:27" x14ac:dyDescent="0.25">
      <c r="A54">
        <v>53</v>
      </c>
      <c r="B54" t="s">
        <v>79</v>
      </c>
      <c r="C54" t="s">
        <v>428</v>
      </c>
      <c r="D54" t="s">
        <v>435</v>
      </c>
      <c r="J54" t="s">
        <v>431</v>
      </c>
      <c r="K54" t="s">
        <v>2908</v>
      </c>
      <c r="L54" t="s">
        <v>288</v>
      </c>
      <c r="M54" t="s">
        <v>432</v>
      </c>
      <c r="N54" t="s">
        <v>2388</v>
      </c>
      <c r="O54" t="s">
        <v>2390</v>
      </c>
      <c r="P54" t="s">
        <v>2389</v>
      </c>
      <c r="Q54" t="s">
        <v>2390</v>
      </c>
      <c r="R54">
        <v>77.849999999999994</v>
      </c>
      <c r="T54">
        <v>76.260000000000005</v>
      </c>
      <c r="V54">
        <v>0</v>
      </c>
      <c r="Y54">
        <v>9.07</v>
      </c>
      <c r="Z54">
        <v>9.32</v>
      </c>
      <c r="AA54">
        <v>9.5399999999999991</v>
      </c>
    </row>
    <row r="55" spans="1:27" x14ac:dyDescent="0.25">
      <c r="A55">
        <v>54</v>
      </c>
      <c r="B55" t="s">
        <v>76</v>
      </c>
      <c r="C55" t="s">
        <v>1463</v>
      </c>
      <c r="D55" t="s">
        <v>1470</v>
      </c>
      <c r="J55" t="s">
        <v>1466</v>
      </c>
      <c r="K55" t="s">
        <v>2908</v>
      </c>
      <c r="L55" t="s">
        <v>288</v>
      </c>
      <c r="M55" t="s">
        <v>1467</v>
      </c>
      <c r="R55">
        <v>71.81</v>
      </c>
      <c r="T55">
        <v>70.14</v>
      </c>
      <c r="V55">
        <v>0</v>
      </c>
      <c r="Y55">
        <v>7.41</v>
      </c>
      <c r="Z55">
        <v>8.59</v>
      </c>
      <c r="AA55">
        <v>9.02</v>
      </c>
    </row>
    <row r="56" spans="1:27" x14ac:dyDescent="0.25">
      <c r="A56">
        <v>55</v>
      </c>
      <c r="B56" t="s">
        <v>74</v>
      </c>
      <c r="C56" t="s">
        <v>469</v>
      </c>
      <c r="D56" t="s">
        <v>479</v>
      </c>
      <c r="J56" t="s">
        <v>472</v>
      </c>
      <c r="K56" t="s">
        <v>2908</v>
      </c>
      <c r="L56" t="s">
        <v>478</v>
      </c>
      <c r="M56" t="s">
        <v>473</v>
      </c>
      <c r="N56" t="s">
        <v>2639</v>
      </c>
      <c r="O56" t="s">
        <v>2642</v>
      </c>
      <c r="P56" t="s">
        <v>2641</v>
      </c>
      <c r="Q56" t="s">
        <v>2642</v>
      </c>
      <c r="R56">
        <v>87.51</v>
      </c>
      <c r="T56">
        <v>80.28</v>
      </c>
      <c r="V56">
        <v>0</v>
      </c>
      <c r="Y56">
        <v>8.74</v>
      </c>
      <c r="Z56">
        <v>9.02</v>
      </c>
      <c r="AA56">
        <v>9.11</v>
      </c>
    </row>
    <row r="57" spans="1:27" x14ac:dyDescent="0.25">
      <c r="A57">
        <v>56</v>
      </c>
      <c r="B57" t="s">
        <v>73</v>
      </c>
      <c r="C57" t="s">
        <v>614</v>
      </c>
      <c r="D57" t="s">
        <v>621</v>
      </c>
      <c r="J57" t="s">
        <v>617</v>
      </c>
      <c r="K57" t="s">
        <v>2908</v>
      </c>
      <c r="L57" t="s">
        <v>288</v>
      </c>
      <c r="M57" t="s">
        <v>618</v>
      </c>
      <c r="N57" t="s">
        <v>2458</v>
      </c>
      <c r="O57" t="s">
        <v>2461</v>
      </c>
      <c r="P57" t="s">
        <v>2460</v>
      </c>
      <c r="Q57" t="s">
        <v>2461</v>
      </c>
      <c r="R57">
        <v>70.3</v>
      </c>
      <c r="T57">
        <v>67.8</v>
      </c>
      <c r="V57">
        <v>0</v>
      </c>
      <c r="Y57">
        <v>8.44</v>
      </c>
      <c r="Z57">
        <v>8.39</v>
      </c>
      <c r="AA57">
        <v>8.7200000000000006</v>
      </c>
    </row>
    <row r="58" spans="1:27" x14ac:dyDescent="0.25">
      <c r="A58">
        <v>57</v>
      </c>
      <c r="B58" t="s">
        <v>71</v>
      </c>
      <c r="C58" t="s">
        <v>2220</v>
      </c>
      <c r="D58" t="s">
        <v>2226</v>
      </c>
      <c r="J58" t="s">
        <v>1775</v>
      </c>
      <c r="K58" t="s">
        <v>2909</v>
      </c>
      <c r="L58" t="s">
        <v>288</v>
      </c>
      <c r="M58" t="s">
        <v>2223</v>
      </c>
      <c r="N58" t="s">
        <v>2866</v>
      </c>
      <c r="O58" t="s">
        <v>2868</v>
      </c>
      <c r="P58" t="s">
        <v>2867</v>
      </c>
      <c r="Q58" t="s">
        <v>2868</v>
      </c>
      <c r="R58">
        <v>80.66</v>
      </c>
      <c r="T58">
        <v>80</v>
      </c>
      <c r="V58">
        <v>0</v>
      </c>
      <c r="Y58">
        <v>8.61</v>
      </c>
      <c r="Z58">
        <v>8.6</v>
      </c>
      <c r="AA58">
        <v>8.4</v>
      </c>
    </row>
    <row r="59" spans="1:27" x14ac:dyDescent="0.25">
      <c r="A59">
        <v>58</v>
      </c>
      <c r="B59" t="s">
        <v>70</v>
      </c>
      <c r="C59" t="s">
        <v>1538</v>
      </c>
      <c r="D59" t="s">
        <v>1545</v>
      </c>
      <c r="J59" t="s">
        <v>1541</v>
      </c>
      <c r="K59" t="s">
        <v>2909</v>
      </c>
      <c r="L59" t="s">
        <v>288</v>
      </c>
      <c r="M59" t="s">
        <v>1542</v>
      </c>
      <c r="N59" t="s">
        <v>2370</v>
      </c>
      <c r="O59" t="s">
        <v>2372</v>
      </c>
      <c r="P59" t="s">
        <v>2371</v>
      </c>
      <c r="Q59" t="s">
        <v>2372</v>
      </c>
      <c r="R59">
        <v>65.77</v>
      </c>
      <c r="T59">
        <v>64.099999999999994</v>
      </c>
      <c r="V59">
        <v>0</v>
      </c>
      <c r="Y59">
        <v>7.93</v>
      </c>
      <c r="Z59">
        <v>7.99</v>
      </c>
      <c r="AA59">
        <v>8.33</v>
      </c>
    </row>
    <row r="60" spans="1:27" x14ac:dyDescent="0.25">
      <c r="A60">
        <v>59</v>
      </c>
      <c r="B60" t="s">
        <v>68</v>
      </c>
      <c r="C60" t="s">
        <v>864</v>
      </c>
      <c r="D60" t="s">
        <v>871</v>
      </c>
      <c r="J60" t="s">
        <v>867</v>
      </c>
      <c r="K60" t="s">
        <v>2909</v>
      </c>
      <c r="L60" t="s">
        <v>288</v>
      </c>
      <c r="M60" t="s">
        <v>868</v>
      </c>
      <c r="N60" t="s">
        <v>2632</v>
      </c>
      <c r="O60" t="s">
        <v>2633</v>
      </c>
      <c r="P60" t="s">
        <v>868</v>
      </c>
      <c r="Q60" t="s">
        <v>2633</v>
      </c>
      <c r="R60">
        <v>78.34</v>
      </c>
      <c r="T60">
        <v>77.599999999999994</v>
      </c>
      <c r="V60">
        <v>0</v>
      </c>
      <c r="Y60">
        <v>7.98</v>
      </c>
      <c r="Z60">
        <v>8.32</v>
      </c>
      <c r="AA60">
        <v>8.56</v>
      </c>
    </row>
    <row r="61" spans="1:27" x14ac:dyDescent="0.25">
      <c r="A61">
        <v>60</v>
      </c>
      <c r="B61" t="s">
        <v>67</v>
      </c>
      <c r="C61" t="s">
        <v>1310</v>
      </c>
      <c r="D61" t="s">
        <v>1317</v>
      </c>
      <c r="J61" t="s">
        <v>1313</v>
      </c>
      <c r="K61" t="s">
        <v>2909</v>
      </c>
      <c r="L61" t="s">
        <v>288</v>
      </c>
      <c r="M61" t="s">
        <v>1314</v>
      </c>
      <c r="R61">
        <v>80.12</v>
      </c>
      <c r="T61">
        <v>79.44</v>
      </c>
      <c r="V61">
        <v>0</v>
      </c>
      <c r="Y61">
        <v>8.6999999999999993</v>
      </c>
      <c r="Z61">
        <v>8.6</v>
      </c>
      <c r="AA61">
        <v>8.43</v>
      </c>
    </row>
    <row r="62" spans="1:27" x14ac:dyDescent="0.25">
      <c r="A62">
        <v>61</v>
      </c>
      <c r="B62" t="s">
        <v>66</v>
      </c>
      <c r="C62" t="s">
        <v>1427</v>
      </c>
      <c r="D62" t="s">
        <v>1434</v>
      </c>
      <c r="J62" t="s">
        <v>1430</v>
      </c>
      <c r="K62" t="s">
        <v>2909</v>
      </c>
      <c r="L62" t="s">
        <v>288</v>
      </c>
      <c r="M62" t="s">
        <v>1431</v>
      </c>
      <c r="N62" t="s">
        <v>2815</v>
      </c>
      <c r="O62" t="s">
        <v>2817</v>
      </c>
      <c r="P62" t="s">
        <v>2816</v>
      </c>
      <c r="Q62" t="s">
        <v>2817</v>
      </c>
      <c r="R62">
        <v>76.16</v>
      </c>
      <c r="T62">
        <v>76.16</v>
      </c>
      <c r="V62">
        <v>0</v>
      </c>
      <c r="Y62">
        <v>6.87</v>
      </c>
      <c r="Z62">
        <v>7.21</v>
      </c>
      <c r="AA62">
        <v>7.78</v>
      </c>
    </row>
    <row r="63" spans="1:27" x14ac:dyDescent="0.25">
      <c r="A63">
        <v>62</v>
      </c>
      <c r="B63" t="s">
        <v>65</v>
      </c>
      <c r="C63" t="s">
        <v>1124</v>
      </c>
      <c r="D63" t="s">
        <v>1130</v>
      </c>
      <c r="J63" t="s">
        <v>338</v>
      </c>
      <c r="K63" t="s">
        <v>2909</v>
      </c>
      <c r="L63" t="s">
        <v>288</v>
      </c>
      <c r="M63" t="s">
        <v>1127</v>
      </c>
      <c r="N63" t="s">
        <v>2662</v>
      </c>
      <c r="O63" t="s">
        <v>2664</v>
      </c>
      <c r="P63" t="s">
        <v>2663</v>
      </c>
      <c r="Q63" t="s">
        <v>2664</v>
      </c>
      <c r="R63">
        <v>73.86</v>
      </c>
      <c r="T63">
        <v>71.36</v>
      </c>
      <c r="V63">
        <v>0</v>
      </c>
      <c r="Y63">
        <v>8.17</v>
      </c>
      <c r="Z63">
        <v>7.87</v>
      </c>
      <c r="AA63">
        <v>8.61</v>
      </c>
    </row>
    <row r="64" spans="1:27" x14ac:dyDescent="0.25">
      <c r="A64">
        <v>63</v>
      </c>
      <c r="B64" t="s">
        <v>64</v>
      </c>
      <c r="C64" t="s">
        <v>1565</v>
      </c>
      <c r="D64" t="s">
        <v>280</v>
      </c>
      <c r="J64" t="s">
        <v>1568</v>
      </c>
      <c r="K64" t="s">
        <v>2908</v>
      </c>
      <c r="L64" t="s">
        <v>288</v>
      </c>
      <c r="M64" t="s">
        <v>1569</v>
      </c>
      <c r="R64">
        <v>70.430000000000007</v>
      </c>
      <c r="T64">
        <v>69.599999999999994</v>
      </c>
      <c r="V64">
        <v>0</v>
      </c>
      <c r="Y64">
        <v>8.43</v>
      </c>
      <c r="Z64">
        <v>8.4600000000000009</v>
      </c>
      <c r="AA64">
        <v>8.0299999999999994</v>
      </c>
    </row>
    <row r="65" spans="1:27" x14ac:dyDescent="0.25">
      <c r="A65">
        <v>64</v>
      </c>
      <c r="B65" t="s">
        <v>63</v>
      </c>
      <c r="C65" t="s">
        <v>1726</v>
      </c>
      <c r="D65" t="s">
        <v>1732</v>
      </c>
      <c r="J65" t="s">
        <v>1466</v>
      </c>
      <c r="K65" t="s">
        <v>2908</v>
      </c>
      <c r="L65" t="s">
        <v>288</v>
      </c>
      <c r="M65" t="s">
        <v>1729</v>
      </c>
      <c r="R65">
        <v>72.63</v>
      </c>
      <c r="T65">
        <v>71.8</v>
      </c>
      <c r="V65">
        <v>0</v>
      </c>
      <c r="Y65">
        <v>7.81</v>
      </c>
      <c r="Z65">
        <v>7.57</v>
      </c>
      <c r="AA65">
        <v>7.16</v>
      </c>
    </row>
    <row r="66" spans="1:27" x14ac:dyDescent="0.25">
      <c r="A66">
        <v>65</v>
      </c>
      <c r="B66" t="s">
        <v>62</v>
      </c>
      <c r="C66" t="s">
        <v>798</v>
      </c>
      <c r="D66" t="s">
        <v>805</v>
      </c>
      <c r="J66" t="s">
        <v>801</v>
      </c>
      <c r="K66" t="s">
        <v>2908</v>
      </c>
      <c r="L66" t="s">
        <v>288</v>
      </c>
      <c r="M66" t="s">
        <v>802</v>
      </c>
      <c r="N66" t="s">
        <v>2685</v>
      </c>
      <c r="O66" t="s">
        <v>2687</v>
      </c>
      <c r="P66" t="s">
        <v>2686</v>
      </c>
      <c r="Q66" t="s">
        <v>2687</v>
      </c>
      <c r="R66">
        <v>77.510000000000005</v>
      </c>
      <c r="T66">
        <v>75.900000000000006</v>
      </c>
      <c r="V66">
        <v>0</v>
      </c>
      <c r="Y66">
        <v>8.17</v>
      </c>
      <c r="Z66">
        <v>8.98</v>
      </c>
      <c r="AA66">
        <v>9.1199999999999992</v>
      </c>
    </row>
    <row r="67" spans="1:27" x14ac:dyDescent="0.25">
      <c r="A67">
        <v>66</v>
      </c>
      <c r="B67" t="s">
        <v>61</v>
      </c>
      <c r="C67" t="s">
        <v>992</v>
      </c>
      <c r="D67" t="s">
        <v>999</v>
      </c>
      <c r="J67" t="s">
        <v>995</v>
      </c>
      <c r="K67" t="s">
        <v>2908</v>
      </c>
      <c r="L67" t="s">
        <v>288</v>
      </c>
      <c r="M67" t="s">
        <v>996</v>
      </c>
      <c r="N67" t="s">
        <v>2671</v>
      </c>
      <c r="O67" t="s">
        <v>2673</v>
      </c>
      <c r="P67" t="s">
        <v>2672</v>
      </c>
      <c r="Q67" t="s">
        <v>2673</v>
      </c>
      <c r="R67">
        <v>76</v>
      </c>
      <c r="T67">
        <v>75.180000000000007</v>
      </c>
      <c r="V67">
        <v>0</v>
      </c>
      <c r="Y67">
        <v>8.4700000000000006</v>
      </c>
      <c r="Z67">
        <v>8.8699999999999992</v>
      </c>
      <c r="AA67">
        <v>9.01</v>
      </c>
    </row>
    <row r="68" spans="1:27" x14ac:dyDescent="0.25">
      <c r="A68">
        <v>67</v>
      </c>
      <c r="B68" t="s">
        <v>60</v>
      </c>
      <c r="C68" t="s">
        <v>410</v>
      </c>
      <c r="D68" t="s">
        <v>417</v>
      </c>
      <c r="J68" t="s">
        <v>413</v>
      </c>
      <c r="K68" t="s">
        <v>2908</v>
      </c>
      <c r="L68" t="s">
        <v>288</v>
      </c>
      <c r="M68" t="s">
        <v>414</v>
      </c>
      <c r="N68" t="s">
        <v>2704</v>
      </c>
      <c r="O68" t="s">
        <v>2706</v>
      </c>
      <c r="P68" t="s">
        <v>2705</v>
      </c>
      <c r="Q68" t="s">
        <v>2706</v>
      </c>
      <c r="R68">
        <v>74.09</v>
      </c>
      <c r="T68">
        <v>72.42</v>
      </c>
      <c r="V68">
        <v>0</v>
      </c>
      <c r="Y68">
        <v>8.36</v>
      </c>
      <c r="Z68">
        <v>8.65</v>
      </c>
      <c r="AA68">
        <v>8.8000000000000007</v>
      </c>
    </row>
    <row r="69" spans="1:27" x14ac:dyDescent="0.25">
      <c r="A69">
        <v>68</v>
      </c>
      <c r="B69" t="s">
        <v>59</v>
      </c>
      <c r="C69" t="s">
        <v>896</v>
      </c>
      <c r="D69" t="s">
        <v>903</v>
      </c>
      <c r="J69" t="s">
        <v>899</v>
      </c>
      <c r="K69" t="s">
        <v>2908</v>
      </c>
      <c r="L69" t="s">
        <v>288</v>
      </c>
      <c r="M69" t="s">
        <v>900</v>
      </c>
      <c r="N69" t="s">
        <v>2759</v>
      </c>
      <c r="O69" t="s">
        <v>2762</v>
      </c>
      <c r="P69" t="s">
        <v>2761</v>
      </c>
      <c r="Q69" t="s">
        <v>2762</v>
      </c>
      <c r="R69">
        <v>80.66</v>
      </c>
      <c r="T69">
        <v>80</v>
      </c>
      <c r="V69">
        <v>0</v>
      </c>
      <c r="Y69">
        <v>8.81</v>
      </c>
      <c r="Z69">
        <v>8.73</v>
      </c>
      <c r="AA69">
        <v>8.74</v>
      </c>
    </row>
    <row r="70" spans="1:27" x14ac:dyDescent="0.25">
      <c r="A70">
        <v>69</v>
      </c>
      <c r="B70" t="s">
        <v>57</v>
      </c>
      <c r="C70" t="s">
        <v>1499</v>
      </c>
      <c r="D70" t="s">
        <v>1506</v>
      </c>
      <c r="J70" t="s">
        <v>1502</v>
      </c>
      <c r="K70" t="s">
        <v>2908</v>
      </c>
      <c r="L70" t="s">
        <v>288</v>
      </c>
      <c r="M70" t="s">
        <v>1503</v>
      </c>
      <c r="R70">
        <v>66.510000000000005</v>
      </c>
      <c r="T70">
        <v>64.84</v>
      </c>
      <c r="V70">
        <v>0</v>
      </c>
      <c r="Y70">
        <v>7.58</v>
      </c>
      <c r="Z70">
        <v>7.88</v>
      </c>
      <c r="AA70">
        <v>8.5299999999999994</v>
      </c>
    </row>
    <row r="71" spans="1:27" x14ac:dyDescent="0.25">
      <c r="A71">
        <v>70</v>
      </c>
      <c r="B71" t="s">
        <v>54</v>
      </c>
      <c r="C71" t="s">
        <v>1485</v>
      </c>
      <c r="D71" t="s">
        <v>1492</v>
      </c>
      <c r="J71" t="s">
        <v>1488</v>
      </c>
      <c r="K71" t="s">
        <v>2909</v>
      </c>
      <c r="L71" t="s">
        <v>288</v>
      </c>
      <c r="M71" t="s">
        <v>1489</v>
      </c>
      <c r="N71" t="s">
        <v>2713</v>
      </c>
      <c r="O71" t="s">
        <v>2714</v>
      </c>
      <c r="P71" t="s">
        <v>1489</v>
      </c>
      <c r="Q71" t="s">
        <v>2714</v>
      </c>
      <c r="R71">
        <v>73.05</v>
      </c>
      <c r="T71">
        <v>71.38</v>
      </c>
      <c r="V71">
        <v>0</v>
      </c>
      <c r="Y71">
        <v>8.01</v>
      </c>
      <c r="Z71">
        <v>7.89</v>
      </c>
      <c r="AA71">
        <v>8.5</v>
      </c>
    </row>
    <row r="72" spans="1:27" x14ac:dyDescent="0.25">
      <c r="A72">
        <v>71</v>
      </c>
      <c r="B72" t="s">
        <v>53</v>
      </c>
      <c r="C72" t="s">
        <v>1708</v>
      </c>
      <c r="D72" t="s">
        <v>1714</v>
      </c>
      <c r="J72" t="s">
        <v>1292</v>
      </c>
      <c r="K72" t="s">
        <v>2909</v>
      </c>
      <c r="L72" t="s">
        <v>288</v>
      </c>
      <c r="M72" t="s">
        <v>1711</v>
      </c>
      <c r="N72" t="s">
        <v>2784</v>
      </c>
      <c r="O72" t="s">
        <v>2786</v>
      </c>
      <c r="P72" t="s">
        <v>2785</v>
      </c>
      <c r="Q72" t="s">
        <v>2786</v>
      </c>
      <c r="R72">
        <v>68.25</v>
      </c>
      <c r="T72">
        <v>66.58</v>
      </c>
      <c r="V72">
        <v>0</v>
      </c>
      <c r="Y72">
        <v>8.0299999999999994</v>
      </c>
      <c r="Z72">
        <v>7.67</v>
      </c>
      <c r="AA72">
        <v>7.82</v>
      </c>
    </row>
    <row r="73" spans="1:27" x14ac:dyDescent="0.25">
      <c r="A73">
        <v>72</v>
      </c>
      <c r="B73" t="s">
        <v>52</v>
      </c>
      <c r="C73" t="s">
        <v>1669</v>
      </c>
      <c r="D73" t="s">
        <v>1675</v>
      </c>
      <c r="J73" t="s">
        <v>334</v>
      </c>
      <c r="K73" t="s">
        <v>2908</v>
      </c>
      <c r="L73" t="s">
        <v>288</v>
      </c>
      <c r="M73" t="s">
        <v>1672</v>
      </c>
      <c r="N73" t="s">
        <v>2709</v>
      </c>
      <c r="O73" t="s">
        <v>2711</v>
      </c>
      <c r="P73" t="s">
        <v>2710</v>
      </c>
      <c r="Q73" t="s">
        <v>2711</v>
      </c>
      <c r="R73">
        <v>66.709999999999994</v>
      </c>
      <c r="T73">
        <v>65.040000000000006</v>
      </c>
      <c r="V73">
        <v>0</v>
      </c>
      <c r="Y73">
        <v>8.57</v>
      </c>
      <c r="Z73">
        <v>8.7899999999999991</v>
      </c>
      <c r="AA73">
        <v>8.81</v>
      </c>
    </row>
    <row r="74" spans="1:27" x14ac:dyDescent="0.25">
      <c r="A74">
        <v>73</v>
      </c>
      <c r="B74" t="s">
        <v>51</v>
      </c>
      <c r="C74" t="s">
        <v>509</v>
      </c>
      <c r="D74" t="s">
        <v>517</v>
      </c>
      <c r="J74" t="s">
        <v>512</v>
      </c>
      <c r="K74" t="s">
        <v>2908</v>
      </c>
      <c r="L74" t="s">
        <v>288</v>
      </c>
      <c r="M74" t="s">
        <v>513</v>
      </c>
      <c r="N74" t="s">
        <v>2558</v>
      </c>
      <c r="O74" t="s">
        <v>2560</v>
      </c>
      <c r="P74" t="s">
        <v>2559</v>
      </c>
      <c r="Q74" t="s">
        <v>2560</v>
      </c>
      <c r="R74">
        <v>69.75</v>
      </c>
      <c r="T74">
        <v>68.92</v>
      </c>
      <c r="V74">
        <v>0</v>
      </c>
      <c r="Y74">
        <v>8.3800000000000008</v>
      </c>
      <c r="Z74">
        <v>8.44</v>
      </c>
      <c r="AA74">
        <v>8.51</v>
      </c>
    </row>
    <row r="75" spans="1:27" x14ac:dyDescent="0.25">
      <c r="A75">
        <v>74</v>
      </c>
      <c r="B75" t="s">
        <v>50</v>
      </c>
      <c r="C75" t="s">
        <v>1588</v>
      </c>
      <c r="D75" t="s">
        <v>1595</v>
      </c>
      <c r="J75" t="s">
        <v>1591</v>
      </c>
      <c r="K75" t="s">
        <v>2908</v>
      </c>
      <c r="L75" t="s">
        <v>288</v>
      </c>
      <c r="M75" t="s">
        <v>1592</v>
      </c>
      <c r="N75" t="s">
        <v>2534</v>
      </c>
      <c r="O75" t="s">
        <v>2536</v>
      </c>
      <c r="P75" t="s">
        <v>2535</v>
      </c>
      <c r="Q75" t="s">
        <v>2536</v>
      </c>
      <c r="R75">
        <v>72.13</v>
      </c>
      <c r="T75">
        <v>71.3</v>
      </c>
      <c r="V75">
        <v>0</v>
      </c>
      <c r="Y75">
        <v>8.23</v>
      </c>
      <c r="Z75">
        <v>8.51</v>
      </c>
      <c r="AA75">
        <v>8.61</v>
      </c>
    </row>
    <row r="76" spans="1:27" x14ac:dyDescent="0.25">
      <c r="A76">
        <v>75</v>
      </c>
      <c r="B76" t="s">
        <v>49</v>
      </c>
      <c r="C76" t="s">
        <v>1869</v>
      </c>
      <c r="D76" t="s">
        <v>1876</v>
      </c>
      <c r="J76" t="s">
        <v>1872</v>
      </c>
      <c r="K76" t="s">
        <v>2908</v>
      </c>
      <c r="L76" t="s">
        <v>288</v>
      </c>
      <c r="M76" t="s">
        <v>1873</v>
      </c>
      <c r="N76" t="s">
        <v>2837</v>
      </c>
      <c r="O76" t="s">
        <v>2839</v>
      </c>
      <c r="P76" t="s">
        <v>2838</v>
      </c>
      <c r="Q76" t="s">
        <v>2839</v>
      </c>
      <c r="R76">
        <v>72.31</v>
      </c>
      <c r="T76">
        <v>70.64</v>
      </c>
      <c r="V76">
        <v>0</v>
      </c>
      <c r="Y76">
        <v>7.9</v>
      </c>
      <c r="Z76">
        <v>8.6999999999999993</v>
      </c>
      <c r="AA76">
        <v>8.52</v>
      </c>
    </row>
    <row r="77" spans="1:27" x14ac:dyDescent="0.25">
      <c r="A77">
        <v>76</v>
      </c>
      <c r="B77" t="s">
        <v>48</v>
      </c>
      <c r="C77" t="s">
        <v>449</v>
      </c>
      <c r="D77" t="s">
        <v>456</v>
      </c>
      <c r="J77" t="s">
        <v>452</v>
      </c>
      <c r="K77" t="s">
        <v>2909</v>
      </c>
      <c r="L77" t="s">
        <v>288</v>
      </c>
      <c r="M77" t="s">
        <v>453</v>
      </c>
      <c r="N77" t="s">
        <v>2517</v>
      </c>
      <c r="O77" t="s">
        <v>2519</v>
      </c>
      <c r="P77" t="s">
        <v>2518</v>
      </c>
      <c r="Q77" t="s">
        <v>2519</v>
      </c>
      <c r="R77">
        <v>73.569999999999993</v>
      </c>
      <c r="T77">
        <v>71.900000000000006</v>
      </c>
      <c r="V77">
        <v>0</v>
      </c>
      <c r="Y77">
        <v>8.44</v>
      </c>
      <c r="Z77">
        <v>8.6300000000000008</v>
      </c>
      <c r="AA77">
        <v>9.24</v>
      </c>
    </row>
    <row r="78" spans="1:27" x14ac:dyDescent="0.25">
      <c r="A78">
        <v>77</v>
      </c>
      <c r="B78" t="s">
        <v>47</v>
      </c>
      <c r="C78" t="s">
        <v>1910</v>
      </c>
      <c r="D78" t="s">
        <v>1917</v>
      </c>
      <c r="J78" t="s">
        <v>1913</v>
      </c>
      <c r="K78" t="s">
        <v>2908</v>
      </c>
      <c r="L78" t="s">
        <v>288</v>
      </c>
      <c r="M78" t="s">
        <v>1914</v>
      </c>
      <c r="N78" t="s">
        <v>2881</v>
      </c>
      <c r="O78" t="s">
        <v>2884</v>
      </c>
      <c r="P78" t="s">
        <v>2883</v>
      </c>
      <c r="Q78" t="s">
        <v>2884</v>
      </c>
      <c r="R78">
        <v>79.430000000000007</v>
      </c>
      <c r="T78">
        <v>78.72</v>
      </c>
      <c r="U78" t="s">
        <v>596</v>
      </c>
      <c r="V78">
        <v>6</v>
      </c>
      <c r="W78" t="s">
        <v>1924</v>
      </c>
      <c r="Y78">
        <v>8</v>
      </c>
      <c r="Z78">
        <v>8.1199999999999992</v>
      </c>
      <c r="AA78">
        <v>8.1999999999999993</v>
      </c>
    </row>
    <row r="79" spans="1:27" x14ac:dyDescent="0.25">
      <c r="A79">
        <v>78</v>
      </c>
      <c r="B79" t="s">
        <v>46</v>
      </c>
      <c r="C79" t="s">
        <v>1754</v>
      </c>
      <c r="D79" t="s">
        <v>1761</v>
      </c>
      <c r="J79" t="s">
        <v>1757</v>
      </c>
      <c r="K79" t="s">
        <v>2908</v>
      </c>
      <c r="L79" t="s">
        <v>288</v>
      </c>
      <c r="M79" t="s">
        <v>1758</v>
      </c>
      <c r="N79" t="s">
        <v>2524</v>
      </c>
      <c r="O79" t="s">
        <v>2526</v>
      </c>
      <c r="P79" t="s">
        <v>2525</v>
      </c>
      <c r="Q79" t="s">
        <v>2526</v>
      </c>
      <c r="R79">
        <v>69.17</v>
      </c>
      <c r="T79">
        <v>67.5</v>
      </c>
      <c r="V79">
        <v>0</v>
      </c>
      <c r="Y79">
        <v>7.61</v>
      </c>
      <c r="Z79">
        <v>8.11</v>
      </c>
      <c r="AA79">
        <v>8.5299999999999994</v>
      </c>
    </row>
    <row r="80" spans="1:27" x14ac:dyDescent="0.25">
      <c r="A80">
        <v>79</v>
      </c>
      <c r="B80" t="s">
        <v>45</v>
      </c>
      <c r="C80" t="s">
        <v>954</v>
      </c>
      <c r="D80" t="s">
        <v>960</v>
      </c>
      <c r="J80" t="s">
        <v>956</v>
      </c>
      <c r="K80" t="s">
        <v>2908</v>
      </c>
      <c r="L80" t="s">
        <v>288</v>
      </c>
      <c r="M80" t="s">
        <v>957</v>
      </c>
      <c r="N80" t="s">
        <v>2472</v>
      </c>
      <c r="O80" t="s">
        <v>2474</v>
      </c>
      <c r="P80" t="s">
        <v>2473</v>
      </c>
      <c r="Q80" t="s">
        <v>2474</v>
      </c>
      <c r="R80">
        <v>73.66</v>
      </c>
      <c r="T80">
        <v>71.16</v>
      </c>
      <c r="V80">
        <v>0</v>
      </c>
      <c r="Y80">
        <v>8.16</v>
      </c>
      <c r="Z80">
        <v>8.17</v>
      </c>
      <c r="AA80">
        <v>8.24</v>
      </c>
    </row>
    <row r="81" spans="1:27" x14ac:dyDescent="0.25">
      <c r="A81">
        <v>80</v>
      </c>
      <c r="B81" t="s">
        <v>44</v>
      </c>
      <c r="C81" t="s">
        <v>393</v>
      </c>
      <c r="D81" t="s">
        <v>400</v>
      </c>
      <c r="J81" t="s">
        <v>396</v>
      </c>
      <c r="K81" t="s">
        <v>2908</v>
      </c>
      <c r="L81" t="s">
        <v>288</v>
      </c>
      <c r="M81" t="s">
        <v>397</v>
      </c>
      <c r="N81" t="s">
        <v>2428</v>
      </c>
      <c r="O81" t="s">
        <v>2430</v>
      </c>
      <c r="P81" t="s">
        <v>2429</v>
      </c>
      <c r="Q81" t="s">
        <v>2430</v>
      </c>
      <c r="R81">
        <v>72.41</v>
      </c>
      <c r="T81">
        <v>70.739999999999995</v>
      </c>
      <c r="V81">
        <v>0</v>
      </c>
      <c r="Y81">
        <v>8.2200000000000006</v>
      </c>
      <c r="Z81">
        <v>8.02</v>
      </c>
      <c r="AA81">
        <v>8.41</v>
      </c>
    </row>
    <row r="82" spans="1:27" x14ac:dyDescent="0.25">
      <c r="A82">
        <v>81</v>
      </c>
      <c r="B82" t="s">
        <v>42</v>
      </c>
      <c r="C82" t="s">
        <v>2114</v>
      </c>
      <c r="D82" t="s">
        <v>2121</v>
      </c>
      <c r="J82" t="s">
        <v>2117</v>
      </c>
      <c r="K82" t="s">
        <v>2908</v>
      </c>
      <c r="L82" t="s">
        <v>288</v>
      </c>
      <c r="M82" t="s">
        <v>2118</v>
      </c>
      <c r="N82" t="s">
        <v>2858</v>
      </c>
      <c r="O82" t="s">
        <v>2860</v>
      </c>
      <c r="P82" t="s">
        <v>2859</v>
      </c>
      <c r="Q82" t="s">
        <v>2860</v>
      </c>
      <c r="R82">
        <v>68.81</v>
      </c>
      <c r="T82">
        <v>67.14</v>
      </c>
      <c r="V82">
        <v>0</v>
      </c>
      <c r="Y82">
        <v>7.69</v>
      </c>
      <c r="Z82">
        <v>8.1199999999999992</v>
      </c>
      <c r="AA82">
        <v>8.58</v>
      </c>
    </row>
    <row r="83" spans="1:27" x14ac:dyDescent="0.25">
      <c r="A83">
        <v>82</v>
      </c>
      <c r="B83" t="s">
        <v>40</v>
      </c>
      <c r="C83" t="s">
        <v>1850</v>
      </c>
      <c r="D83" t="s">
        <v>1857</v>
      </c>
      <c r="J83" t="s">
        <v>1853</v>
      </c>
      <c r="K83" t="s">
        <v>2909</v>
      </c>
      <c r="L83" t="s">
        <v>288</v>
      </c>
      <c r="M83" t="s">
        <v>1854</v>
      </c>
      <c r="N83" t="s">
        <v>2476</v>
      </c>
      <c r="O83" t="s">
        <v>2478</v>
      </c>
      <c r="P83" t="s">
        <v>2477</v>
      </c>
      <c r="Q83" t="s">
        <v>2478</v>
      </c>
      <c r="R83">
        <v>76.39</v>
      </c>
      <c r="T83">
        <v>74.72</v>
      </c>
      <c r="V83">
        <v>0</v>
      </c>
      <c r="Y83">
        <v>7.08</v>
      </c>
      <c r="Z83">
        <v>8.01</v>
      </c>
      <c r="AA83">
        <v>8.36</v>
      </c>
    </row>
    <row r="84" spans="1:27" x14ac:dyDescent="0.25">
      <c r="A84">
        <v>83</v>
      </c>
      <c r="B84" t="s">
        <v>39</v>
      </c>
      <c r="C84" t="s">
        <v>826</v>
      </c>
      <c r="D84" t="s">
        <v>833</v>
      </c>
      <c r="J84" t="s">
        <v>829</v>
      </c>
      <c r="K84" t="s">
        <v>2909</v>
      </c>
      <c r="L84" t="s">
        <v>288</v>
      </c>
      <c r="M84" t="s">
        <v>830</v>
      </c>
      <c r="N84" t="s">
        <v>2491</v>
      </c>
      <c r="O84" t="s">
        <v>2494</v>
      </c>
      <c r="P84" t="s">
        <v>2493</v>
      </c>
      <c r="Q84" t="s">
        <v>2494</v>
      </c>
      <c r="R84">
        <v>63.81</v>
      </c>
      <c r="T84">
        <v>62.98</v>
      </c>
      <c r="V84">
        <v>0</v>
      </c>
      <c r="Y84">
        <v>6.03</v>
      </c>
      <c r="Z84">
        <v>6.56</v>
      </c>
      <c r="AA84">
        <v>7</v>
      </c>
    </row>
    <row r="85" spans="1:27" x14ac:dyDescent="0.25">
      <c r="A85">
        <v>84</v>
      </c>
      <c r="B85" t="s">
        <v>38</v>
      </c>
      <c r="C85" t="s">
        <v>531</v>
      </c>
      <c r="D85" t="s">
        <v>537</v>
      </c>
      <c r="J85" t="s">
        <v>533</v>
      </c>
      <c r="K85" t="s">
        <v>2908</v>
      </c>
      <c r="L85" t="s">
        <v>288</v>
      </c>
      <c r="M85" t="s">
        <v>534</v>
      </c>
      <c r="N85" t="s">
        <v>2376</v>
      </c>
      <c r="O85" t="s">
        <v>2378</v>
      </c>
      <c r="P85" t="s">
        <v>2377</v>
      </c>
      <c r="Q85" t="s">
        <v>2378</v>
      </c>
      <c r="R85">
        <v>63.67</v>
      </c>
      <c r="T85">
        <v>62.84</v>
      </c>
      <c r="V85">
        <v>0</v>
      </c>
      <c r="Y85">
        <v>7.21</v>
      </c>
      <c r="Z85">
        <v>7.78</v>
      </c>
      <c r="AA85">
        <v>7.59</v>
      </c>
    </row>
    <row r="86" spans="1:27" x14ac:dyDescent="0.25">
      <c r="A86">
        <v>85</v>
      </c>
      <c r="B86" t="s">
        <v>37</v>
      </c>
      <c r="C86" t="s">
        <v>1618</v>
      </c>
      <c r="D86" t="s">
        <v>1625</v>
      </c>
      <c r="J86" t="s">
        <v>1621</v>
      </c>
      <c r="K86" t="s">
        <v>2908</v>
      </c>
      <c r="L86" t="s">
        <v>288</v>
      </c>
      <c r="M86" t="s">
        <v>1622</v>
      </c>
      <c r="N86" t="s">
        <v>2567</v>
      </c>
      <c r="O86" t="s">
        <v>2569</v>
      </c>
      <c r="P86" t="s">
        <v>2568</v>
      </c>
      <c r="Q86" t="s">
        <v>2569</v>
      </c>
      <c r="R86">
        <v>72.91</v>
      </c>
      <c r="T86">
        <v>71.239999999999995</v>
      </c>
      <c r="V86">
        <v>0</v>
      </c>
      <c r="Y86">
        <v>7.51</v>
      </c>
      <c r="Z86">
        <v>7.71</v>
      </c>
      <c r="AA86">
        <v>8.64</v>
      </c>
    </row>
    <row r="87" spans="1:27" x14ac:dyDescent="0.25">
      <c r="A87">
        <v>86</v>
      </c>
      <c r="B87" t="s">
        <v>36</v>
      </c>
      <c r="C87" t="s">
        <v>1221</v>
      </c>
      <c r="D87" t="s">
        <v>1228</v>
      </c>
      <c r="J87" t="s">
        <v>1224</v>
      </c>
      <c r="K87" t="s">
        <v>2909</v>
      </c>
      <c r="L87" t="s">
        <v>288</v>
      </c>
      <c r="M87" t="s">
        <v>1225</v>
      </c>
      <c r="N87" t="s">
        <v>2619</v>
      </c>
      <c r="O87" t="s">
        <v>2621</v>
      </c>
      <c r="P87" t="s">
        <v>2620</v>
      </c>
      <c r="Q87" t="s">
        <v>2621</v>
      </c>
      <c r="R87">
        <v>66.319999999999993</v>
      </c>
      <c r="T87">
        <v>66.319999999999993</v>
      </c>
      <c r="V87">
        <v>0</v>
      </c>
      <c r="Y87">
        <v>7.14</v>
      </c>
      <c r="Z87">
        <v>7.94</v>
      </c>
      <c r="AA87">
        <v>7.81</v>
      </c>
    </row>
    <row r="88" spans="1:27" x14ac:dyDescent="0.25">
      <c r="A88">
        <v>87</v>
      </c>
      <c r="B88" t="s">
        <v>35</v>
      </c>
      <c r="C88" t="s">
        <v>1797</v>
      </c>
      <c r="D88" t="s">
        <v>1804</v>
      </c>
      <c r="J88" t="s">
        <v>1800</v>
      </c>
      <c r="K88" t="s">
        <v>2909</v>
      </c>
      <c r="L88" t="s">
        <v>288</v>
      </c>
      <c r="M88" t="s">
        <v>1801</v>
      </c>
      <c r="R88">
        <v>82.42</v>
      </c>
      <c r="T88">
        <v>81.16</v>
      </c>
      <c r="V88">
        <v>0</v>
      </c>
      <c r="Y88">
        <v>8.51</v>
      </c>
      <c r="Z88">
        <v>8.6</v>
      </c>
      <c r="AA88">
        <v>9</v>
      </c>
    </row>
    <row r="89" spans="1:27" x14ac:dyDescent="0.25">
      <c r="A89">
        <v>88</v>
      </c>
      <c r="B89" t="s">
        <v>34</v>
      </c>
      <c r="C89" t="s">
        <v>1551</v>
      </c>
      <c r="D89" t="s">
        <v>1558</v>
      </c>
      <c r="J89" t="s">
        <v>1554</v>
      </c>
      <c r="K89" t="s">
        <v>2908</v>
      </c>
      <c r="L89" t="s">
        <v>288</v>
      </c>
      <c r="M89" t="s">
        <v>1555</v>
      </c>
      <c r="N89" t="s">
        <v>2450</v>
      </c>
      <c r="O89" t="s">
        <v>2452</v>
      </c>
      <c r="P89" t="s">
        <v>2451</v>
      </c>
      <c r="Q89" t="s">
        <v>2452</v>
      </c>
      <c r="R89">
        <v>77.790000000000006</v>
      </c>
      <c r="T89">
        <v>75.319999999999993</v>
      </c>
      <c r="V89">
        <v>0</v>
      </c>
      <c r="Y89">
        <v>7.86</v>
      </c>
      <c r="Z89">
        <v>8.1199999999999992</v>
      </c>
      <c r="AA89">
        <v>8.34</v>
      </c>
    </row>
    <row r="90" spans="1:27" x14ac:dyDescent="0.25">
      <c r="A90">
        <v>89</v>
      </c>
      <c r="B90" t="s">
        <v>33</v>
      </c>
      <c r="C90" t="s">
        <v>935</v>
      </c>
      <c r="D90" t="s">
        <v>942</v>
      </c>
      <c r="J90" t="s">
        <v>938</v>
      </c>
      <c r="K90" t="s">
        <v>2908</v>
      </c>
      <c r="L90" t="s">
        <v>288</v>
      </c>
      <c r="M90" t="s">
        <v>939</v>
      </c>
      <c r="N90" t="s">
        <v>2725</v>
      </c>
      <c r="O90" t="s">
        <v>2727</v>
      </c>
      <c r="P90" t="s">
        <v>2726</v>
      </c>
      <c r="Q90" t="s">
        <v>2727</v>
      </c>
      <c r="R90">
        <v>80.91</v>
      </c>
      <c r="T90">
        <v>79.540000000000006</v>
      </c>
      <c r="V90">
        <v>0</v>
      </c>
      <c r="Y90">
        <v>9.14</v>
      </c>
      <c r="Z90">
        <v>9.19</v>
      </c>
      <c r="AA90">
        <v>9.57</v>
      </c>
    </row>
    <row r="91" spans="1:27" x14ac:dyDescent="0.25">
      <c r="A91">
        <v>90</v>
      </c>
      <c r="B91" t="s">
        <v>32</v>
      </c>
      <c r="C91" t="s">
        <v>1021</v>
      </c>
      <c r="D91" t="s">
        <v>1027</v>
      </c>
      <c r="J91" t="s">
        <v>989</v>
      </c>
      <c r="K91" t="s">
        <v>2908</v>
      </c>
      <c r="L91" t="s">
        <v>288</v>
      </c>
      <c r="M91" t="s">
        <v>1024</v>
      </c>
      <c r="N91" t="s">
        <v>2694</v>
      </c>
      <c r="O91" t="s">
        <v>2696</v>
      </c>
      <c r="P91" t="s">
        <v>2695</v>
      </c>
      <c r="Q91" t="s">
        <v>2696</v>
      </c>
      <c r="R91">
        <v>87.9</v>
      </c>
      <c r="T91">
        <v>87.48</v>
      </c>
      <c r="V91">
        <v>0</v>
      </c>
      <c r="Y91">
        <v>8.8699999999999992</v>
      </c>
      <c r="Z91">
        <v>9.41</v>
      </c>
      <c r="AA91">
        <v>9.2100000000000009</v>
      </c>
    </row>
    <row r="92" spans="1:27" x14ac:dyDescent="0.25">
      <c r="A92">
        <v>91</v>
      </c>
      <c r="B92" t="s">
        <v>30</v>
      </c>
      <c r="C92" t="s">
        <v>2154</v>
      </c>
      <c r="D92" t="s">
        <v>2160</v>
      </c>
      <c r="J92" t="s">
        <v>2156</v>
      </c>
      <c r="K92" t="s">
        <v>2908</v>
      </c>
      <c r="L92" t="s">
        <v>288</v>
      </c>
      <c r="M92" t="s">
        <v>2157</v>
      </c>
      <c r="N92" t="s">
        <v>2901</v>
      </c>
      <c r="O92" t="s">
        <v>2903</v>
      </c>
      <c r="P92" t="s">
        <v>2902</v>
      </c>
      <c r="Q92" t="s">
        <v>2903</v>
      </c>
      <c r="R92">
        <v>66.89</v>
      </c>
      <c r="T92">
        <v>65.22</v>
      </c>
      <c r="V92">
        <v>0</v>
      </c>
      <c r="Y92">
        <v>7.41</v>
      </c>
      <c r="Z92">
        <v>8.18</v>
      </c>
      <c r="AA92">
        <v>8.25</v>
      </c>
    </row>
    <row r="93" spans="1:27" x14ac:dyDescent="0.25">
      <c r="A93">
        <v>92</v>
      </c>
      <c r="B93" t="s">
        <v>29</v>
      </c>
      <c r="C93" t="s">
        <v>918</v>
      </c>
      <c r="D93" t="s">
        <v>925</v>
      </c>
      <c r="J93" t="s">
        <v>921</v>
      </c>
      <c r="K93" t="s">
        <v>2908</v>
      </c>
      <c r="L93" t="s">
        <v>288</v>
      </c>
      <c r="M93" t="s">
        <v>922</v>
      </c>
      <c r="N93" t="s">
        <v>2380</v>
      </c>
      <c r="O93" t="s">
        <v>2382</v>
      </c>
      <c r="P93" t="s">
        <v>2381</v>
      </c>
      <c r="Q93" t="s">
        <v>2382</v>
      </c>
      <c r="R93">
        <v>75.52</v>
      </c>
      <c r="T93">
        <v>73.02</v>
      </c>
      <c r="V93">
        <v>0</v>
      </c>
      <c r="Y93">
        <v>6.87</v>
      </c>
      <c r="Z93">
        <v>8.1300000000000008</v>
      </c>
      <c r="AA93">
        <v>9.0500000000000007</v>
      </c>
    </row>
    <row r="94" spans="1:27" x14ac:dyDescent="0.25">
      <c r="A94">
        <v>93</v>
      </c>
      <c r="B94" t="s">
        <v>28</v>
      </c>
      <c r="C94" t="s">
        <v>1135</v>
      </c>
      <c r="D94" t="s">
        <v>1142</v>
      </c>
      <c r="J94" t="s">
        <v>1138</v>
      </c>
      <c r="K94" t="s">
        <v>2909</v>
      </c>
      <c r="L94" t="s">
        <v>288</v>
      </c>
      <c r="M94" t="s">
        <v>1139</v>
      </c>
      <c r="N94" t="s">
        <v>2598</v>
      </c>
      <c r="O94" t="s">
        <v>2600</v>
      </c>
      <c r="P94" t="s">
        <v>2599</v>
      </c>
      <c r="Q94" t="s">
        <v>2600</v>
      </c>
      <c r="R94">
        <v>75.73</v>
      </c>
      <c r="T94">
        <v>74.900000000000006</v>
      </c>
      <c r="V94">
        <v>0</v>
      </c>
      <c r="Y94">
        <v>7.26</v>
      </c>
      <c r="Z94">
        <v>7.6</v>
      </c>
      <c r="AA94">
        <v>8.3800000000000008</v>
      </c>
    </row>
    <row r="95" spans="1:27" x14ac:dyDescent="0.25">
      <c r="A95">
        <v>94</v>
      </c>
      <c r="B95" t="s">
        <v>27</v>
      </c>
      <c r="C95" t="s">
        <v>1072</v>
      </c>
      <c r="D95" t="s">
        <v>1078</v>
      </c>
      <c r="J95" t="s">
        <v>493</v>
      </c>
      <c r="K95" t="s">
        <v>2909</v>
      </c>
      <c r="L95" t="s">
        <v>288</v>
      </c>
      <c r="M95" t="s">
        <v>1075</v>
      </c>
      <c r="R95">
        <v>61.79</v>
      </c>
      <c r="T95">
        <v>60.12</v>
      </c>
      <c r="V95">
        <v>0</v>
      </c>
      <c r="Y95">
        <v>6.11</v>
      </c>
      <c r="Z95">
        <v>6.41</v>
      </c>
      <c r="AA95">
        <v>7.02</v>
      </c>
    </row>
    <row r="96" spans="1:27" x14ac:dyDescent="0.25">
      <c r="A96">
        <v>95</v>
      </c>
      <c r="B96" t="s">
        <v>26</v>
      </c>
      <c r="C96" t="s">
        <v>648</v>
      </c>
      <c r="D96" t="s">
        <v>656</v>
      </c>
      <c r="J96" t="s">
        <v>651</v>
      </c>
      <c r="K96" t="s">
        <v>2908</v>
      </c>
      <c r="L96" t="s">
        <v>288</v>
      </c>
      <c r="M96" t="s">
        <v>652</v>
      </c>
      <c r="N96" t="s">
        <v>2645</v>
      </c>
      <c r="O96" t="s">
        <v>2647</v>
      </c>
      <c r="P96" t="s">
        <v>2646</v>
      </c>
      <c r="Q96" t="s">
        <v>2647</v>
      </c>
      <c r="R96">
        <v>74.56</v>
      </c>
      <c r="T96">
        <v>72.06</v>
      </c>
      <c r="V96">
        <v>0</v>
      </c>
      <c r="Y96">
        <v>7.56</v>
      </c>
      <c r="Z96">
        <v>8.07</v>
      </c>
      <c r="AA96">
        <v>7.67</v>
      </c>
    </row>
    <row r="97" spans="1:27" x14ac:dyDescent="0.25">
      <c r="A97">
        <v>96</v>
      </c>
      <c r="B97" t="s">
        <v>25</v>
      </c>
      <c r="C97" t="s">
        <v>715</v>
      </c>
      <c r="D97" t="s">
        <v>722</v>
      </c>
      <c r="J97" t="s">
        <v>718</v>
      </c>
      <c r="K97" t="s">
        <v>2908</v>
      </c>
      <c r="L97" t="s">
        <v>288</v>
      </c>
      <c r="M97" t="s">
        <v>719</v>
      </c>
      <c r="R97">
        <v>72.33</v>
      </c>
      <c r="T97">
        <v>71.5</v>
      </c>
      <c r="V97">
        <v>0</v>
      </c>
      <c r="Y97">
        <v>7.49</v>
      </c>
      <c r="Z97">
        <v>7.68</v>
      </c>
      <c r="AA97">
        <v>8.0299999999999994</v>
      </c>
    </row>
    <row r="98" spans="1:27" x14ac:dyDescent="0.25">
      <c r="A98">
        <v>97</v>
      </c>
      <c r="B98" t="s">
        <v>24</v>
      </c>
      <c r="C98" t="s">
        <v>1786</v>
      </c>
      <c r="D98" t="s">
        <v>1793</v>
      </c>
      <c r="J98" t="s">
        <v>1789</v>
      </c>
      <c r="K98" t="s">
        <v>2908</v>
      </c>
      <c r="L98" t="s">
        <v>288</v>
      </c>
      <c r="M98" t="s">
        <v>1790</v>
      </c>
      <c r="R98">
        <v>71.77</v>
      </c>
      <c r="T98">
        <v>70.099999999999994</v>
      </c>
      <c r="V98">
        <v>0</v>
      </c>
      <c r="Y98">
        <v>8.1300000000000008</v>
      </c>
      <c r="Z98">
        <v>8.36</v>
      </c>
      <c r="AA98">
        <v>9.02</v>
      </c>
    </row>
    <row r="99" spans="1:27" x14ac:dyDescent="0.25">
      <c r="A99">
        <v>98</v>
      </c>
      <c r="B99" t="s">
        <v>23</v>
      </c>
      <c r="C99" t="s">
        <v>1445</v>
      </c>
      <c r="D99" t="s">
        <v>1454</v>
      </c>
      <c r="J99" t="s">
        <v>1448</v>
      </c>
      <c r="K99" t="s">
        <v>2909</v>
      </c>
      <c r="L99" t="s">
        <v>288</v>
      </c>
      <c r="M99" t="s">
        <v>1449</v>
      </c>
      <c r="N99" t="s">
        <v>2571</v>
      </c>
      <c r="O99" t="s">
        <v>2573</v>
      </c>
      <c r="P99" t="s">
        <v>2572</v>
      </c>
      <c r="Q99" t="s">
        <v>2573</v>
      </c>
      <c r="R99">
        <v>67.14</v>
      </c>
      <c r="T99">
        <v>67.14</v>
      </c>
      <c r="V99">
        <v>0</v>
      </c>
      <c r="Y99">
        <v>7.48</v>
      </c>
      <c r="Z99">
        <v>7.18</v>
      </c>
      <c r="AA99">
        <v>8.0399999999999991</v>
      </c>
    </row>
    <row r="100" spans="1:27" x14ac:dyDescent="0.25">
      <c r="A100">
        <v>99</v>
      </c>
      <c r="B100" t="s">
        <v>22</v>
      </c>
      <c r="C100" t="s">
        <v>2127</v>
      </c>
      <c r="D100" t="s">
        <v>2134</v>
      </c>
      <c r="F100" t="s">
        <v>2920</v>
      </c>
      <c r="G100" t="s">
        <v>2135</v>
      </c>
      <c r="H100" t="s">
        <v>743</v>
      </c>
      <c r="I100" t="s">
        <v>2136</v>
      </c>
      <c r="J100" t="s">
        <v>2130</v>
      </c>
      <c r="K100" t="s">
        <v>2909</v>
      </c>
      <c r="L100" t="s">
        <v>288</v>
      </c>
      <c r="M100" t="s">
        <v>2131</v>
      </c>
      <c r="N100" t="s">
        <v>2862</v>
      </c>
      <c r="O100" t="s">
        <v>2864</v>
      </c>
      <c r="P100" t="s">
        <v>2863</v>
      </c>
      <c r="Q100" t="s">
        <v>2864</v>
      </c>
      <c r="R100">
        <v>87.35</v>
      </c>
      <c r="T100">
        <v>86.44</v>
      </c>
      <c r="V100">
        <v>0</v>
      </c>
      <c r="Y100">
        <v>8.66</v>
      </c>
      <c r="Z100">
        <v>8.77</v>
      </c>
      <c r="AA100">
        <v>8.7799999999999994</v>
      </c>
    </row>
    <row r="101" spans="1:27" x14ac:dyDescent="0.25">
      <c r="A101">
        <v>100</v>
      </c>
      <c r="B101" t="s">
        <v>21</v>
      </c>
      <c r="C101" t="s">
        <v>1511</v>
      </c>
      <c r="D101" t="s">
        <v>280</v>
      </c>
      <c r="J101" t="s">
        <v>1514</v>
      </c>
      <c r="K101" t="s">
        <v>2908</v>
      </c>
      <c r="L101" t="s">
        <v>288</v>
      </c>
      <c r="M101" t="s">
        <v>1515</v>
      </c>
      <c r="R101">
        <v>80.31</v>
      </c>
      <c r="T101">
        <v>78.12</v>
      </c>
      <c r="V101">
        <v>0</v>
      </c>
      <c r="Y101">
        <v>8.24</v>
      </c>
      <c r="Z101">
        <v>8.3800000000000008</v>
      </c>
      <c r="AA101">
        <v>8.69</v>
      </c>
    </row>
    <row r="102" spans="1:27" x14ac:dyDescent="0.25">
      <c r="A102">
        <v>101</v>
      </c>
      <c r="B102" t="s">
        <v>87</v>
      </c>
      <c r="C102" t="s">
        <v>1088</v>
      </c>
      <c r="D102" t="s">
        <v>280</v>
      </c>
      <c r="J102" t="s">
        <v>1091</v>
      </c>
      <c r="K102" t="s">
        <v>2909</v>
      </c>
      <c r="L102" t="s">
        <v>288</v>
      </c>
      <c r="M102" t="s">
        <v>1092</v>
      </c>
      <c r="N102" t="s">
        <v>2811</v>
      </c>
      <c r="O102" t="s">
        <v>2813</v>
      </c>
      <c r="P102" t="s">
        <v>2812</v>
      </c>
      <c r="Q102" t="s">
        <v>2813</v>
      </c>
      <c r="R102">
        <v>74.63</v>
      </c>
      <c r="T102">
        <v>73.8</v>
      </c>
      <c r="V102">
        <v>0</v>
      </c>
      <c r="Y102">
        <v>7.56</v>
      </c>
      <c r="Z102">
        <v>7.61</v>
      </c>
      <c r="AA102">
        <v>7.61</v>
      </c>
    </row>
    <row r="103" spans="1:27" x14ac:dyDescent="0.25">
      <c r="A103">
        <v>102</v>
      </c>
      <c r="B103" t="s">
        <v>78</v>
      </c>
      <c r="C103" t="s">
        <v>1575</v>
      </c>
      <c r="D103" t="s">
        <v>1582</v>
      </c>
      <c r="J103" t="s">
        <v>1578</v>
      </c>
      <c r="K103" t="s">
        <v>2908</v>
      </c>
      <c r="L103" t="s">
        <v>288</v>
      </c>
      <c r="M103" t="s">
        <v>1579</v>
      </c>
      <c r="N103" t="s">
        <v>2400</v>
      </c>
      <c r="O103" t="s">
        <v>2402</v>
      </c>
      <c r="P103" t="s">
        <v>2401</v>
      </c>
      <c r="Q103" t="s">
        <v>2402</v>
      </c>
      <c r="R103">
        <v>76.33</v>
      </c>
      <c r="T103">
        <v>75.52</v>
      </c>
      <c r="V103">
        <v>0</v>
      </c>
      <c r="Y103">
        <v>9.32</v>
      </c>
      <c r="Z103">
        <v>9.24</v>
      </c>
      <c r="AA103">
        <v>9.2100000000000009</v>
      </c>
    </row>
    <row r="104" spans="1:27" x14ac:dyDescent="0.25">
      <c r="A104">
        <v>103</v>
      </c>
      <c r="B104" t="s">
        <v>75</v>
      </c>
      <c r="C104" t="s">
        <v>2039</v>
      </c>
      <c r="D104" t="s">
        <v>2045</v>
      </c>
      <c r="J104" t="s">
        <v>2041</v>
      </c>
      <c r="K104" t="s">
        <v>2908</v>
      </c>
      <c r="L104" t="s">
        <v>288</v>
      </c>
      <c r="M104" t="s">
        <v>2042</v>
      </c>
      <c r="R104">
        <v>73.86</v>
      </c>
      <c r="T104">
        <v>71.36</v>
      </c>
      <c r="V104">
        <v>0</v>
      </c>
      <c r="Y104">
        <v>7.98</v>
      </c>
      <c r="Z104">
        <v>8.5399999999999991</v>
      </c>
      <c r="AA104">
        <v>8.44</v>
      </c>
    </row>
    <row r="105" spans="1:27" x14ac:dyDescent="0.25">
      <c r="A105">
        <v>104</v>
      </c>
      <c r="B105" t="s">
        <v>69</v>
      </c>
      <c r="C105" t="s">
        <v>877</v>
      </c>
      <c r="D105" t="s">
        <v>884</v>
      </c>
      <c r="J105" t="s">
        <v>880</v>
      </c>
      <c r="K105" t="s">
        <v>2909</v>
      </c>
      <c r="L105" t="s">
        <v>288</v>
      </c>
      <c r="M105" t="s">
        <v>881</v>
      </c>
      <c r="N105" t="s">
        <v>2392</v>
      </c>
      <c r="O105" t="s">
        <v>2394</v>
      </c>
      <c r="P105" t="s">
        <v>2393</v>
      </c>
      <c r="Q105" t="s">
        <v>2394</v>
      </c>
      <c r="R105">
        <v>70.150000000000006</v>
      </c>
      <c r="T105">
        <v>69.319999999999993</v>
      </c>
      <c r="V105">
        <v>0</v>
      </c>
      <c r="Y105">
        <v>7.94</v>
      </c>
      <c r="Z105">
        <v>8.26</v>
      </c>
      <c r="AA105">
        <v>8.81</v>
      </c>
    </row>
    <row r="106" spans="1:27" x14ac:dyDescent="0.25">
      <c r="A106">
        <v>105</v>
      </c>
      <c r="B106" t="s">
        <v>55</v>
      </c>
      <c r="C106" t="s">
        <v>632</v>
      </c>
      <c r="D106" t="s">
        <v>639</v>
      </c>
      <c r="J106" t="s">
        <v>635</v>
      </c>
      <c r="K106" t="s">
        <v>2908</v>
      </c>
      <c r="L106" t="s">
        <v>288</v>
      </c>
      <c r="M106" t="s">
        <v>636</v>
      </c>
      <c r="N106" t="s">
        <v>2690</v>
      </c>
      <c r="O106" t="s">
        <v>2692</v>
      </c>
      <c r="P106" t="s">
        <v>2691</v>
      </c>
      <c r="Q106" t="s">
        <v>2692</v>
      </c>
      <c r="R106">
        <v>74.05</v>
      </c>
      <c r="T106">
        <v>73.22</v>
      </c>
      <c r="V106">
        <v>0</v>
      </c>
      <c r="Y106">
        <v>7.99</v>
      </c>
      <c r="Z106">
        <v>7.86</v>
      </c>
      <c r="AA106">
        <v>8.44</v>
      </c>
    </row>
    <row r="107" spans="1:27" x14ac:dyDescent="0.25">
      <c r="A107">
        <v>106</v>
      </c>
      <c r="B107" t="s">
        <v>43</v>
      </c>
      <c r="C107" t="s">
        <v>1207</v>
      </c>
      <c r="D107" t="s">
        <v>1214</v>
      </c>
      <c r="J107" t="s">
        <v>1210</v>
      </c>
      <c r="K107" t="s">
        <v>2908</v>
      </c>
      <c r="L107" t="s">
        <v>288</v>
      </c>
      <c r="M107" t="s">
        <v>1211</v>
      </c>
      <c r="R107">
        <v>75.25</v>
      </c>
      <c r="T107">
        <v>73.58</v>
      </c>
      <c r="V107">
        <v>0</v>
      </c>
      <c r="Y107">
        <v>9.24</v>
      </c>
      <c r="Z107">
        <v>9.16</v>
      </c>
      <c r="AA107">
        <v>9.36</v>
      </c>
    </row>
    <row r="108" spans="1:27" x14ac:dyDescent="0.25">
      <c r="A108">
        <v>107</v>
      </c>
      <c r="B108" t="s">
        <v>41</v>
      </c>
      <c r="C108" t="s">
        <v>490</v>
      </c>
      <c r="D108" t="s">
        <v>497</v>
      </c>
      <c r="J108" t="s">
        <v>493</v>
      </c>
      <c r="K108" t="s">
        <v>2908</v>
      </c>
      <c r="L108" t="s">
        <v>288</v>
      </c>
      <c r="M108" t="s">
        <v>494</v>
      </c>
      <c r="R108">
        <v>70.569999999999993</v>
      </c>
      <c r="T108">
        <v>68.900000000000006</v>
      </c>
      <c r="V108">
        <v>0</v>
      </c>
      <c r="Y108">
        <v>8.69</v>
      </c>
      <c r="Z108">
        <v>8.59</v>
      </c>
      <c r="AA108">
        <v>8.2200000000000006</v>
      </c>
    </row>
    <row r="109" spans="1:27" x14ac:dyDescent="0.25">
      <c r="A109">
        <v>108</v>
      </c>
      <c r="B109" t="s">
        <v>31</v>
      </c>
      <c r="C109" t="s">
        <v>375</v>
      </c>
      <c r="D109" t="s">
        <v>382</v>
      </c>
      <c r="J109" t="s">
        <v>378</v>
      </c>
      <c r="K109" t="s">
        <v>2909</v>
      </c>
      <c r="L109" t="s">
        <v>288</v>
      </c>
      <c r="M109" t="s">
        <v>379</v>
      </c>
      <c r="N109" t="s">
        <v>2396</v>
      </c>
      <c r="O109" t="s">
        <v>2398</v>
      </c>
      <c r="P109" t="s">
        <v>2397</v>
      </c>
      <c r="Q109" t="s">
        <v>2398</v>
      </c>
      <c r="R109">
        <v>71.930000000000007</v>
      </c>
      <c r="T109">
        <v>70.260000000000005</v>
      </c>
      <c r="V109">
        <v>0</v>
      </c>
      <c r="Y109">
        <v>7.47</v>
      </c>
      <c r="Z109">
        <v>6.8</v>
      </c>
      <c r="AA109">
        <v>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2"/>
  <sheetViews>
    <sheetView tabSelected="1" workbookViewId="0">
      <selection activeCell="N2" sqref="N2:N112"/>
    </sheetView>
  </sheetViews>
  <sheetFormatPr defaultRowHeight="15" x14ac:dyDescent="0.25"/>
  <cols>
    <col min="2" max="2" width="12.85546875" bestFit="1" customWidth="1"/>
    <col min="3" max="3" width="13.7109375" bestFit="1" customWidth="1"/>
    <col min="5" max="5" width="14.85546875" bestFit="1" customWidth="1"/>
    <col min="6" max="6" width="40" bestFit="1" customWidth="1"/>
    <col min="7" max="7" width="36.28515625" bestFit="1" customWidth="1"/>
    <col min="8" max="8" width="11.85546875" bestFit="1" customWidth="1"/>
    <col min="13" max="13" width="36.28515625" bestFit="1" customWidth="1"/>
    <col min="14" max="14" width="36.28515625" customWidth="1"/>
    <col min="15" max="16" width="12" bestFit="1" customWidth="1"/>
    <col min="17" max="17" width="41" bestFit="1" customWidth="1"/>
    <col min="18" max="18" width="12.7109375" bestFit="1" customWidth="1"/>
    <col min="19" max="19" width="12.5703125" bestFit="1" customWidth="1"/>
    <col min="31" max="31" width="37.28515625" bestFit="1" customWidth="1"/>
  </cols>
  <sheetData>
    <row r="1" spans="1:32" x14ac:dyDescent="0.25">
      <c r="A1" t="s">
        <v>0</v>
      </c>
      <c r="B1" t="s">
        <v>1</v>
      </c>
      <c r="C1" t="s">
        <v>2</v>
      </c>
      <c r="D1" t="s">
        <v>2910</v>
      </c>
      <c r="E1" t="s">
        <v>2911</v>
      </c>
      <c r="F1" t="s">
        <v>2912</v>
      </c>
      <c r="G1" t="s">
        <v>2913</v>
      </c>
      <c r="H1" t="s">
        <v>2914</v>
      </c>
      <c r="I1" t="s">
        <v>2915</v>
      </c>
      <c r="J1" t="s">
        <v>3</v>
      </c>
      <c r="K1" t="s">
        <v>4</v>
      </c>
      <c r="L1" t="s">
        <v>5</v>
      </c>
      <c r="M1" t="s">
        <v>6</v>
      </c>
      <c r="N1" t="s">
        <v>126</v>
      </c>
      <c r="O1" t="s">
        <v>7</v>
      </c>
      <c r="P1" t="s">
        <v>8</v>
      </c>
      <c r="Q1" t="s">
        <v>9</v>
      </c>
      <c r="R1" t="s">
        <v>10</v>
      </c>
      <c r="S1" t="s">
        <v>11</v>
      </c>
      <c r="T1" t="s">
        <v>12</v>
      </c>
      <c r="U1" t="s">
        <v>13</v>
      </c>
      <c r="V1" t="s">
        <v>14</v>
      </c>
      <c r="W1" t="s">
        <v>15</v>
      </c>
      <c r="X1" t="s">
        <v>16</v>
      </c>
      <c r="Y1" t="s">
        <v>17</v>
      </c>
      <c r="Z1" t="s">
        <v>18</v>
      </c>
      <c r="AA1" t="s">
        <v>19</v>
      </c>
      <c r="AB1" t="s">
        <v>20</v>
      </c>
      <c r="AE1" t="s">
        <v>3182</v>
      </c>
    </row>
    <row r="2" spans="1:32" x14ac:dyDescent="0.25">
      <c r="A2">
        <v>1</v>
      </c>
      <c r="B2" t="s">
        <v>46</v>
      </c>
      <c r="C2" t="str">
        <f>VLOOKUP(B2,'DANH SACH UEH'!$A$3:$FE$2228,2,0)</f>
        <v>KSVBS2624948</v>
      </c>
      <c r="D2" t="str">
        <f>IFERROR(VLOOKUP(B2,'DS NGHIEP VU BO'!$A$3:$BX$148,6,0),"")</f>
        <v>91027079</v>
      </c>
      <c r="E2" t="str">
        <f>VLOOKUP(B2,'DS NGHIEP VU BO'!$A$3:$BX$148,45,0)</f>
        <v>An Giang</v>
      </c>
      <c r="F2" t="str">
        <f>IF(G2&lt;&gt;"","Giải thưởng kỳ thi chọn học sinh giỏi cấp tỉnh/TP:","")</f>
        <v/>
      </c>
      <c r="G2" t="str">
        <f>IFERROR(IF(VLOOKUP(B2,'DANH SACH UEH'!$A$3:$FE$2228,18,0)="Không có","",VLOOKUP(B2,'DANH SACH UEH'!$A$3:$FE$2228,18,0)),"")</f>
        <v/>
      </c>
      <c r="H2" t="str">
        <f>IFERROR(IF(VLOOKUP(B2,'DANH SACH UEH'!$A$3:$FE$2228,20,0)="Không có","",VLOOKUP(B2,'DANH SACH UEH'!$A$3:$FE$2228,20,0)),"")</f>
        <v/>
      </c>
      <c r="I2" t="str">
        <f>IFERROR(IF(VLOOKUP(B2,'DANH SACH UEH'!$A$3:$FE$2228,19,0)="Không có","",VLOOKUP(B2,'DANH SACH UEH'!$A$3:$FE$2228,19,0)),"")</f>
        <v/>
      </c>
      <c r="J2" t="str">
        <f>VLOOKUP(B2,'DANH SACH UEH'!$A$3:$FE$2228,6,0)</f>
        <v>29/06/2008</v>
      </c>
      <c r="K2" t="str">
        <f>IF(VLOOKUP(B2,'DANH SACH UEH'!$A$3:$FE$2228,5,0)="1","Nữ","Nam")</f>
        <v>Nữ</v>
      </c>
      <c r="L2" t="str">
        <f>VLOOKUP(B2,'DANH SACH UEH'!$A$3:$FE$2228,14,0)</f>
        <v>Kinh</v>
      </c>
      <c r="M2" t="str">
        <f>VLOOKUP(B2,'DANH SACH UEH'!$A$3:$FE$2228,7,0)</f>
        <v>duongthidieuthi110220@gmail.com</v>
      </c>
      <c r="N2" t="str">
        <f>VLOOKUP(B2,'DANH SACH UEH'!$A$3:$FE$2228,8,0)</f>
        <v>0901242703</v>
      </c>
      <c r="O2" t="str">
        <f>IFERROR(VLOOKUP(AE2,'DS TAO MAIL'!$D$3:$M$1120,5,0),"")</f>
        <v>31261570441</v>
      </c>
      <c r="P2" t="str">
        <f>IFERROR(VLOOKUP(AE2,'DS TAO MAIL'!$D$3:$M$1120,8,0),"")</f>
        <v>84285425</v>
      </c>
      <c r="Q2" t="str">
        <f>IFERROR(VLOOKUP(AE2,'DS TAO MAIL'!$D$3:$M$1120,7,0),"")</f>
        <v>thiduong.31261570441@st.ueh.edu.vn</v>
      </c>
      <c r="R2" t="str">
        <f>IFERROR(VLOOKUP(AE2,'DS TAO MAIL'!$D$3:$M$1120,8,0),"")</f>
        <v>84285425</v>
      </c>
      <c r="S2">
        <v>68.59</v>
      </c>
      <c r="U2">
        <v>67.760000000000005</v>
      </c>
      <c r="V2" t="str">
        <f>IFERROR(IF(VLOOKUP(B2,'DANH SACH UEH'!$A$3:$FE$2228,27,0)="Không có","",IF(VLOOKUP(B2,'DANH SACH UEH'!$A$3:$FE$2228,29,0)&lt;"6","",(VLOOKUP(B2,'DANH SACH UEH'!$A$3:$FE$2228,27,0)))),"")</f>
        <v/>
      </c>
      <c r="W2" t="str">
        <f>IFERROR(IF(VLOOKUP(B2,'DANH SACH UEH'!$A$3:$FE$2228,29,0)&lt;"6","",VLOOKUP(B2,'DANH SACH UEH'!$A$3:$FE$2228,29,0)),"")</f>
        <v/>
      </c>
      <c r="X2" t="str">
        <f>IFERROR(IF(V2="","",VLOOKUP(B2,'DANH SACH UEH'!$A$3:$FE$2228,28,0)&amp;""),"")</f>
        <v/>
      </c>
      <c r="Z2" t="str">
        <f>VLOOKUP(B2,'DANH SACH UEH'!$A$3:$FE$2228,44,0)</f>
        <v>7.61</v>
      </c>
      <c r="AA2" t="str">
        <f>VLOOKUP(B2,'DANH SACH UEH'!$A$3:$FE$2228,45,0)</f>
        <v>8.11</v>
      </c>
      <c r="AB2" t="str">
        <f>VLOOKUP(B2,'DANH SACH UEH'!$A$3:$FE$2228,46,0)</f>
        <v>8.53</v>
      </c>
      <c r="AE2" t="str">
        <f>VLOOKUP(B2,'DANH SACH UEH'!$A$3:$I$2229,4,0)</f>
        <v>DƯƠNG THỊ DIỆU THI</v>
      </c>
      <c r="AF2" t="str">
        <f>VLOOKUP(B2,'DANH SACH UEH'!$A$3:$I$2229,8,0)</f>
        <v>0901242703</v>
      </c>
    </row>
    <row r="3" spans="1:32" x14ac:dyDescent="0.25">
      <c r="A3">
        <v>2</v>
      </c>
      <c r="B3" t="s">
        <v>47</v>
      </c>
      <c r="C3" t="str">
        <f>VLOOKUP(B3,'DANH SACH UEH'!$A$3:$FE$2228,2,0)</f>
        <v>KSVBS2642636</v>
      </c>
      <c r="D3" t="str">
        <f>IFERROR(VLOOKUP(B3,'DS NGHIEP VU BO'!$A$3:$BX$148,6,0),"")</f>
        <v>91021928</v>
      </c>
      <c r="E3" t="str">
        <f>VLOOKUP(B3,'DS NGHIEP VU BO'!$A$3:$BX$148,45,0)</f>
        <v>An Giang</v>
      </c>
      <c r="F3" t="str">
        <f t="shared" ref="F3:F66" si="0">IF(G3&lt;&gt;"","Giải thưởng kỳ thi chọn học sinh giỏi cấp tỉnh/TP:","")</f>
        <v/>
      </c>
      <c r="G3" t="str">
        <f>IFERROR(IF(VLOOKUP(B3,'DANH SACH UEH'!$A$3:$FE$2228,18,0)="Không có","",VLOOKUP(B3,'DANH SACH UEH'!$A$3:$FE$2228,18,0)),"")</f>
        <v/>
      </c>
      <c r="H3" t="str">
        <f>IFERROR(IF(VLOOKUP(B3,'DANH SACH UEH'!$A$3:$FE$2228,20,0)="Không có","",VLOOKUP(B3,'DANH SACH UEH'!$A$3:$FE$2228,20,0)),"")</f>
        <v/>
      </c>
      <c r="I3" t="str">
        <f>IFERROR(IF(VLOOKUP(B3,'DANH SACH UEH'!$A$3:$FE$2228,19,0)="Không có","",VLOOKUP(B3,'DANH SACH UEH'!$A$3:$FE$2228,19,0)),"")</f>
        <v/>
      </c>
      <c r="J3" t="str">
        <f>VLOOKUP(B3,'DANH SACH UEH'!$A$3:$FE$2228,6,0)</f>
        <v>04/07/2008</v>
      </c>
      <c r="K3" t="str">
        <f>IF(VLOOKUP(B3,'DANH SACH UEH'!$A$3:$FE$2228,5,0)="1","Nữ","Nam")</f>
        <v>Nữ</v>
      </c>
      <c r="L3" t="str">
        <f>VLOOKUP(B3,'DANH SACH UEH'!$A$3:$FE$2228,14,0)</f>
        <v>Kinh</v>
      </c>
      <c r="M3" t="str">
        <f>VLOOKUP(B3,'DANH SACH UEH'!$A$3:$FE$2228,7,0)</f>
        <v>miphg0208@gmail.com</v>
      </c>
      <c r="N3" t="str">
        <f>VLOOKUP(B3,'DANH SACH UEH'!$A$3:$FE$2228,8,0)</f>
        <v>0948664820</v>
      </c>
      <c r="O3" t="str">
        <f>IFERROR(VLOOKUP(AE3,'DS TAO MAIL'!$D$3:$M$1120,5,0),"")</f>
        <v>31261570519</v>
      </c>
      <c r="P3" t="str">
        <f>IFERROR(VLOOKUP(AE3,'DS TAO MAIL'!$D$3:$M$1120,8,0),"")</f>
        <v>45355106</v>
      </c>
      <c r="Q3" t="str">
        <f>IFERROR(VLOOKUP(AE3,'DS TAO MAIL'!$D$3:$M$1120,7,0),"")</f>
        <v>phuongon.31261570519@st.ueh.edu.vn</v>
      </c>
      <c r="R3" t="str">
        <f>IFERROR(VLOOKUP(AE3,'DS TAO MAIL'!$D$3:$M$1120,8,0),"")</f>
        <v>45355106</v>
      </c>
      <c r="S3">
        <v>64.7</v>
      </c>
      <c r="U3">
        <v>64.7</v>
      </c>
      <c r="V3" t="str">
        <f>IFERROR(IF(VLOOKUP(B3,'DANH SACH UEH'!$A$3:$FE$2228,27,0)="Không có","",IF(VLOOKUP(B3,'DANH SACH UEH'!$A$3:$FE$2228,29,0)&lt;"6","",(VLOOKUP(B3,'DANH SACH UEH'!$A$3:$FE$2228,27,0)))),"")</f>
        <v>IELTS</v>
      </c>
      <c r="W3" t="str">
        <f>IFERROR(IF(VLOOKUP(B3,'DANH SACH UEH'!$A$3:$FE$2228,29,0)&lt;"6","",VLOOKUP(B3,'DANH SACH UEH'!$A$3:$FE$2228,29,0)),"")</f>
        <v>6</v>
      </c>
      <c r="X3" t="str">
        <f>IFERROR(IF(V3="","",VLOOKUP(B3,'DANH SACH UEH'!$A$3:$FE$2228,28,0)&amp;""),"")</f>
        <v>09/05/2026</v>
      </c>
      <c r="Z3" t="str">
        <f>VLOOKUP(B3,'DANH SACH UEH'!$A$3:$FE$2228,44,0)</f>
        <v>8.00</v>
      </c>
      <c r="AA3" t="str">
        <f>VLOOKUP(B3,'DANH SACH UEH'!$A$3:$FE$2228,45,0)</f>
        <v>8.12</v>
      </c>
      <c r="AB3" t="str">
        <f>VLOOKUP(B3,'DANH SACH UEH'!$A$3:$FE$2228,46,0)</f>
        <v>8.20</v>
      </c>
      <c r="AE3" t="str">
        <f>VLOOKUP(B3,'DANH SACH UEH'!$A$3:$I$2229,4,0)</f>
        <v>ÔN MỸ PHƯƠNG</v>
      </c>
      <c r="AF3" t="str">
        <f>VLOOKUP(B3,'DANH SACH UEH'!$A$3:$I$2229,8,0)</f>
        <v>0948664820</v>
      </c>
    </row>
    <row r="4" spans="1:32" x14ac:dyDescent="0.25">
      <c r="A4">
        <v>3</v>
      </c>
      <c r="B4" t="s">
        <v>52</v>
      </c>
      <c r="C4" t="str">
        <f>VLOOKUP(B4,'DANH SACH UEH'!$A$3:$FE$2228,2,0)</f>
        <v>KSVBS2649203</v>
      </c>
      <c r="D4" t="str">
        <f>IFERROR(VLOOKUP(B4,'DS NGHIEP VU BO'!$A$3:$BX$148,6,0),"")</f>
        <v>82017938</v>
      </c>
      <c r="E4" t="str">
        <f>VLOOKUP(B4,'DS NGHIEP VU BO'!$A$3:$BX$148,45,0)</f>
        <v>Đồng Tháp</v>
      </c>
      <c r="F4" t="str">
        <f t="shared" si="0"/>
        <v/>
      </c>
      <c r="G4" t="str">
        <f>IFERROR(IF(VLOOKUP(B4,'DANH SACH UEH'!$A$3:$FE$2228,18,0)="Không có","",VLOOKUP(B4,'DANH SACH UEH'!$A$3:$FE$2228,18,0)),"")</f>
        <v/>
      </c>
      <c r="H4" t="str">
        <f>IFERROR(IF(VLOOKUP(B4,'DANH SACH UEH'!$A$3:$FE$2228,20,0)="Không có","",VLOOKUP(B4,'DANH SACH UEH'!$A$3:$FE$2228,20,0)),"")</f>
        <v/>
      </c>
      <c r="I4" t="str">
        <f>IFERROR(IF(VLOOKUP(B4,'DANH SACH UEH'!$A$3:$FE$2228,19,0)="Không có","",VLOOKUP(B4,'DANH SACH UEH'!$A$3:$FE$2228,19,0)),"")</f>
        <v/>
      </c>
      <c r="J4" t="str">
        <f>VLOOKUP(B4,'DANH SACH UEH'!$A$3:$FE$2228,6,0)</f>
        <v>03/01/2008</v>
      </c>
      <c r="K4" t="str">
        <f>IF(VLOOKUP(B4,'DANH SACH UEH'!$A$3:$FE$2228,5,0)="1","Nữ","Nam")</f>
        <v>Nữ</v>
      </c>
      <c r="L4" t="str">
        <f>VLOOKUP(B4,'DANH SACH UEH'!$A$3:$FE$2228,14,0)</f>
        <v>Kinh</v>
      </c>
      <c r="M4" t="str">
        <f>VLOOKUP(B4,'DANH SACH UEH'!$A$3:$FE$2228,7,0)</f>
        <v>manhyangho0301@gmail.com</v>
      </c>
      <c r="N4" t="str">
        <f>VLOOKUP(B4,'DANH SACH UEH'!$A$3:$FE$2228,8,0)</f>
        <v>0797280837</v>
      </c>
      <c r="O4" t="str">
        <f>IFERROR(VLOOKUP(AE4,'DS TAO MAIL'!$D$3:$M$1120,5,0),"")</f>
        <v>31261570480</v>
      </c>
      <c r="P4" t="str">
        <f>IFERROR(VLOOKUP(AE4,'DS TAO MAIL'!$D$3:$M$1120,8,0),"")</f>
        <v>60060213</v>
      </c>
      <c r="Q4" t="str">
        <f>IFERROR(VLOOKUP(AE4,'DS TAO MAIL'!$D$3:$M$1120,7,0),"")</f>
        <v>anhpham.31261570480@st.ueh.edu.vn</v>
      </c>
      <c r="R4" t="str">
        <f>IFERROR(VLOOKUP(AE4,'DS TAO MAIL'!$D$3:$M$1120,8,0),"")</f>
        <v>60060213</v>
      </c>
      <c r="S4">
        <v>79.010000000000005</v>
      </c>
      <c r="U4">
        <v>76.680000000000007</v>
      </c>
      <c r="V4" t="str">
        <f>IFERROR(IF(VLOOKUP(B4,'DANH SACH UEH'!$A$3:$FE$2228,27,0)="Không có","",IF(VLOOKUP(B4,'DANH SACH UEH'!$A$3:$FE$2228,29,0)&lt;"6","",(VLOOKUP(B4,'DANH SACH UEH'!$A$3:$FE$2228,27,0)))),"")</f>
        <v/>
      </c>
      <c r="W4" t="str">
        <f>IFERROR(IF(VLOOKUP(B4,'DANH SACH UEH'!$A$3:$FE$2228,29,0)&lt;"6","",VLOOKUP(B4,'DANH SACH UEH'!$A$3:$FE$2228,29,0)),"")</f>
        <v/>
      </c>
      <c r="X4" t="str">
        <f>IFERROR(IF(V4="","",VLOOKUP(B4,'DANH SACH UEH'!$A$3:$FE$2228,28,0)&amp;""),"")</f>
        <v/>
      </c>
      <c r="Z4" t="str">
        <f>VLOOKUP(B4,'DANH SACH UEH'!$A$3:$FE$2228,44,0)</f>
        <v>8.57</v>
      </c>
      <c r="AA4" t="str">
        <f>VLOOKUP(B4,'DANH SACH UEH'!$A$3:$FE$2228,45,0)</f>
        <v>8.79</v>
      </c>
      <c r="AB4" t="str">
        <f>VLOOKUP(B4,'DANH SACH UEH'!$A$3:$FE$2228,46,0)</f>
        <v>8.81</v>
      </c>
      <c r="AE4" t="str">
        <f>VLOOKUP(B4,'DANH SACH UEH'!$A$3:$I$2229,4,0)</f>
        <v>PHẠM THỤY TRÂM ANH</v>
      </c>
      <c r="AF4" t="str">
        <f>VLOOKUP(B4,'DANH SACH UEH'!$A$3:$I$2229,8,0)</f>
        <v>0797280837</v>
      </c>
    </row>
    <row r="5" spans="1:32" x14ac:dyDescent="0.25">
      <c r="A5">
        <v>4</v>
      </c>
      <c r="B5" t="s">
        <v>3144</v>
      </c>
      <c r="C5" t="str">
        <f>VLOOKUP(B5,'DANH SACH UEH'!$A$3:$FE$2228,2,0)</f>
        <v>KSVBS2635356</v>
      </c>
      <c r="D5" t="str">
        <f>IFERROR(VLOOKUP(B5,'DS NGHIEP VU BO'!$A$3:$BX$148,6,0),"")</f>
        <v>91020148</v>
      </c>
      <c r="E5" t="str">
        <f>VLOOKUP(B5,'DS NGHIEP VU BO'!$A$3:$BX$148,45,0)</f>
        <v>An Giang</v>
      </c>
      <c r="F5" t="str">
        <f t="shared" si="0"/>
        <v/>
      </c>
      <c r="G5" t="str">
        <f>IFERROR(IF(VLOOKUP(B5,'DANH SACH UEH'!$A$3:$FE$2228,18,0)="Không có","",VLOOKUP(B5,'DANH SACH UEH'!$A$3:$FE$2228,18,0)),"")</f>
        <v/>
      </c>
      <c r="H5" t="str">
        <f>IFERROR(IF(VLOOKUP(B5,'DANH SACH UEH'!$A$3:$FE$2228,20,0)="Không có","",VLOOKUP(B5,'DANH SACH UEH'!$A$3:$FE$2228,20,0)),"")</f>
        <v/>
      </c>
      <c r="I5" t="str">
        <f>IFERROR(IF(VLOOKUP(B5,'DANH SACH UEH'!$A$3:$FE$2228,19,0)="Không có","",VLOOKUP(B5,'DANH SACH UEH'!$A$3:$FE$2228,19,0)),"")</f>
        <v/>
      </c>
      <c r="J5" t="str">
        <f>VLOOKUP(B5,'DANH SACH UEH'!$A$3:$FE$2228,6,0)</f>
        <v>19/06/2008</v>
      </c>
      <c r="K5" t="str">
        <f>IF(VLOOKUP(B5,'DANH SACH UEH'!$A$3:$FE$2228,5,0)="1","Nữ","Nam")</f>
        <v>Nam</v>
      </c>
      <c r="L5" t="str">
        <f>VLOOKUP(B5,'DANH SACH UEH'!$A$3:$FE$2228,14,0)</f>
        <v>Kinh</v>
      </c>
      <c r="M5" t="str">
        <f>VLOOKUP(B5,'DANH SACH UEH'!$A$3:$FE$2228,7,0)</f>
        <v>huutrong07102022@gmail.com</v>
      </c>
      <c r="N5" t="str">
        <f>VLOOKUP(B5,'DANH SACH UEH'!$A$3:$FE$2228,8,0)</f>
        <v>0981728059</v>
      </c>
      <c r="O5">
        <f>IFERROR(VLOOKUP(AE5,'DS TAO MAIL'!$D$3:$M$1120,5,0),"")</f>
        <v>31261570537</v>
      </c>
      <c r="P5">
        <f>IFERROR(VLOOKUP(AE5,'DS TAO MAIL'!$D$3:$M$1120,8,0),"")</f>
        <v>63246509</v>
      </c>
      <c r="Q5" t="str">
        <f>IFERROR(VLOOKUP(AE5,'DS TAO MAIL'!$D$3:$M$1120,7,0),"")</f>
        <v>trongnguyen.31261570537@st.ueh.edu.vn</v>
      </c>
      <c r="R5">
        <f>IFERROR(VLOOKUP(AE5,'DS TAO MAIL'!$D$3:$M$1120,8,0),"")</f>
        <v>63246509</v>
      </c>
      <c r="S5">
        <v>67.989999999999995</v>
      </c>
      <c r="U5">
        <v>66.319999999999993</v>
      </c>
      <c r="V5" t="str">
        <f>IFERROR(IF(VLOOKUP(B5,'DANH SACH UEH'!$A$3:$FE$2228,27,0)="Không có","",IF(VLOOKUP(B5,'DANH SACH UEH'!$A$3:$FE$2228,29,0)&lt;"6","",(VLOOKUP(B5,'DANH SACH UEH'!$A$3:$FE$2228,27,0)))),"")</f>
        <v/>
      </c>
      <c r="W5" t="str">
        <f>IFERROR(IF(VLOOKUP(B5,'DANH SACH UEH'!$A$3:$FE$2228,29,0)&lt;"6","",VLOOKUP(B5,'DANH SACH UEH'!$A$3:$FE$2228,29,0)),"")</f>
        <v/>
      </c>
      <c r="X5" t="str">
        <f>IFERROR(IF(V5="","",VLOOKUP(B5,'DANH SACH UEH'!$A$3:$FE$2228,28,0)&amp;""),"")</f>
        <v/>
      </c>
      <c r="Z5" t="str">
        <f>VLOOKUP(B5,'DANH SACH UEH'!$A$3:$FE$2228,44,0)</f>
        <v>7.10</v>
      </c>
      <c r="AA5" t="str">
        <f>VLOOKUP(B5,'DANH SACH UEH'!$A$3:$FE$2228,45,0)</f>
        <v>7.36</v>
      </c>
      <c r="AB5" t="str">
        <f>VLOOKUP(B5,'DANH SACH UEH'!$A$3:$FE$2228,46,0)</f>
        <v>8.39</v>
      </c>
      <c r="AE5" t="str">
        <f>VLOOKUP(B5,'DANH SACH UEH'!$A$3:$I$2229,4,0)</f>
        <v>NGUYỄN HỮU TRỌNG</v>
      </c>
      <c r="AF5" t="str">
        <f>VLOOKUP(B5,'DANH SACH UEH'!$A$3:$I$2229,8,0)</f>
        <v>0981728059</v>
      </c>
    </row>
    <row r="6" spans="1:32" x14ac:dyDescent="0.25">
      <c r="A6">
        <v>5</v>
      </c>
      <c r="B6" t="s">
        <v>2101</v>
      </c>
      <c r="C6" t="str">
        <f>VLOOKUP(B6,'DANH SACH UEH'!$A$3:$FE$2228,2,0)</f>
        <v>KSVBS2613894</v>
      </c>
      <c r="D6" t="str">
        <f>IFERROR(VLOOKUP(B6,'DS NGHIEP VU BO'!$A$3:$BX$148,6,0),"")</f>
        <v>91016468</v>
      </c>
      <c r="E6" t="str">
        <f>VLOOKUP(B6,'DS NGHIEP VU BO'!$A$3:$BX$148,45,0)</f>
        <v>An Giang</v>
      </c>
      <c r="F6" t="str">
        <f t="shared" si="0"/>
        <v/>
      </c>
      <c r="G6" t="str">
        <f>IFERROR(IF(VLOOKUP(B6,'DANH SACH UEH'!$A$3:$FE$2228,18,0)="Không có","",VLOOKUP(B6,'DANH SACH UEH'!$A$3:$FE$2228,18,0)),"")</f>
        <v/>
      </c>
      <c r="H6" t="str">
        <f>IFERROR(IF(VLOOKUP(B6,'DANH SACH UEH'!$A$3:$FE$2228,20,0)="Không có","",VLOOKUP(B6,'DANH SACH UEH'!$A$3:$FE$2228,20,0)),"")</f>
        <v/>
      </c>
      <c r="I6" t="str">
        <f>IFERROR(IF(VLOOKUP(B6,'DANH SACH UEH'!$A$3:$FE$2228,19,0)="Không có","",VLOOKUP(B6,'DANH SACH UEH'!$A$3:$FE$2228,19,0)),"")</f>
        <v/>
      </c>
      <c r="J6" t="str">
        <f>VLOOKUP(B6,'DANH SACH UEH'!$A$3:$FE$2228,6,0)</f>
        <v>03/08/2008</v>
      </c>
      <c r="K6" t="str">
        <f>IF(VLOOKUP(B6,'DANH SACH UEH'!$A$3:$FE$2228,5,0)="1","Nữ","Nam")</f>
        <v>Nữ</v>
      </c>
      <c r="L6" t="str">
        <f>VLOOKUP(B6,'DANH SACH UEH'!$A$3:$FE$2228,14,0)</f>
        <v>Kinh</v>
      </c>
      <c r="M6" t="str">
        <f>VLOOKUP(B6,'DANH SACH UEH'!$A$3:$FE$2228,7,0)</f>
        <v>tn3188623@gmail.com</v>
      </c>
      <c r="N6" t="str">
        <f>VLOOKUP(B6,'DANH SACH UEH'!$A$3:$FE$2228,8,0)</f>
        <v>0926814889</v>
      </c>
      <c r="O6" t="str">
        <f>IFERROR(VLOOKUP(AF6,'DS TAO MAIL'!$A$3:$M$1120,8,0),"")</f>
        <v/>
      </c>
      <c r="P6" t="str">
        <f>IFERROR(VLOOKUP(AF6,'DS TAO MAIL'!$A$3:$M$1120,11,0),"")</f>
        <v/>
      </c>
      <c r="Q6" t="str">
        <f>IFERROR(VLOOKUP(AF6,'DS TAO MAIL'!$A$3:$M$1120,10,0),"")</f>
        <v/>
      </c>
      <c r="R6" t="str">
        <f>IFERROR(VLOOKUP(AF6,'DS TAO MAIL'!$A$3:$M$1120,11,0),"")</f>
        <v/>
      </c>
      <c r="S6">
        <v>63.13</v>
      </c>
      <c r="U6">
        <v>61.46</v>
      </c>
      <c r="V6" t="str">
        <f>IFERROR(IF(VLOOKUP(B6,'DANH SACH UEH'!$A$3:$FE$2228,27,0)="Không có","",IF(VLOOKUP(B6,'DANH SACH UEH'!$A$3:$FE$2228,29,0)&lt;"6","",(VLOOKUP(B6,'DANH SACH UEH'!$A$3:$FE$2228,27,0)))),"")</f>
        <v/>
      </c>
      <c r="W6" t="str">
        <f>IFERROR(IF(VLOOKUP(B6,'DANH SACH UEH'!$A$3:$FE$2228,29,0)&lt;"6","",VLOOKUP(B6,'DANH SACH UEH'!$A$3:$FE$2228,29,0)),"")</f>
        <v/>
      </c>
      <c r="X6" t="str">
        <f>IFERROR(IF(V6="","",VLOOKUP(B6,'DANH SACH UEH'!$A$3:$FE$2228,28,0)&amp;""),"")</f>
        <v/>
      </c>
      <c r="Z6" t="str">
        <f>VLOOKUP(B6,'DANH SACH UEH'!$A$3:$FE$2228,44,0)</f>
        <v>7.96</v>
      </c>
      <c r="AA6" t="str">
        <f>VLOOKUP(B6,'DANH SACH UEH'!$A$3:$FE$2228,45,0)</f>
        <v>8.14</v>
      </c>
      <c r="AB6" t="str">
        <f>VLOOKUP(B6,'DANH SACH UEH'!$A$3:$FE$2228,46,0)</f>
        <v>8.44</v>
      </c>
      <c r="AE6" t="str">
        <f>VLOOKUP(B6,'DANH SACH UEH'!$A$3:$I$2229,4,0)</f>
        <v>NGUYỄN NGỌC MINH THƯ</v>
      </c>
      <c r="AF6" t="str">
        <f>VLOOKUP(B6,'DANH SACH UEH'!$A$3:$I$2229,8,0)</f>
        <v>0926814889</v>
      </c>
    </row>
    <row r="7" spans="1:32" x14ac:dyDescent="0.25">
      <c r="A7">
        <v>6</v>
      </c>
      <c r="B7" t="s">
        <v>3188</v>
      </c>
      <c r="C7" t="str">
        <f>VLOOKUP(B7,'DANH SACH UEH'!$A$3:$FE$2228,2,0)</f>
        <v>KSVBS2634521</v>
      </c>
      <c r="D7" t="str">
        <f>IFERROR(VLOOKUP(B7,'DS NGHIEP VU BO'!$A$3:$BX$148,6,0),"")</f>
        <v>86004072</v>
      </c>
      <c r="E7" t="str">
        <f>VLOOKUP(B7,'DS NGHIEP VU BO'!$A$3:$BX$148,45,0)</f>
        <v>Vĩnh Long</v>
      </c>
      <c r="F7" t="str">
        <f t="shared" si="0"/>
        <v/>
      </c>
      <c r="G7" t="str">
        <f>IFERROR(IF(VLOOKUP(B7,'DANH SACH UEH'!$A$3:$FE$2228,18,0)="Không có","",VLOOKUP(B7,'DANH SACH UEH'!$A$3:$FE$2228,18,0)),"")</f>
        <v/>
      </c>
      <c r="H7" t="str">
        <f>IFERROR(IF(VLOOKUP(B7,'DANH SACH UEH'!$A$3:$FE$2228,20,0)="Không có","",VLOOKUP(B7,'DANH SACH UEH'!$A$3:$FE$2228,20,0)),"")</f>
        <v/>
      </c>
      <c r="I7" t="str">
        <f>IFERROR(IF(VLOOKUP(B7,'DANH SACH UEH'!$A$3:$FE$2228,19,0)="Không có","",VLOOKUP(B7,'DANH SACH UEH'!$A$3:$FE$2228,19,0)),"")</f>
        <v/>
      </c>
      <c r="J7" t="str">
        <f>VLOOKUP(B7,'DANH SACH UEH'!$A$3:$FE$2228,6,0)</f>
        <v>26/02/2008</v>
      </c>
      <c r="K7" t="str">
        <f>IF(VLOOKUP(B7,'DANH SACH UEH'!$A$3:$FE$2228,5,0)="1","Nữ","Nam")</f>
        <v>Nữ</v>
      </c>
      <c r="L7" t="str">
        <f>VLOOKUP(B7,'DANH SACH UEH'!$A$3:$FE$2228,14,0)</f>
        <v>Kinh</v>
      </c>
      <c r="M7" t="str">
        <f>VLOOKUP(B7,'DANH SACH UEH'!$A$3:$FE$2228,7,0)</f>
        <v>peklinh2602@gmail.com</v>
      </c>
      <c r="N7" t="str">
        <f>VLOOKUP(B7,'DANH SACH UEH'!$A$3:$FE$2228,8,0)</f>
        <v>0862590198</v>
      </c>
      <c r="O7" t="str">
        <f>IFERROR(VLOOKUP(AE7,'DS TAO MAIL'!$D$3:$M$1120,5,0),"")</f>
        <v/>
      </c>
      <c r="P7" t="str">
        <f>IFERROR(VLOOKUP(AE7,'DS TAO MAIL'!$D$3:$M$1120,8,0),"")</f>
        <v/>
      </c>
      <c r="Q7" t="str">
        <f>IFERROR(VLOOKUP(AE7,'DS TAO MAIL'!$D$3:$M$1120,7,0),"")</f>
        <v/>
      </c>
      <c r="R7" t="str">
        <f>IFERROR(VLOOKUP(AE7,'DS TAO MAIL'!$D$3:$M$1120,8,0),"")</f>
        <v/>
      </c>
      <c r="S7">
        <v>67.709999999999994</v>
      </c>
      <c r="U7">
        <v>66.040000000000006</v>
      </c>
      <c r="V7" t="str">
        <f>IFERROR(IF(VLOOKUP(B7,'DANH SACH UEH'!$A$3:$FE$2228,27,0)="Không có","",IF(VLOOKUP(B7,'DANH SACH UEH'!$A$3:$FE$2228,29,0)&lt;"6","",(VLOOKUP(B7,'DANH SACH UEH'!$A$3:$FE$2228,27,0)))),"")</f>
        <v/>
      </c>
      <c r="W7" t="str">
        <f>IFERROR(IF(VLOOKUP(B7,'DANH SACH UEH'!$A$3:$FE$2228,29,0)&lt;"6","",VLOOKUP(B7,'DANH SACH UEH'!$A$3:$FE$2228,29,0)),"")</f>
        <v/>
      </c>
      <c r="X7" t="str">
        <f>IFERROR(IF(V7="","",VLOOKUP(B7,'DANH SACH UEH'!$A$3:$FE$2228,28,0)&amp;""),"")</f>
        <v/>
      </c>
      <c r="Z7" t="str">
        <f>VLOOKUP(B7,'DANH SACH UEH'!$A$3:$FE$2228,44,0)</f>
        <v>8.46</v>
      </c>
      <c r="AA7" t="str">
        <f>VLOOKUP(B7,'DANH SACH UEH'!$A$3:$FE$2228,45,0)</f>
        <v>9.47</v>
      </c>
      <c r="AB7" t="str">
        <f>VLOOKUP(B7,'DANH SACH UEH'!$A$3:$FE$2228,46,0)</f>
        <v>9.40</v>
      </c>
      <c r="AE7" t="str">
        <f>VLOOKUP(B7,'DANH SACH UEH'!$A$3:$I$2229,4,0)</f>
        <v>TÔ THỊ ÁNH LINH</v>
      </c>
      <c r="AF7" t="str">
        <f>VLOOKUP(B7,'DANH SACH UEH'!$A$3:$I$2229,8,0)</f>
        <v>0862590198</v>
      </c>
    </row>
    <row r="8" spans="1:32" x14ac:dyDescent="0.25">
      <c r="A8">
        <v>7</v>
      </c>
      <c r="B8" t="s">
        <v>56</v>
      </c>
      <c r="C8" t="str">
        <f>VLOOKUP(B8,'DANH SACH UEH'!$A$3:$FE$2228,2,0)</f>
        <v>KSVBS2631718</v>
      </c>
      <c r="D8" t="str">
        <f>IFERROR(VLOOKUP(B8,'DS NGHIEP VU BO'!$A$3:$BX$148,6,0),"")</f>
        <v>86015817</v>
      </c>
      <c r="E8" t="str">
        <f>VLOOKUP(B8,'DS NGHIEP VU BO'!$A$3:$BX$148,45,0)</f>
        <v>Vĩnh Long</v>
      </c>
      <c r="F8" t="str">
        <f t="shared" si="0"/>
        <v/>
      </c>
      <c r="G8" t="str">
        <f>IFERROR(IF(VLOOKUP(B8,'DANH SACH UEH'!$A$3:$FE$2228,18,0)="Không có","",VLOOKUP(B8,'DANH SACH UEH'!$A$3:$FE$2228,18,0)),"")</f>
        <v/>
      </c>
      <c r="H8" t="str">
        <f>IFERROR(IF(VLOOKUP(B8,'DANH SACH UEH'!$A$3:$FE$2228,20,0)="Không có","",VLOOKUP(B8,'DANH SACH UEH'!$A$3:$FE$2228,20,0)),"")</f>
        <v/>
      </c>
      <c r="I8" t="str">
        <f>IFERROR(IF(VLOOKUP(B8,'DANH SACH UEH'!$A$3:$FE$2228,19,0)="Không có","",VLOOKUP(B8,'DANH SACH UEH'!$A$3:$FE$2228,19,0)),"")</f>
        <v/>
      </c>
      <c r="J8" t="str">
        <f>VLOOKUP(B8,'DANH SACH UEH'!$A$3:$FE$2228,6,0)</f>
        <v>27/07/2008</v>
      </c>
      <c r="K8" t="str">
        <f>IF(VLOOKUP(B8,'DANH SACH UEH'!$A$3:$FE$2228,5,0)="1","Nữ","Nam")</f>
        <v>Nữ</v>
      </c>
      <c r="L8" t="str">
        <f>VLOOKUP(B8,'DANH SACH UEH'!$A$3:$FE$2228,14,0)</f>
        <v>Kinh</v>
      </c>
      <c r="M8" t="str">
        <f>VLOOKUP(B8,'DANH SACH UEH'!$A$3:$FE$2228,7,0)</f>
        <v>phucanle171913@gmail.com</v>
      </c>
      <c r="N8" t="str">
        <f>VLOOKUP(B8,'DANH SACH UEH'!$A$3:$FE$2228,8,0)</f>
        <v>0792398749</v>
      </c>
      <c r="O8" t="str">
        <f>IFERROR(VLOOKUP(AE8,'DS TAO MAIL'!$D$3:$M$1120,5,0),"")</f>
        <v>31261570423</v>
      </c>
      <c r="P8" t="str">
        <f>IFERROR(VLOOKUP(AE8,'DS TAO MAIL'!$D$3:$M$1120,8,0),"")</f>
        <v>60441217</v>
      </c>
      <c r="Q8" t="str">
        <f>IFERROR(VLOOKUP(AE8,'DS TAO MAIL'!$D$3:$M$1120,7,0),"")</f>
        <v>anle.31261570423@st.ueh.edu.vn</v>
      </c>
      <c r="R8" t="str">
        <f>IFERROR(VLOOKUP(AE8,'DS TAO MAIL'!$D$3:$M$1120,8,0),"")</f>
        <v>60441217</v>
      </c>
      <c r="S8">
        <v>88.94</v>
      </c>
      <c r="U8">
        <v>88.94</v>
      </c>
      <c r="V8" t="str">
        <f>IFERROR(IF(VLOOKUP(B8,'DANH SACH UEH'!$A$3:$FE$2228,27,0)="Không có","",IF(VLOOKUP(B8,'DANH SACH UEH'!$A$3:$FE$2228,29,0)&lt;"6","",(VLOOKUP(B8,'DANH SACH UEH'!$A$3:$FE$2228,27,0)))),"")</f>
        <v/>
      </c>
      <c r="W8" t="str">
        <f>IFERROR(IF(VLOOKUP(B8,'DANH SACH UEH'!$A$3:$FE$2228,29,0)&lt;"6","",VLOOKUP(B8,'DANH SACH UEH'!$A$3:$FE$2228,29,0)),"")</f>
        <v/>
      </c>
      <c r="X8" t="str">
        <f>IFERROR(IF(V8="","",VLOOKUP(B8,'DANH SACH UEH'!$A$3:$FE$2228,28,0)&amp;""),"")</f>
        <v/>
      </c>
      <c r="Z8" t="str">
        <f>VLOOKUP(B8,'DANH SACH UEH'!$A$3:$FE$2228,44,0)</f>
        <v>8.47</v>
      </c>
      <c r="AA8" t="str">
        <f>VLOOKUP(B8,'DANH SACH UEH'!$A$3:$FE$2228,45,0)</f>
        <v>8.60</v>
      </c>
      <c r="AB8" t="str">
        <f>VLOOKUP(B8,'DANH SACH UEH'!$A$3:$FE$2228,46,0)</f>
        <v>8.64</v>
      </c>
      <c r="AE8" t="str">
        <f>VLOOKUP(B8,'DANH SACH UEH'!$A$3:$I$2229,4,0)</f>
        <v>LÊ PHÚC AN</v>
      </c>
      <c r="AF8" t="str">
        <f>VLOOKUP(B8,'DANH SACH UEH'!$A$3:$I$2229,8,0)</f>
        <v>0792398749</v>
      </c>
    </row>
    <row r="9" spans="1:32" x14ac:dyDescent="0.25">
      <c r="A9">
        <v>8</v>
      </c>
      <c r="B9" t="s">
        <v>58</v>
      </c>
      <c r="C9" t="str">
        <f>VLOOKUP(B9,'DANH SACH UEH'!$A$3:$FE$2228,2,0)</f>
        <v>KSVBS2631682</v>
      </c>
      <c r="D9" t="str">
        <f>IFERROR(VLOOKUP(B9,'DS NGHIEP VU BO'!$A$3:$BX$148,6,0),"")</f>
        <v>92014084</v>
      </c>
      <c r="E9" t="str">
        <f>VLOOKUP(B9,'DS NGHIEP VU BO'!$A$3:$BX$148,45,0)</f>
        <v>Vĩnh Long</v>
      </c>
      <c r="F9" t="str">
        <f t="shared" si="0"/>
        <v/>
      </c>
      <c r="G9" t="str">
        <f>IFERROR(IF(VLOOKUP(B9,'DANH SACH UEH'!$A$3:$FE$2228,18,0)="Không có","",VLOOKUP(B9,'DANH SACH UEH'!$A$3:$FE$2228,18,0)),"")</f>
        <v/>
      </c>
      <c r="H9" t="str">
        <f>IFERROR(IF(VLOOKUP(B9,'DANH SACH UEH'!$A$3:$FE$2228,20,0)="Không có","",VLOOKUP(B9,'DANH SACH UEH'!$A$3:$FE$2228,20,0)),"")</f>
        <v/>
      </c>
      <c r="I9" t="str">
        <f>IFERROR(IF(VLOOKUP(B9,'DANH SACH UEH'!$A$3:$FE$2228,19,0)="Không có","",VLOOKUP(B9,'DANH SACH UEH'!$A$3:$FE$2228,19,0)),"")</f>
        <v/>
      </c>
      <c r="J9" t="str">
        <f>VLOOKUP(B9,'DANH SACH UEH'!$A$3:$FE$2228,6,0)</f>
        <v>23/10/2008</v>
      </c>
      <c r="K9" t="str">
        <f>IF(VLOOKUP(B9,'DANH SACH UEH'!$A$3:$FE$2228,5,0)="1","Nữ","Nam")</f>
        <v>Nữ</v>
      </c>
      <c r="L9" t="str">
        <f>VLOOKUP(B9,'DANH SACH UEH'!$A$3:$FE$2228,14,0)</f>
        <v>Kinh</v>
      </c>
      <c r="M9" t="str">
        <f>VLOOKUP(B9,'DANH SACH UEH'!$A$3:$FE$2228,7,0)</f>
        <v>minhnguyetnguyenquoc@gmail.com</v>
      </c>
      <c r="N9" t="str">
        <f>VLOOKUP(B9,'DANH SACH UEH'!$A$3:$FE$2228,8,0)</f>
        <v>0846578578</v>
      </c>
      <c r="O9" t="str">
        <f>IFERROR(VLOOKUP(AE9,'DS TAO MAIL'!$D$3:$M$1120,5,0),"")</f>
        <v>31261570502</v>
      </c>
      <c r="P9" t="str">
        <f>IFERROR(VLOOKUP(AE9,'DS TAO MAIL'!$D$3:$M$1120,8,0),"")</f>
        <v>97481732</v>
      </c>
      <c r="Q9" t="str">
        <f>IFERROR(VLOOKUP(AE9,'DS TAO MAIL'!$D$3:$M$1120,7,0),"")</f>
        <v>nguyetnguyen.31261570502@st.ueh.edu.vn</v>
      </c>
      <c r="R9" t="str">
        <f>IFERROR(VLOOKUP(AE9,'DS TAO MAIL'!$D$3:$M$1120,8,0),"")</f>
        <v>97481732</v>
      </c>
      <c r="S9">
        <v>64.47</v>
      </c>
      <c r="U9">
        <v>63.64</v>
      </c>
      <c r="V9" t="str">
        <f>IFERROR(IF(VLOOKUP(B9,'DANH SACH UEH'!$A$3:$FE$2228,27,0)="Không có","",IF(VLOOKUP(B9,'DANH SACH UEH'!$A$3:$FE$2228,29,0)&lt;"6","",(VLOOKUP(B9,'DANH SACH UEH'!$A$3:$FE$2228,27,0)))),"")</f>
        <v/>
      </c>
      <c r="W9" t="str">
        <f>IFERROR(IF(VLOOKUP(B9,'DANH SACH UEH'!$A$3:$FE$2228,29,0)&lt;"6","",VLOOKUP(B9,'DANH SACH UEH'!$A$3:$FE$2228,29,0)),"")</f>
        <v/>
      </c>
      <c r="X9" t="str">
        <f>IFERROR(IF(V9="","",VLOOKUP(B9,'DANH SACH UEH'!$A$3:$FE$2228,28,0)&amp;""),"")</f>
        <v/>
      </c>
      <c r="Z9" t="str">
        <f>VLOOKUP(B9,'DANH SACH UEH'!$A$3:$FE$2228,44,0)</f>
        <v>8.38</v>
      </c>
      <c r="AA9" t="str">
        <f>VLOOKUP(B9,'DANH SACH UEH'!$A$3:$FE$2228,45,0)</f>
        <v>8.67</v>
      </c>
      <c r="AB9" t="str">
        <f>VLOOKUP(B9,'DANH SACH UEH'!$A$3:$FE$2228,46,0)</f>
        <v>8.52</v>
      </c>
      <c r="AE9" t="str">
        <f>VLOOKUP(B9,'DANH SACH UEH'!$A$3:$I$2229,4,0)</f>
        <v>NGUYỄN QUỐC MINH NGUYỆT</v>
      </c>
      <c r="AF9" t="str">
        <f>VLOOKUP(B9,'DANH SACH UEH'!$A$3:$I$2229,8,0)</f>
        <v>0846578578</v>
      </c>
    </row>
    <row r="10" spans="1:32" x14ac:dyDescent="0.25">
      <c r="A10">
        <v>9</v>
      </c>
      <c r="B10" t="s">
        <v>72</v>
      </c>
      <c r="C10" t="str">
        <f>VLOOKUP(B10,'DANH SACH UEH'!$A$3:$FE$2228,2,0)</f>
        <v>KSVBS2648154</v>
      </c>
      <c r="D10" t="str">
        <f>IFERROR(VLOOKUP(B10,'DS NGHIEP VU BO'!$A$3:$BX$148,6,0),"")</f>
        <v>86022423</v>
      </c>
      <c r="E10" t="str">
        <f>VLOOKUP(B10,'DS NGHIEP VU BO'!$A$3:$BX$148,45,0)</f>
        <v>Vĩnh Long</v>
      </c>
      <c r="F10" t="str">
        <f t="shared" si="0"/>
        <v/>
      </c>
      <c r="G10" t="str">
        <f>IFERROR(IF(VLOOKUP(B10,'DANH SACH UEH'!$A$3:$FE$2228,18,0)="Không có","",VLOOKUP(B10,'DANH SACH UEH'!$A$3:$FE$2228,18,0)),"")</f>
        <v/>
      </c>
      <c r="H10" t="str">
        <f>IFERROR(IF(VLOOKUP(B10,'DANH SACH UEH'!$A$3:$FE$2228,20,0)="Không có","",VLOOKUP(B10,'DANH SACH UEH'!$A$3:$FE$2228,20,0)),"")</f>
        <v/>
      </c>
      <c r="I10" t="str">
        <f>IFERROR(IF(VLOOKUP(B10,'DANH SACH UEH'!$A$3:$FE$2228,19,0)="Không có","",VLOOKUP(B10,'DANH SACH UEH'!$A$3:$FE$2228,19,0)),"")</f>
        <v/>
      </c>
      <c r="J10" t="str">
        <f>VLOOKUP(B10,'DANH SACH UEH'!$A$3:$FE$2228,6,0)</f>
        <v>17/07/2008</v>
      </c>
      <c r="K10" t="str">
        <f>IF(VLOOKUP(B10,'DANH SACH UEH'!$A$3:$FE$2228,5,0)="1","Nữ","Nam")</f>
        <v>Nam</v>
      </c>
      <c r="L10" t="str">
        <f>VLOOKUP(B10,'DANH SACH UEH'!$A$3:$FE$2228,14,0)</f>
        <v>Kinh</v>
      </c>
      <c r="M10" t="str">
        <f>VLOOKUP(B10,'DANH SACH UEH'!$A$3:$FE$2228,7,0)</f>
        <v>luongnguyen.dat2008@gmail.com</v>
      </c>
      <c r="N10" t="str">
        <f>VLOOKUP(B10,'DANH SACH UEH'!$A$3:$FE$2228,8,0)</f>
        <v>0907370129</v>
      </c>
      <c r="O10" t="str">
        <f>IFERROR(VLOOKUP(AE10,'DS TAO MAIL'!$D$3:$M$1120,5,0),"")</f>
        <v>31261570467</v>
      </c>
      <c r="P10" t="str">
        <f>IFERROR(VLOOKUP(AE10,'DS TAO MAIL'!$D$3:$M$1120,8,0),"")</f>
        <v>24167667</v>
      </c>
      <c r="Q10" t="str">
        <f>IFERROR(VLOOKUP(AE10,'DS TAO MAIL'!$D$3:$M$1120,7,0),"")</f>
        <v>datluong.31261570467@st.ueh.edu.vn</v>
      </c>
      <c r="R10" t="str">
        <f>IFERROR(VLOOKUP(AE10,'DS TAO MAIL'!$D$3:$M$1120,8,0),"")</f>
        <v>24167667</v>
      </c>
      <c r="S10">
        <v>77.510000000000005</v>
      </c>
      <c r="U10">
        <v>68.34</v>
      </c>
      <c r="V10" t="str">
        <f>IFERROR(IF(VLOOKUP(B10,'DANH SACH UEH'!$A$3:$FE$2228,27,0)="Không có","",IF(VLOOKUP(B10,'DANH SACH UEH'!$A$3:$FE$2228,29,0)&lt;"6","",(VLOOKUP(B10,'DANH SACH UEH'!$A$3:$FE$2228,27,0)))),"")</f>
        <v/>
      </c>
      <c r="W10" t="str">
        <f>IFERROR(IF(VLOOKUP(B10,'DANH SACH UEH'!$A$3:$FE$2228,29,0)&lt;"6","",VLOOKUP(B10,'DANH SACH UEH'!$A$3:$FE$2228,29,0)),"")</f>
        <v/>
      </c>
      <c r="X10" t="str">
        <f>IFERROR(IF(V10="","",VLOOKUP(B10,'DANH SACH UEH'!$A$3:$FE$2228,28,0)&amp;""),"")</f>
        <v/>
      </c>
      <c r="Z10" t="str">
        <f>VLOOKUP(B10,'DANH SACH UEH'!$A$3:$FE$2228,44,0)</f>
        <v>8.33</v>
      </c>
      <c r="AA10" t="str">
        <f>VLOOKUP(B10,'DANH SACH UEH'!$A$3:$FE$2228,45,0)</f>
        <v>8.38</v>
      </c>
      <c r="AB10" t="str">
        <f>VLOOKUP(B10,'DANH SACH UEH'!$A$3:$FE$2228,46,0)</f>
        <v>8.91</v>
      </c>
      <c r="AE10" t="str">
        <f>VLOOKUP(B10,'DANH SACH UEH'!$A$3:$I$2229,4,0)</f>
        <v>LƯƠNG NGUYỄN ĐẠT</v>
      </c>
      <c r="AF10" t="str">
        <f>VLOOKUP(B10,'DANH SACH UEH'!$A$3:$I$2229,8,0)</f>
        <v>0907370129</v>
      </c>
    </row>
    <row r="11" spans="1:32" x14ac:dyDescent="0.25">
      <c r="A11">
        <v>10</v>
      </c>
      <c r="B11" t="s">
        <v>77</v>
      </c>
      <c r="C11" t="str">
        <f>VLOOKUP(B11,'DANH SACH UEH'!$A$3:$FE$2228,2,0)</f>
        <v>KSVBS2642750</v>
      </c>
      <c r="D11" t="str">
        <f>IFERROR(VLOOKUP(B11,'DS NGHIEP VU BO'!$A$3:$BX$148,6,0),"")</f>
        <v>86011382</v>
      </c>
      <c r="E11" t="str">
        <f>VLOOKUP(B11,'DS NGHIEP VU BO'!$A$3:$BX$148,45,0)</f>
        <v>Vĩnh Long</v>
      </c>
      <c r="F11" t="str">
        <f t="shared" si="0"/>
        <v/>
      </c>
      <c r="G11" t="str">
        <f>IFERROR(IF(VLOOKUP(B11,'DANH SACH UEH'!$A$3:$FE$2228,18,0)="Không có","",VLOOKUP(B11,'DANH SACH UEH'!$A$3:$FE$2228,18,0)),"")</f>
        <v/>
      </c>
      <c r="H11" t="str">
        <f>IFERROR(IF(VLOOKUP(B11,'DANH SACH UEH'!$A$3:$FE$2228,20,0)="Không có","",VLOOKUP(B11,'DANH SACH UEH'!$A$3:$FE$2228,20,0)),"")</f>
        <v/>
      </c>
      <c r="I11" t="str">
        <f>IFERROR(IF(VLOOKUP(B11,'DANH SACH UEH'!$A$3:$FE$2228,19,0)="Không có","",VLOOKUP(B11,'DANH SACH UEH'!$A$3:$FE$2228,19,0)),"")</f>
        <v/>
      </c>
      <c r="J11" t="str">
        <f>VLOOKUP(B11,'DANH SACH UEH'!$A$3:$FE$2228,6,0)</f>
        <v>29/08/2008</v>
      </c>
      <c r="K11" t="str">
        <f>IF(VLOOKUP(B11,'DANH SACH UEH'!$A$3:$FE$2228,5,0)="1","Nữ","Nam")</f>
        <v>Nữ</v>
      </c>
      <c r="L11" t="str">
        <f>VLOOKUP(B11,'DANH SACH UEH'!$A$3:$FE$2228,14,0)</f>
        <v>Kinh</v>
      </c>
      <c r="M11" t="str">
        <f>VLOOKUP(B11,'DANH SACH UEH'!$A$3:$FE$2228,7,0)</f>
        <v>jinshu2908@gmail.com</v>
      </c>
      <c r="N11" t="str">
        <f>VLOOKUP(B11,'DANH SACH UEH'!$A$3:$FE$2228,8,0)</f>
        <v>0397288421</v>
      </c>
      <c r="O11" t="str">
        <f>IFERROR(VLOOKUP(AE11,'DS TAO MAIL'!$D$3:$M$1120,5,0),"")</f>
        <v>31261570489</v>
      </c>
      <c r="P11" t="str">
        <f>IFERROR(VLOOKUP(AE11,'DS TAO MAIL'!$D$3:$M$1120,8,0),"")</f>
        <v>51770313</v>
      </c>
      <c r="Q11" t="str">
        <f>IFERROR(VLOOKUP(AE11,'DS TAO MAIL'!$D$3:$M$1120,7,0),"")</f>
        <v>thunguyen.31261570489@st.ueh.edu.vn</v>
      </c>
      <c r="R11" t="str">
        <f>IFERROR(VLOOKUP(AE11,'DS TAO MAIL'!$D$3:$M$1120,8,0),"")</f>
        <v>51770313</v>
      </c>
      <c r="S11">
        <v>84.64</v>
      </c>
      <c r="U11">
        <v>83.54</v>
      </c>
      <c r="V11" t="str">
        <f>IFERROR(IF(VLOOKUP(B11,'DANH SACH UEH'!$A$3:$FE$2228,27,0)="Không có","",IF(VLOOKUP(B11,'DANH SACH UEH'!$A$3:$FE$2228,29,0)&lt;"6","",(VLOOKUP(B11,'DANH SACH UEH'!$A$3:$FE$2228,27,0)))),"")</f>
        <v/>
      </c>
      <c r="W11" t="str">
        <f>IFERROR(IF(VLOOKUP(B11,'DANH SACH UEH'!$A$3:$FE$2228,29,0)&lt;"6","",VLOOKUP(B11,'DANH SACH UEH'!$A$3:$FE$2228,29,0)),"")</f>
        <v/>
      </c>
      <c r="X11" t="str">
        <f>IFERROR(IF(V11="","",VLOOKUP(B11,'DANH SACH UEH'!$A$3:$FE$2228,28,0)&amp;""),"")</f>
        <v/>
      </c>
      <c r="Z11" t="str">
        <f>VLOOKUP(B11,'DANH SACH UEH'!$A$3:$FE$2228,44,0)</f>
        <v>8.19</v>
      </c>
      <c r="AA11" t="str">
        <f>VLOOKUP(B11,'DANH SACH UEH'!$A$3:$FE$2228,45,0)</f>
        <v>8.07</v>
      </c>
      <c r="AB11" t="str">
        <f>VLOOKUP(B11,'DANH SACH UEH'!$A$3:$FE$2228,46,0)</f>
        <v>9.04</v>
      </c>
      <c r="AE11" t="str">
        <f>VLOOKUP(B11,'DANH SACH UEH'!$A$3:$I$2229,4,0)</f>
        <v>NGUYỄN THỊ KIM THƯ</v>
      </c>
      <c r="AF11" t="str">
        <f>VLOOKUP(B11,'DANH SACH UEH'!$A$3:$I$2229,8,0)</f>
        <v>0397288421</v>
      </c>
    </row>
    <row r="12" spans="1:32" x14ac:dyDescent="0.25">
      <c r="A12">
        <v>11</v>
      </c>
      <c r="B12" t="s">
        <v>1174</v>
      </c>
      <c r="C12" t="str">
        <f>VLOOKUP(B12,'DANH SACH UEH'!$A$3:$FE$2228,2,0)</f>
        <v>KSVBS2636260</v>
      </c>
      <c r="D12" t="str">
        <f>IFERROR(VLOOKUP(B12,'DS NGHIEP VU BO'!$A$3:$BX$148,6,0),"")</f>
        <v>86004583</v>
      </c>
      <c r="E12" t="str">
        <f>VLOOKUP(B12,'DS NGHIEP VU BO'!$A$3:$BX$148,45,0)</f>
        <v>Vĩnh Long</v>
      </c>
      <c r="F12" t="str">
        <f t="shared" si="0"/>
        <v/>
      </c>
      <c r="G12" t="str">
        <f>IFERROR(IF(VLOOKUP(B12,'DANH SACH UEH'!$A$3:$FE$2228,18,0)="Không có","",VLOOKUP(B12,'DANH SACH UEH'!$A$3:$FE$2228,18,0)),"")</f>
        <v/>
      </c>
      <c r="H12" t="str">
        <f>IFERROR(IF(VLOOKUP(B12,'DANH SACH UEH'!$A$3:$FE$2228,20,0)="Không có","",VLOOKUP(B12,'DANH SACH UEH'!$A$3:$FE$2228,20,0)),"")</f>
        <v/>
      </c>
      <c r="I12" t="str">
        <f>IFERROR(IF(VLOOKUP(B12,'DANH SACH UEH'!$A$3:$FE$2228,19,0)="Không có","",VLOOKUP(B12,'DANH SACH UEH'!$A$3:$FE$2228,19,0)),"")</f>
        <v/>
      </c>
      <c r="J12" t="str">
        <f>VLOOKUP(B12,'DANH SACH UEH'!$A$3:$FE$2228,6,0)</f>
        <v>03/12/2008</v>
      </c>
      <c r="K12" t="str">
        <f>IF(VLOOKUP(B12,'DANH SACH UEH'!$A$3:$FE$2228,5,0)="1","Nữ","Nam")</f>
        <v>Nữ</v>
      </c>
      <c r="L12" t="str">
        <f>VLOOKUP(B12,'DANH SACH UEH'!$A$3:$FE$2228,14,0)</f>
        <v>Kinh</v>
      </c>
      <c r="M12" t="str">
        <f>VLOOKUP(B12,'DANH SACH UEH'!$A$3:$FE$2228,7,0)</f>
        <v>dgngocmy08@gmail.com</v>
      </c>
      <c r="N12" t="str">
        <f>VLOOKUP(B12,'DANH SACH UEH'!$A$3:$FE$2228,8,0)</f>
        <v>0788894298</v>
      </c>
      <c r="O12" t="str">
        <f>IFERROR(VLOOKUP(AE12,'DS TAO MAIL'!$D$3:$M$1120,5,0),"")</f>
        <v/>
      </c>
      <c r="P12" t="str">
        <f>IFERROR(VLOOKUP(AE12,'DS TAO MAIL'!$D$3:$M$1120,8,0),"")</f>
        <v/>
      </c>
      <c r="Q12" t="str">
        <f>IFERROR(VLOOKUP(AE12,'DS TAO MAIL'!$D$3:$M$1120,7,0),"")</f>
        <v/>
      </c>
      <c r="R12" t="str">
        <f>IFERROR(VLOOKUP(AE12,'DS TAO MAIL'!$D$3:$M$1120,8,0),"")</f>
        <v/>
      </c>
      <c r="S12">
        <v>73.95</v>
      </c>
      <c r="U12">
        <v>72.28</v>
      </c>
      <c r="V12" t="str">
        <f>IFERROR(IF(VLOOKUP(B12,'DANH SACH UEH'!$A$3:$FE$2228,27,0)="Không có","",IF(VLOOKUP(B12,'DANH SACH UEH'!$A$3:$FE$2228,29,0)&lt;"6","",(VLOOKUP(B12,'DANH SACH UEH'!$A$3:$FE$2228,27,0)))),"")</f>
        <v/>
      </c>
      <c r="W12" t="str">
        <f>IFERROR(IF(VLOOKUP(B12,'DANH SACH UEH'!$A$3:$FE$2228,29,0)&lt;"6","",VLOOKUP(B12,'DANH SACH UEH'!$A$3:$FE$2228,29,0)),"")</f>
        <v/>
      </c>
      <c r="X12" t="str">
        <f>IFERROR(IF(V12="","",VLOOKUP(B12,'DANH SACH UEH'!$A$3:$FE$2228,28,0)&amp;""),"")</f>
        <v/>
      </c>
      <c r="Z12" t="str">
        <f>VLOOKUP(B12,'DANH SACH UEH'!$A$3:$FE$2228,44,0)</f>
        <v>8.11</v>
      </c>
      <c r="AA12" t="str">
        <f>VLOOKUP(B12,'DANH SACH UEH'!$A$3:$FE$2228,45,0)</f>
        <v>8.40</v>
      </c>
      <c r="AB12" t="str">
        <f>VLOOKUP(B12,'DANH SACH UEH'!$A$3:$FE$2228,46,0)</f>
        <v>8.48</v>
      </c>
      <c r="AE12" t="str">
        <f>VLOOKUP(B12,'DANH SACH UEH'!$A$3:$I$2229,4,0)</f>
        <v>ĐẶNG NGỌC MỸ</v>
      </c>
      <c r="AF12" t="str">
        <f>VLOOKUP(B12,'DANH SACH UEH'!$A$3:$I$2229,8,0)</f>
        <v>0788894298</v>
      </c>
    </row>
    <row r="13" spans="1:32" x14ac:dyDescent="0.25">
      <c r="A13">
        <v>12</v>
      </c>
      <c r="B13" t="s">
        <v>1748</v>
      </c>
      <c r="C13" t="str">
        <f>VLOOKUP(B13,'DANH SACH UEH'!$A$3:$FE$2228,2,0)</f>
        <v>KSVBS2624777</v>
      </c>
      <c r="D13" t="str">
        <f>IFERROR(VLOOKUP(B13,'DS NGHIEP VU BO'!$A$3:$BX$148,6,0),"")</f>
        <v>82019636</v>
      </c>
      <c r="E13" t="str">
        <f>VLOOKUP(B13,'DS NGHIEP VU BO'!$A$3:$BX$148,45,0)</f>
        <v>Đồng Tháp</v>
      </c>
      <c r="F13" t="str">
        <f t="shared" si="0"/>
        <v/>
      </c>
      <c r="G13" t="str">
        <f>IFERROR(IF(VLOOKUP(B13,'DANH SACH UEH'!$A$3:$FE$2228,18,0)="Không có","",VLOOKUP(B13,'DANH SACH UEH'!$A$3:$FE$2228,18,0)),"")</f>
        <v/>
      </c>
      <c r="H13" t="str">
        <f>IFERROR(IF(VLOOKUP(B13,'DANH SACH UEH'!$A$3:$FE$2228,20,0)="Không có","",VLOOKUP(B13,'DANH SACH UEH'!$A$3:$FE$2228,20,0)),"")</f>
        <v/>
      </c>
      <c r="I13" t="str">
        <f>IFERROR(IF(VLOOKUP(B13,'DANH SACH UEH'!$A$3:$FE$2228,19,0)="Không có","",VLOOKUP(B13,'DANH SACH UEH'!$A$3:$FE$2228,19,0)),"")</f>
        <v/>
      </c>
      <c r="J13" t="str">
        <f>VLOOKUP(B13,'DANH SACH UEH'!$A$3:$FE$2228,6,0)</f>
        <v>26/10/2008</v>
      </c>
      <c r="K13" t="str">
        <f>IF(VLOOKUP(B13,'DANH SACH UEH'!$A$3:$FE$2228,5,0)="1","Nữ","Nam")</f>
        <v>Nam</v>
      </c>
      <c r="L13" t="str">
        <f>VLOOKUP(B13,'DANH SACH UEH'!$A$3:$FE$2228,14,0)</f>
        <v>Kinh</v>
      </c>
      <c r="M13" t="str">
        <f>VLOOKUP(B13,'DANH SACH UEH'!$A$3:$FE$2228,7,0)</f>
        <v>nguyenphuhao.official@gmail.com</v>
      </c>
      <c r="N13" t="str">
        <f>VLOOKUP(B13,'DANH SACH UEH'!$A$3:$FE$2228,8,0)</f>
        <v>0333690063</v>
      </c>
      <c r="O13" t="str">
        <f>IFERROR(VLOOKUP(AE13,'DS TAO MAIL'!$D$3:$M$1120,5,0),"")</f>
        <v>31261570428</v>
      </c>
      <c r="P13" t="str">
        <f>IFERROR(VLOOKUP(AE13,'DS TAO MAIL'!$D$3:$M$1120,8,0),"")</f>
        <v>50849878</v>
      </c>
      <c r="Q13" t="str">
        <f>IFERROR(VLOOKUP(AE13,'DS TAO MAIL'!$D$3:$M$1120,7,0),"")</f>
        <v>haonguyen.31261570428@st.ueh.edu.vn</v>
      </c>
      <c r="R13" t="str">
        <f>IFERROR(VLOOKUP(AE13,'DS TAO MAIL'!$D$3:$M$1120,8,0),"")</f>
        <v>50849878</v>
      </c>
      <c r="S13">
        <v>68.39</v>
      </c>
      <c r="U13">
        <v>67.56</v>
      </c>
      <c r="V13" t="str">
        <f>IFERROR(IF(VLOOKUP(B13,'DANH SACH UEH'!$A$3:$FE$2228,27,0)="Không có","",IF(VLOOKUP(B13,'DANH SACH UEH'!$A$3:$FE$2228,29,0)&lt;"6","",(VLOOKUP(B13,'DANH SACH UEH'!$A$3:$FE$2228,27,0)))),"")</f>
        <v/>
      </c>
      <c r="W13" t="str">
        <f>IFERROR(IF(VLOOKUP(B13,'DANH SACH UEH'!$A$3:$FE$2228,29,0)&lt;"6","",VLOOKUP(B13,'DANH SACH UEH'!$A$3:$FE$2228,29,0)),"")</f>
        <v/>
      </c>
      <c r="X13" t="str">
        <f>IFERROR(IF(V13="","",VLOOKUP(B13,'DANH SACH UEH'!$A$3:$FE$2228,28,0)&amp;""),"")</f>
        <v/>
      </c>
      <c r="Z13" t="str">
        <f>VLOOKUP(B13,'DANH SACH UEH'!$A$3:$FE$2228,44,0)</f>
        <v>8.51</v>
      </c>
      <c r="AA13" t="str">
        <f>VLOOKUP(B13,'DANH SACH UEH'!$A$3:$FE$2228,45,0)</f>
        <v>7.99</v>
      </c>
      <c r="AB13" t="str">
        <f>VLOOKUP(B13,'DANH SACH UEH'!$A$3:$FE$2228,46,0)</f>
        <v>7.86</v>
      </c>
      <c r="AE13" t="str">
        <f>VLOOKUP(B13,'DANH SACH UEH'!$A$3:$I$2229,4,0)</f>
        <v>NGUYỄN PHÚ HÀO</v>
      </c>
      <c r="AF13" t="str">
        <f>VLOOKUP(B13,'DANH SACH UEH'!$A$3:$I$2229,8,0)</f>
        <v>0333690063</v>
      </c>
    </row>
    <row r="14" spans="1:32" x14ac:dyDescent="0.25">
      <c r="A14">
        <v>13</v>
      </c>
      <c r="B14" t="s">
        <v>2916</v>
      </c>
      <c r="C14" t="str">
        <f>VLOOKUP(B14,'DANH SACH UEH'!$A$3:$FE$2228,2,0)</f>
        <v>KSVBS2613705</v>
      </c>
      <c r="D14" t="str">
        <f>IFERROR(VLOOKUP(B14,'DS NGHIEP VU BO'!$A$3:$BX$148,6,0),"")</f>
        <v>79006690</v>
      </c>
      <c r="E14" t="str">
        <f>VLOOKUP(B14,'DS NGHIEP VU BO'!$A$3:$BX$148,45,0)</f>
        <v>Tp. Hồ Chí Minh</v>
      </c>
      <c r="F14" t="str">
        <f t="shared" si="0"/>
        <v/>
      </c>
      <c r="G14" t="str">
        <f>IFERROR(IF(VLOOKUP(B14,'DANH SACH UEH'!$A$3:$FE$2228,18,0)="Không có","",VLOOKUP(B14,'DANH SACH UEH'!$A$3:$FE$2228,18,0)),"")</f>
        <v/>
      </c>
      <c r="H14" t="str">
        <f>IFERROR(IF(VLOOKUP(B14,'DANH SACH UEH'!$A$3:$FE$2228,20,0)="Không có","",VLOOKUP(B14,'DANH SACH UEH'!$A$3:$FE$2228,20,0)),"")</f>
        <v/>
      </c>
      <c r="I14" t="str">
        <f>IFERROR(IF(VLOOKUP(B14,'DANH SACH UEH'!$A$3:$FE$2228,19,0)="Không có","",VLOOKUP(B14,'DANH SACH UEH'!$A$3:$FE$2228,19,0)),"")</f>
        <v/>
      </c>
      <c r="J14" t="str">
        <f>VLOOKUP(B14,'DANH SACH UEH'!$A$3:$FE$2228,6,0)</f>
        <v>24/06/2008</v>
      </c>
      <c r="K14" t="str">
        <f>IF(VLOOKUP(B14,'DANH SACH UEH'!$A$3:$FE$2228,5,0)="1","Nữ","Nam")</f>
        <v>Nam</v>
      </c>
      <c r="L14" t="str">
        <f>VLOOKUP(B14,'DANH SACH UEH'!$A$3:$FE$2228,14,0)</f>
        <v>Kinh</v>
      </c>
      <c r="M14" t="str">
        <f>VLOOKUP(B14,'DANH SACH UEH'!$A$3:$FE$2228,7,0)</f>
        <v>huylebron123@gmail.com</v>
      </c>
      <c r="N14" t="str">
        <f>VLOOKUP(B14,'DANH SACH UEH'!$A$3:$FE$2228,8,0)</f>
        <v>0364155601</v>
      </c>
      <c r="O14" t="str">
        <f>IFERROR(VLOOKUP(AF14,'DS TAO MAIL'!$A$3:$M$1120,8,0),"")</f>
        <v/>
      </c>
      <c r="P14" t="str">
        <f>IFERROR(VLOOKUP(AF14,'DS TAO MAIL'!$A$3:$M$1120,11,0),"")</f>
        <v/>
      </c>
      <c r="Q14" t="str">
        <f>IFERROR(VLOOKUP(AF14,'DS TAO MAIL'!$A$3:$M$1120,10,0),"")</f>
        <v/>
      </c>
      <c r="R14" t="str">
        <f>IFERROR(VLOOKUP(AF14,'DS TAO MAIL'!$A$3:$M$1120,11,0),"")</f>
        <v/>
      </c>
      <c r="S14">
        <v>80.56</v>
      </c>
      <c r="U14">
        <v>78.400000000000006</v>
      </c>
      <c r="V14" t="str">
        <f>IFERROR(IF(VLOOKUP(B14,'DANH SACH UEH'!$A$3:$FE$2228,27,0)="Không có","",IF(VLOOKUP(B14,'DANH SACH UEH'!$A$3:$FE$2228,29,0)&lt;"6","",(VLOOKUP(B14,'DANH SACH UEH'!$A$3:$FE$2228,27,0)))),"")</f>
        <v>IELTS</v>
      </c>
      <c r="W14" t="str">
        <f>IFERROR(IF(VLOOKUP(B14,'DANH SACH UEH'!$A$3:$FE$2228,29,0)&lt;"6","",VLOOKUP(B14,'DANH SACH UEH'!$A$3:$FE$2228,29,0)),"")</f>
        <v>7</v>
      </c>
      <c r="X14" t="str">
        <f>IFERROR(IF(V14="","",VLOOKUP(B14,'DANH SACH UEH'!$A$3:$FE$2228,28,0)&amp;""),"")</f>
        <v>07/09/2025</v>
      </c>
      <c r="Z14" t="str">
        <f>VLOOKUP(B14,'DANH SACH UEH'!$A$3:$FE$2228,44,0)</f>
        <v>9.00</v>
      </c>
      <c r="AA14" t="str">
        <f>VLOOKUP(B14,'DANH SACH UEH'!$A$3:$FE$2228,45,0)</f>
        <v>9.18</v>
      </c>
      <c r="AB14" t="str">
        <f>VLOOKUP(B14,'DANH SACH UEH'!$A$3:$FE$2228,46,0)</f>
        <v>8.87</v>
      </c>
      <c r="AE14" t="str">
        <f>VLOOKUP(B14,'DANH SACH UEH'!$A$3:$I$2229,4,0)</f>
        <v>HUỲNH MINH HUY</v>
      </c>
      <c r="AF14" t="str">
        <f>VLOOKUP(B14,'DANH SACH UEH'!$A$3:$I$2229,8,0)</f>
        <v>0364155601</v>
      </c>
    </row>
    <row r="15" spans="1:32" x14ac:dyDescent="0.25">
      <c r="A15">
        <v>14</v>
      </c>
      <c r="B15" t="s">
        <v>1778</v>
      </c>
      <c r="C15" t="str">
        <f>VLOOKUP(B15,'DANH SACH UEH'!$A$3:$FE$2228,2,0)</f>
        <v>KSVBS2610852</v>
      </c>
      <c r="D15" t="str">
        <f>IFERROR(VLOOKUP(B15,'DS NGHIEP VU BO'!$A$3:$BX$148,6,0),"")</f>
        <v>80018209</v>
      </c>
      <c r="E15" t="str">
        <f>VLOOKUP(B15,'DS NGHIEP VU BO'!$A$3:$BX$148,45,0)</f>
        <v>Tây Ninh</v>
      </c>
      <c r="F15" t="str">
        <f t="shared" si="0"/>
        <v/>
      </c>
      <c r="G15" t="str">
        <f>IFERROR(IF(VLOOKUP(B15,'DANH SACH UEH'!$A$3:$FE$2228,18,0)="Không có","",VLOOKUP(B15,'DANH SACH UEH'!$A$3:$FE$2228,18,0)),"")</f>
        <v/>
      </c>
      <c r="H15" t="str">
        <f>IFERROR(IF(VLOOKUP(B15,'DANH SACH UEH'!$A$3:$FE$2228,20,0)="Không có","",VLOOKUP(B15,'DANH SACH UEH'!$A$3:$FE$2228,20,0)),"")</f>
        <v/>
      </c>
      <c r="I15" t="str">
        <f>IFERROR(IF(VLOOKUP(B15,'DANH SACH UEH'!$A$3:$FE$2228,19,0)="Không có","",VLOOKUP(B15,'DANH SACH UEH'!$A$3:$FE$2228,19,0)),"")</f>
        <v/>
      </c>
      <c r="J15" t="str">
        <f>VLOOKUP(B15,'DANH SACH UEH'!$A$3:$FE$2228,6,0)</f>
        <v>26/08/2008</v>
      </c>
      <c r="K15" t="str">
        <f>IF(VLOOKUP(B15,'DANH SACH UEH'!$A$3:$FE$2228,5,0)="1","Nữ","Nam")</f>
        <v>Nam</v>
      </c>
      <c r="L15" t="str">
        <f>VLOOKUP(B15,'DANH SACH UEH'!$A$3:$FE$2228,14,0)</f>
        <v>Kinh</v>
      </c>
      <c r="M15" t="str">
        <f>VLOOKUP(B15,'DANH SACH UEH'!$A$3:$FE$2228,7,0)</f>
        <v>lethanhnga.tn2020@gmail.com</v>
      </c>
      <c r="N15" t="str">
        <f>VLOOKUP(B15,'DANH SACH UEH'!$A$3:$FE$2228,8,0)</f>
        <v>0929499740</v>
      </c>
      <c r="O15" t="str">
        <f>IFERROR(VLOOKUP(AE15,'DS TAO MAIL'!$D$3:$M$1120,5,0),"")</f>
        <v>31261570452</v>
      </c>
      <c r="P15" t="str">
        <f>IFERROR(VLOOKUP(AE15,'DS TAO MAIL'!$D$3:$M$1120,8,0),"")</f>
        <v>51079038</v>
      </c>
      <c r="Q15" t="str">
        <f>IFERROR(VLOOKUP(AE15,'DS TAO MAIL'!$D$3:$M$1120,7,0),"")</f>
        <v>hannguyen.31261570452@st.ueh.edu.vn</v>
      </c>
      <c r="R15" t="str">
        <f>IFERROR(VLOOKUP(AE15,'DS TAO MAIL'!$D$3:$M$1120,8,0),"")</f>
        <v>51079038</v>
      </c>
      <c r="S15">
        <v>78.459999999999994</v>
      </c>
      <c r="U15">
        <v>77.72</v>
      </c>
      <c r="V15" t="str">
        <f>IFERROR(IF(VLOOKUP(B15,'DANH SACH UEH'!$A$3:$FE$2228,27,0)="Không có","",IF(VLOOKUP(B15,'DANH SACH UEH'!$A$3:$FE$2228,29,0)&lt;"6","",(VLOOKUP(B15,'DANH SACH UEH'!$A$3:$FE$2228,27,0)))),"")</f>
        <v/>
      </c>
      <c r="W15" t="str">
        <f>IFERROR(IF(VLOOKUP(B15,'DANH SACH UEH'!$A$3:$FE$2228,29,0)&lt;"6","",VLOOKUP(B15,'DANH SACH UEH'!$A$3:$FE$2228,29,0)),"")</f>
        <v/>
      </c>
      <c r="X15" t="str">
        <f>IFERROR(IF(V15="","",VLOOKUP(B15,'DANH SACH UEH'!$A$3:$FE$2228,28,0)&amp;""),"")</f>
        <v/>
      </c>
      <c r="Z15" t="str">
        <f>VLOOKUP(B15,'DANH SACH UEH'!$A$3:$FE$2228,44,0)</f>
        <v>7.70</v>
      </c>
      <c r="AA15" t="str">
        <f>VLOOKUP(B15,'DANH SACH UEH'!$A$3:$FE$2228,45,0)</f>
        <v>7.76</v>
      </c>
      <c r="AB15" t="str">
        <f>VLOOKUP(B15,'DANH SACH UEH'!$A$3:$FE$2228,46,0)</f>
        <v>8.31</v>
      </c>
      <c r="AE15" t="str">
        <f>VLOOKUP(B15,'DANH SACH UEH'!$A$3:$I$2229,4,0)</f>
        <v>NGUYỄN LÊ NGỌC HÂN</v>
      </c>
      <c r="AF15" t="str">
        <f>VLOOKUP(B15,'DANH SACH UEH'!$A$3:$I$2229,8,0)</f>
        <v>0929499740</v>
      </c>
    </row>
    <row r="16" spans="1:32" x14ac:dyDescent="0.25">
      <c r="A16">
        <v>15</v>
      </c>
      <c r="B16" t="s">
        <v>2917</v>
      </c>
      <c r="C16" t="str">
        <f>VLOOKUP(B16,'DANH SACH UEH'!$A$3:$FE$2228,2,0)</f>
        <v>KSVBS2611188</v>
      </c>
      <c r="D16" t="str">
        <f>IFERROR(VLOOKUP(B16,'DS NGHIEP VU BO'!$A$3:$BX$148,6,0),"")</f>
        <v>66010126</v>
      </c>
      <c r="E16" t="str">
        <f>VLOOKUP(B16,'DS NGHIEP VU BO'!$A$3:$BX$148,45,0)</f>
        <v>Đắk Lắk</v>
      </c>
      <c r="F16" t="str">
        <f t="shared" si="0"/>
        <v/>
      </c>
      <c r="G16" t="str">
        <f>IFERROR(IF(VLOOKUP(B16,'DANH SACH UEH'!$A$3:$FE$2228,18,0)="Không có","",VLOOKUP(B16,'DANH SACH UEH'!$A$3:$FE$2228,18,0)),"")</f>
        <v/>
      </c>
      <c r="H16" t="str">
        <f>IFERROR(IF(VLOOKUP(B16,'DANH SACH UEH'!$A$3:$FE$2228,20,0)="Không có","",VLOOKUP(B16,'DANH SACH UEH'!$A$3:$FE$2228,20,0)),"")</f>
        <v/>
      </c>
      <c r="I16" t="str">
        <f>IFERROR(IF(VLOOKUP(B16,'DANH SACH UEH'!$A$3:$FE$2228,19,0)="Không có","",VLOOKUP(B16,'DANH SACH UEH'!$A$3:$FE$2228,19,0)),"")</f>
        <v/>
      </c>
      <c r="J16" t="str">
        <f>VLOOKUP(B16,'DANH SACH UEH'!$A$3:$FE$2228,6,0)</f>
        <v>25/07/2008</v>
      </c>
      <c r="K16" t="str">
        <f>IF(VLOOKUP(B16,'DANH SACH UEH'!$A$3:$FE$2228,5,0)="1","Nữ","Nam")</f>
        <v>Nữ</v>
      </c>
      <c r="L16" t="str">
        <f>VLOOKUP(B16,'DANH SACH UEH'!$A$3:$FE$2228,14,0)</f>
        <v>Sán chay (Cao Lan, Sán Chỉ)</v>
      </c>
      <c r="M16" t="str">
        <f>VLOOKUP(B16,'DANH SACH UEH'!$A$3:$FE$2228,7,0)</f>
        <v>lythigiangmy008@gmail.com</v>
      </c>
      <c r="N16" t="str">
        <f>VLOOKUP(B16,'DANH SACH UEH'!$A$3:$FE$2228,8,0)</f>
        <v>0896540820</v>
      </c>
      <c r="O16">
        <f>IFERROR(VLOOKUP(AE16,'DS TAO MAIL'!$D$3:$M$1120,5,0),"")</f>
        <v>31261570535</v>
      </c>
      <c r="P16">
        <f>IFERROR(VLOOKUP(AE16,'DS TAO MAIL'!$D$3:$M$1120,8,0),"")</f>
        <v>98942758</v>
      </c>
      <c r="Q16" t="str">
        <f>IFERROR(VLOOKUP(AE16,'DS TAO MAIL'!$D$3:$M$1120,7,0),"")</f>
        <v>myly.31261570535@st.ueh.edu.vn</v>
      </c>
      <c r="R16">
        <f>IFERROR(VLOOKUP(AE16,'DS TAO MAIL'!$D$3:$M$1120,8,0),"")</f>
        <v>98942758</v>
      </c>
      <c r="S16">
        <v>82.02</v>
      </c>
      <c r="U16">
        <v>81.400000000000006</v>
      </c>
      <c r="V16" t="str">
        <f>IFERROR(IF(VLOOKUP(B16,'DANH SACH UEH'!$A$3:$FE$2228,27,0)="Không có","",IF(VLOOKUP(B16,'DANH SACH UEH'!$A$3:$FE$2228,29,0)&lt;"6","",(VLOOKUP(B16,'DANH SACH UEH'!$A$3:$FE$2228,27,0)))),"")</f>
        <v/>
      </c>
      <c r="W16" t="str">
        <f>IFERROR(IF(VLOOKUP(B16,'DANH SACH UEH'!$A$3:$FE$2228,29,0)&lt;"6","",VLOOKUP(B16,'DANH SACH UEH'!$A$3:$FE$2228,29,0)),"")</f>
        <v/>
      </c>
      <c r="X16" t="str">
        <f>IFERROR(IF(V16="","",VLOOKUP(B16,'DANH SACH UEH'!$A$3:$FE$2228,28,0)&amp;""),"")</f>
        <v/>
      </c>
      <c r="Z16" t="str">
        <f>VLOOKUP(B16,'DANH SACH UEH'!$A$3:$FE$2228,44,0)</f>
        <v>7.63</v>
      </c>
      <c r="AA16" t="str">
        <f>VLOOKUP(B16,'DANH SACH UEH'!$A$3:$FE$2228,45,0)</f>
        <v>8.05</v>
      </c>
      <c r="AB16" t="str">
        <f>VLOOKUP(B16,'DANH SACH UEH'!$A$3:$FE$2228,46,0)</f>
        <v>8.51</v>
      </c>
      <c r="AE16" t="str">
        <f>VLOOKUP(B16,'DANH SACH UEH'!$A$3:$I$2229,4,0)</f>
        <v>LÝ THỊ GIÁNG MY</v>
      </c>
      <c r="AF16" t="str">
        <f>VLOOKUP(B16,'DANH SACH UEH'!$A$3:$I$2229,8,0)</f>
        <v>0896540820</v>
      </c>
    </row>
    <row r="17" spans="1:32" x14ac:dyDescent="0.25">
      <c r="A17">
        <v>16</v>
      </c>
      <c r="B17" t="s">
        <v>2918</v>
      </c>
      <c r="C17" t="str">
        <f>VLOOKUP(B17,'DANH SACH UEH'!$A$3:$FE$2228,2,0)</f>
        <v>KSVBS2642702</v>
      </c>
      <c r="D17" t="str">
        <f>IFERROR(VLOOKUP(B17,'DS NGHIEP VU BO'!$A$3:$BX$148,6,0),"")</f>
        <v>44010909</v>
      </c>
      <c r="E17" t="str">
        <f>VLOOKUP(B17,'DS NGHIEP VU BO'!$A$3:$BX$148,45,0)</f>
        <v>Quảng Trị</v>
      </c>
      <c r="F17" t="str">
        <f t="shared" si="0"/>
        <v/>
      </c>
      <c r="G17" t="str">
        <f>IFERROR(IF(VLOOKUP(B17,'DANH SACH UEH'!$A$3:$FE$2228,18,0)="Không có","",VLOOKUP(B17,'DANH SACH UEH'!$A$3:$FE$2228,18,0)),"")</f>
        <v/>
      </c>
      <c r="H17" t="str">
        <f>IFERROR(IF(VLOOKUP(B17,'DANH SACH UEH'!$A$3:$FE$2228,20,0)="Không có","",VLOOKUP(B17,'DANH SACH UEH'!$A$3:$FE$2228,20,0)),"")</f>
        <v/>
      </c>
      <c r="I17" t="str">
        <f>IFERROR(IF(VLOOKUP(B17,'DANH SACH UEH'!$A$3:$FE$2228,19,0)="Không có","",VLOOKUP(B17,'DANH SACH UEH'!$A$3:$FE$2228,19,0)),"")</f>
        <v/>
      </c>
      <c r="J17" t="str">
        <f>VLOOKUP(B17,'DANH SACH UEH'!$A$3:$FE$2228,6,0)</f>
        <v>03/05/2008</v>
      </c>
      <c r="K17" t="str">
        <f>IF(VLOOKUP(B17,'DANH SACH UEH'!$A$3:$FE$2228,5,0)="1","Nữ","Nam")</f>
        <v>Nam</v>
      </c>
      <c r="L17" t="str">
        <f>VLOOKUP(B17,'DANH SACH UEH'!$A$3:$FE$2228,14,0)</f>
        <v>Kinh</v>
      </c>
      <c r="M17" t="str">
        <f>VLOOKUP(B17,'DANH SACH UEH'!$A$3:$FE$2228,7,0)</f>
        <v>lehongquan0508@gmail.com</v>
      </c>
      <c r="N17" t="str">
        <f>VLOOKUP(B17,'DANH SACH UEH'!$A$3:$FE$2228,8,0)</f>
        <v>0919747978</v>
      </c>
      <c r="O17">
        <f>IFERROR(VLOOKUP(AE17,'DS TAO MAIL'!$D$3:$M$1120,5,0),"")</f>
        <v>31261570526</v>
      </c>
      <c r="P17">
        <f>IFERROR(VLOOKUP(AE17,'DS TAO MAIL'!$D$3:$M$1120,8,0),"")</f>
        <v>40169828</v>
      </c>
      <c r="Q17" t="str">
        <f>IFERROR(VLOOKUP(AE17,'DS TAO MAIL'!$D$3:$M$1120,7,0),"")</f>
        <v>quanle.31261570526@st.ueh.edu.vn</v>
      </c>
      <c r="R17">
        <f>IFERROR(VLOOKUP(AE17,'DS TAO MAIL'!$D$3:$M$1120,8,0),"")</f>
        <v>40169828</v>
      </c>
      <c r="S17">
        <v>76.22</v>
      </c>
      <c r="U17">
        <v>76.22</v>
      </c>
      <c r="V17" t="str">
        <f>IFERROR(IF(VLOOKUP(B17,'DANH SACH UEH'!$A$3:$FE$2228,27,0)="Không có","",IF(VLOOKUP(B17,'DANH SACH UEH'!$A$3:$FE$2228,29,0)&lt;"6","",(VLOOKUP(B17,'DANH SACH UEH'!$A$3:$FE$2228,27,0)))),"")</f>
        <v>IELTS</v>
      </c>
      <c r="W17" t="str">
        <f>IFERROR(IF(VLOOKUP(B17,'DANH SACH UEH'!$A$3:$FE$2228,29,0)&lt;"6","",VLOOKUP(B17,'DANH SACH UEH'!$A$3:$FE$2228,29,0)),"")</f>
        <v>6.5</v>
      </c>
      <c r="X17" t="str">
        <f>IFERROR(IF(V17="","",VLOOKUP(B17,'DANH SACH UEH'!$A$3:$FE$2228,28,0)&amp;""),"")</f>
        <v>30/08/2025</v>
      </c>
      <c r="Z17" t="str">
        <f>VLOOKUP(B17,'DANH SACH UEH'!$A$3:$FE$2228,44,0)</f>
        <v>8.47</v>
      </c>
      <c r="AA17" t="str">
        <f>VLOOKUP(B17,'DANH SACH UEH'!$A$3:$FE$2228,45,0)</f>
        <v>8.37</v>
      </c>
      <c r="AB17" t="str">
        <f>VLOOKUP(B17,'DANH SACH UEH'!$A$3:$FE$2228,46,0)</f>
        <v>8.11</v>
      </c>
      <c r="AE17" t="str">
        <f>VLOOKUP(B17,'DANH SACH UEH'!$A$3:$I$2229,4,0)</f>
        <v>LÊ HỒNG QUÂN</v>
      </c>
      <c r="AF17" t="str">
        <f>VLOOKUP(B17,'DANH SACH UEH'!$A$3:$I$2229,8,0)</f>
        <v>0919747978</v>
      </c>
    </row>
    <row r="18" spans="1:32" x14ac:dyDescent="0.25">
      <c r="A18">
        <v>17</v>
      </c>
      <c r="B18" t="s">
        <v>2919</v>
      </c>
      <c r="C18" t="str">
        <f>VLOOKUP(B18,'DANH SACH UEH'!$A$3:$FE$2228,2,0)</f>
        <v>KSVBS2623414</v>
      </c>
      <c r="D18" t="str">
        <f>IFERROR(VLOOKUP(B18,'DS NGHIEP VU BO'!$A$3:$BX$148,6,0),"")</f>
        <v>40029525</v>
      </c>
      <c r="E18" t="str">
        <f>VLOOKUP(B18,'DS NGHIEP VU BO'!$A$3:$BX$148,45,0)</f>
        <v>Nghệ An</v>
      </c>
      <c r="F18" t="str">
        <f t="shared" si="0"/>
        <v/>
      </c>
      <c r="G18" t="str">
        <f>IFERROR(IF(VLOOKUP(B18,'DANH SACH UEH'!$A$3:$FE$2228,18,0)="Không có","",VLOOKUP(B18,'DANH SACH UEH'!$A$3:$FE$2228,18,0)),"")</f>
        <v/>
      </c>
      <c r="H18" t="str">
        <f>IFERROR(IF(VLOOKUP(B18,'DANH SACH UEH'!$A$3:$FE$2228,20,0)="Không có","",VLOOKUP(B18,'DANH SACH UEH'!$A$3:$FE$2228,20,0)),"")</f>
        <v/>
      </c>
      <c r="I18" t="str">
        <f>IFERROR(IF(VLOOKUP(B18,'DANH SACH UEH'!$A$3:$FE$2228,19,0)="Không có","",VLOOKUP(B18,'DANH SACH UEH'!$A$3:$FE$2228,19,0)),"")</f>
        <v/>
      </c>
      <c r="J18" t="str">
        <f>VLOOKUP(B18,'DANH SACH UEH'!$A$3:$FE$2228,6,0)</f>
        <v>09/07/2008</v>
      </c>
      <c r="K18" t="str">
        <f>IF(VLOOKUP(B18,'DANH SACH UEH'!$A$3:$FE$2228,5,0)="1","Nữ","Nam")</f>
        <v>Nam</v>
      </c>
      <c r="L18" t="str">
        <f>VLOOKUP(B18,'DANH SACH UEH'!$A$3:$FE$2228,14,0)</f>
        <v>Kinh</v>
      </c>
      <c r="M18" t="str">
        <f>VLOOKUP(B18,'DANH SACH UEH'!$A$3:$FE$2228,7,0)</f>
        <v>nguyengiaanhhieu2k8@gmail.com</v>
      </c>
      <c r="N18" t="str">
        <f>VLOOKUP(B18,'DANH SACH UEH'!$A$3:$FE$2228,8,0)</f>
        <v>0569619450</v>
      </c>
      <c r="O18">
        <f>IFERROR(VLOOKUP(AE18,'DS TAO MAIL'!$D$3:$M$1120,5,0),"")</f>
        <v>31261570533</v>
      </c>
      <c r="P18">
        <f>IFERROR(VLOOKUP(AE18,'DS TAO MAIL'!$D$3:$M$1120,8,0),"")</f>
        <v>24085537</v>
      </c>
      <c r="Q18" t="str">
        <f>IFERROR(VLOOKUP(AE18,'DS TAO MAIL'!$D$3:$M$1120,7,0),"")</f>
        <v>hieunguyen.31261570533@st.ueh.edu.vn</v>
      </c>
      <c r="R18">
        <f>IFERROR(VLOOKUP(AE18,'DS TAO MAIL'!$D$3:$M$1120,8,0),"")</f>
        <v>24085537</v>
      </c>
      <c r="S18">
        <v>67.489999999999995</v>
      </c>
      <c r="U18">
        <v>66.66</v>
      </c>
      <c r="V18" t="str">
        <f>IFERROR(IF(VLOOKUP(B18,'DANH SACH UEH'!$A$3:$FE$2228,27,0)="Không có","",IF(VLOOKUP(B18,'DANH SACH UEH'!$A$3:$FE$2228,29,0)&lt;"6","",(VLOOKUP(B18,'DANH SACH UEH'!$A$3:$FE$2228,27,0)))),"")</f>
        <v/>
      </c>
      <c r="W18" t="str">
        <f>IFERROR(IF(VLOOKUP(B18,'DANH SACH UEH'!$A$3:$FE$2228,29,0)&lt;"6","",VLOOKUP(B18,'DANH SACH UEH'!$A$3:$FE$2228,29,0)),"")</f>
        <v/>
      </c>
      <c r="X18" t="str">
        <f>IFERROR(IF(V18="","",VLOOKUP(B18,'DANH SACH UEH'!$A$3:$FE$2228,28,0)&amp;""),"")</f>
        <v/>
      </c>
      <c r="Z18" t="str">
        <f>VLOOKUP(B18,'DANH SACH UEH'!$A$3:$FE$2228,44,0)</f>
        <v>8.66</v>
      </c>
      <c r="AA18" t="str">
        <f>VLOOKUP(B18,'DANH SACH UEH'!$A$3:$FE$2228,45,0)</f>
        <v>8.91</v>
      </c>
      <c r="AB18" t="str">
        <f>VLOOKUP(B18,'DANH SACH UEH'!$A$3:$FE$2228,46,0)</f>
        <v>8.82</v>
      </c>
      <c r="AE18" t="str">
        <f>VLOOKUP(B18,'DANH SACH UEH'!$A$3:$I$2229,4,0)</f>
        <v>NGUYỄN GIA ANH HIẾU</v>
      </c>
      <c r="AF18" t="str">
        <f>VLOOKUP(B18,'DANH SACH UEH'!$A$3:$I$2229,8,0)</f>
        <v>0569619450</v>
      </c>
    </row>
    <row r="19" spans="1:32" x14ac:dyDescent="0.25">
      <c r="A19">
        <v>18</v>
      </c>
      <c r="B19" t="s">
        <v>1976</v>
      </c>
      <c r="C19" t="str">
        <f>VLOOKUP(B19,'DANH SACH UEH'!$A$3:$FE$2228,2,0)</f>
        <v>KSVBS2626461</v>
      </c>
      <c r="D19" t="str">
        <f>IFERROR(VLOOKUP(B19,'DS NGHIEP VU BO'!$A$3:$BX$148,6,0),"")</f>
        <v>68024623</v>
      </c>
      <c r="E19" t="str">
        <f>VLOOKUP(B19,'DS NGHIEP VU BO'!$A$3:$BX$148,45,0)</f>
        <v>Lâm Đồng</v>
      </c>
      <c r="F19" t="str">
        <f t="shared" si="0"/>
        <v/>
      </c>
      <c r="G19" t="str">
        <f>IFERROR(IF(VLOOKUP(B19,'DANH SACH UEH'!$A$3:$FE$2228,18,0)="Không có","",VLOOKUP(B19,'DANH SACH UEH'!$A$3:$FE$2228,18,0)),"")</f>
        <v/>
      </c>
      <c r="H19" t="str">
        <f>IFERROR(IF(VLOOKUP(B19,'DANH SACH UEH'!$A$3:$FE$2228,20,0)="Không có","",VLOOKUP(B19,'DANH SACH UEH'!$A$3:$FE$2228,20,0)),"")</f>
        <v/>
      </c>
      <c r="I19" t="str">
        <f>IFERROR(IF(VLOOKUP(B19,'DANH SACH UEH'!$A$3:$FE$2228,19,0)="Không có","",VLOOKUP(B19,'DANH SACH UEH'!$A$3:$FE$2228,19,0)),"")</f>
        <v/>
      </c>
      <c r="J19" t="str">
        <f>VLOOKUP(B19,'DANH SACH UEH'!$A$3:$FE$2228,6,0)</f>
        <v>09/05/2008</v>
      </c>
      <c r="K19" t="str">
        <f>IF(VLOOKUP(B19,'DANH SACH UEH'!$A$3:$FE$2228,5,0)="1","Nữ","Nam")</f>
        <v>Nam</v>
      </c>
      <c r="L19" t="str">
        <f>VLOOKUP(B19,'DANH SACH UEH'!$A$3:$FE$2228,14,0)</f>
        <v>Kinh</v>
      </c>
      <c r="M19" t="str">
        <f>VLOOKUP(B19,'DANH SACH UEH'!$A$3:$FE$2228,7,0)</f>
        <v>nguyenvux95@gmail.com</v>
      </c>
      <c r="N19" t="str">
        <f>VLOOKUP(B19,'DANH SACH UEH'!$A$3:$FE$2228,8,0)</f>
        <v>0382731611</v>
      </c>
      <c r="O19" t="str">
        <f>IFERROR(VLOOKUP(AE19,'DS TAO MAIL'!$D$3:$M$1120,5,0),"")</f>
        <v>31261570520</v>
      </c>
      <c r="P19" t="str">
        <f>IFERROR(VLOOKUP(AE19,'DS TAO MAIL'!$D$3:$M$1120,8,0),"")</f>
        <v>68327293</v>
      </c>
      <c r="Q19" t="str">
        <f>IFERROR(VLOOKUP(AE19,'DS TAO MAIL'!$D$3:$M$1120,7,0),"")</f>
        <v>vunguyen.31261570520@st.ueh.edu.vn</v>
      </c>
      <c r="R19" t="str">
        <f>IFERROR(VLOOKUP(AE19,'DS TAO MAIL'!$D$3:$M$1120,8,0),"")</f>
        <v>68327293</v>
      </c>
      <c r="S19">
        <v>75.77</v>
      </c>
      <c r="U19">
        <v>74.099999999999994</v>
      </c>
      <c r="V19" t="str">
        <f>IFERROR(IF(VLOOKUP(B19,'DANH SACH UEH'!$A$3:$FE$2228,27,0)="Không có","",IF(VLOOKUP(B19,'DANH SACH UEH'!$A$3:$FE$2228,29,0)&lt;"6","",(VLOOKUP(B19,'DANH SACH UEH'!$A$3:$FE$2228,27,0)))),"")</f>
        <v/>
      </c>
      <c r="W19" t="str">
        <f>IFERROR(IF(VLOOKUP(B19,'DANH SACH UEH'!$A$3:$FE$2228,29,0)&lt;"6","",VLOOKUP(B19,'DANH SACH UEH'!$A$3:$FE$2228,29,0)),"")</f>
        <v/>
      </c>
      <c r="X19" t="str">
        <f>IFERROR(IF(V19="","",VLOOKUP(B19,'DANH SACH UEH'!$A$3:$FE$2228,28,0)&amp;""),"")</f>
        <v/>
      </c>
      <c r="Z19" t="str">
        <f>VLOOKUP(B19,'DANH SACH UEH'!$A$3:$FE$2228,44,0)</f>
        <v>6.36</v>
      </c>
      <c r="AA19" t="str">
        <f>VLOOKUP(B19,'DANH SACH UEH'!$A$3:$FE$2228,45,0)</f>
        <v>6.37</v>
      </c>
      <c r="AB19" t="str">
        <f>VLOOKUP(B19,'DANH SACH UEH'!$A$3:$FE$2228,46,0)</f>
        <v>7.22</v>
      </c>
      <c r="AE19" t="str">
        <f>VLOOKUP(B19,'DANH SACH UEH'!$A$3:$I$2229,4,0)</f>
        <v>NGUYỄN TRUNG VŨ</v>
      </c>
      <c r="AF19" t="str">
        <f>VLOOKUP(B19,'DANH SACH UEH'!$A$3:$I$2229,8,0)</f>
        <v>0382731611</v>
      </c>
    </row>
    <row r="20" spans="1:32" x14ac:dyDescent="0.25">
      <c r="A20">
        <v>19</v>
      </c>
      <c r="B20" t="s">
        <v>120</v>
      </c>
      <c r="C20" t="str">
        <f>VLOOKUP(B20,'DANH SACH UEH'!$A$3:$FE$2228,2,0)</f>
        <v>KSVBS2617443</v>
      </c>
      <c r="D20" t="str">
        <f>IFERROR(VLOOKUP(B20,'DS NGHIEP VU BO'!$A$3:$BX$148,6,0),"")</f>
        <v>08016541</v>
      </c>
      <c r="E20" t="str">
        <f>VLOOKUP(B20,'DS NGHIEP VU BO'!$A$3:$BX$148,45,0)</f>
        <v>Tuyên Quang</v>
      </c>
      <c r="F20" t="str">
        <f t="shared" si="0"/>
        <v>Giải thưởng kỳ thi chọn học sinh giỏi cấp tỉnh/TP:</v>
      </c>
      <c r="G20" t="str">
        <f>IFERROR(IF(VLOOKUP(B20,'DANH SACH UEH'!$A$3:$FE$2228,18,0)="Không có","",VLOOKUP(B20,'DANH SACH UEH'!$A$3:$FE$2228,18,0)),"")</f>
        <v>Sinh học</v>
      </c>
      <c r="H20" t="str">
        <f>IFERROR(IF(VLOOKUP(B20,'DANH SACH UEH'!$A$3:$FE$2228,20,0)="Không có","",VLOOKUP(B20,'DANH SACH UEH'!$A$3:$FE$2228,20,0)),"")</f>
        <v>Ba</v>
      </c>
      <c r="I20" t="str">
        <f>IFERROR(IF(VLOOKUP(B20,'DANH SACH UEH'!$A$3:$FE$2228,19,0)="Không có","",VLOOKUP(B20,'DANH SACH UEH'!$A$3:$FE$2228,19,0)),"")</f>
        <v>2025</v>
      </c>
      <c r="J20" t="str">
        <f>VLOOKUP(B20,'DANH SACH UEH'!$A$3:$FE$2228,6,0)</f>
        <v>08/01/2008</v>
      </c>
      <c r="K20" t="str">
        <f>IF(VLOOKUP(B20,'DANH SACH UEH'!$A$3:$FE$2228,5,0)="1","Nữ","Nam")</f>
        <v>Nữ</v>
      </c>
      <c r="L20" t="str">
        <f>VLOOKUP(B20,'DANH SACH UEH'!$A$3:$FE$2228,14,0)</f>
        <v>Kinh</v>
      </c>
      <c r="M20" t="str">
        <f>VLOOKUP(B20,'DANH SACH UEH'!$A$3:$FE$2228,7,0)</f>
        <v>nhiv91608@gmail.com</v>
      </c>
      <c r="N20" t="str">
        <f>VLOOKUP(B20,'DANH SACH UEH'!$A$3:$FE$2228,8,0)</f>
        <v>0367711616</v>
      </c>
      <c r="O20" t="str">
        <f>IFERROR(VLOOKUP(AE20,'DS TAO MAIL'!$D$3:$M$1120,5,0),"")</f>
        <v/>
      </c>
      <c r="P20" t="str">
        <f>IFERROR(VLOOKUP(AE20,'DS TAO MAIL'!$D$3:$M$1120,8,0),"")</f>
        <v/>
      </c>
      <c r="Q20" t="str">
        <f>IFERROR(VLOOKUP(AE20,'DS TAO MAIL'!$D$3:$M$1120,7,0),"")</f>
        <v/>
      </c>
      <c r="R20" t="str">
        <f>IFERROR(VLOOKUP(AE20,'DS TAO MAIL'!$D$3:$M$1120,8,0),"")</f>
        <v/>
      </c>
      <c r="S20">
        <v>62.87</v>
      </c>
      <c r="U20">
        <v>62.04</v>
      </c>
      <c r="V20" t="str">
        <f>IFERROR(IF(VLOOKUP(B20,'DANH SACH UEH'!$A$3:$FE$2228,27,0)="Không có","",IF(VLOOKUP(B20,'DANH SACH UEH'!$A$3:$FE$2228,29,0)&lt;"6","",(VLOOKUP(B20,'DANH SACH UEH'!$A$3:$FE$2228,27,0)))),"")</f>
        <v/>
      </c>
      <c r="W20" t="str">
        <f>IFERROR(IF(VLOOKUP(B20,'DANH SACH UEH'!$A$3:$FE$2228,29,0)&lt;"6","",VLOOKUP(B20,'DANH SACH UEH'!$A$3:$FE$2228,29,0)),"")</f>
        <v/>
      </c>
      <c r="X20" t="str">
        <f>IFERROR(IF(V20="","",VLOOKUP(B20,'DANH SACH UEH'!$A$3:$FE$2228,28,0)&amp;""),"")</f>
        <v/>
      </c>
      <c r="Z20" t="str">
        <f>VLOOKUP(B20,'DANH SACH UEH'!$A$3:$FE$2228,44,0)</f>
        <v>8.46</v>
      </c>
      <c r="AA20" t="str">
        <f>VLOOKUP(B20,'DANH SACH UEH'!$A$3:$FE$2228,45,0)</f>
        <v>8.50</v>
      </c>
      <c r="AB20" t="str">
        <f>VLOOKUP(B20,'DANH SACH UEH'!$A$3:$FE$2228,46,0)</f>
        <v>8.72</v>
      </c>
      <c r="AE20" t="str">
        <f>VLOOKUP(B20,'DANH SACH UEH'!$A$3:$I$2229,4,0)</f>
        <v>VŨ YẾN NHI</v>
      </c>
      <c r="AF20" t="str">
        <f>VLOOKUP(B20,'DANH SACH UEH'!$A$3:$I$2229,8,0)</f>
        <v>0367711616</v>
      </c>
    </row>
    <row r="21" spans="1:32" x14ac:dyDescent="0.25">
      <c r="A21">
        <v>20</v>
      </c>
      <c r="B21" t="s">
        <v>119</v>
      </c>
      <c r="C21" t="str">
        <f>VLOOKUP(B21,'DANH SACH UEH'!$A$3:$FE$2228,2,0)</f>
        <v>KSVBS2629385</v>
      </c>
      <c r="D21" t="str">
        <f>IFERROR(VLOOKUP(B21,'DS NGHIEP VU BO'!$A$3:$BX$148,6,0),"")</f>
        <v>25037325</v>
      </c>
      <c r="E21" t="str">
        <f>VLOOKUP(B21,'DS NGHIEP VU BO'!$A$3:$BX$148,45,0)</f>
        <v>Phú Thọ</v>
      </c>
      <c r="F21" t="str">
        <f t="shared" si="0"/>
        <v/>
      </c>
      <c r="G21" t="str">
        <f>IFERROR(IF(VLOOKUP(B21,'DANH SACH UEH'!$A$3:$FE$2228,18,0)="Không có","",VLOOKUP(B21,'DANH SACH UEH'!$A$3:$FE$2228,18,0)),"")</f>
        <v/>
      </c>
      <c r="H21" t="str">
        <f>IFERROR(IF(VLOOKUP(B21,'DANH SACH UEH'!$A$3:$FE$2228,20,0)="Không có","",VLOOKUP(B21,'DANH SACH UEH'!$A$3:$FE$2228,20,0)),"")</f>
        <v/>
      </c>
      <c r="I21" t="str">
        <f>IFERROR(IF(VLOOKUP(B21,'DANH SACH UEH'!$A$3:$FE$2228,19,0)="Không có","",VLOOKUP(B21,'DANH SACH UEH'!$A$3:$FE$2228,19,0)),"")</f>
        <v/>
      </c>
      <c r="J21" t="str">
        <f>VLOOKUP(B21,'DANH SACH UEH'!$A$3:$FE$2228,6,0)</f>
        <v>08/12/2008</v>
      </c>
      <c r="K21" t="str">
        <f>IF(VLOOKUP(B21,'DANH SACH UEH'!$A$3:$FE$2228,5,0)="1","Nữ","Nam")</f>
        <v>Nữ</v>
      </c>
      <c r="L21" t="str">
        <f>VLOOKUP(B21,'DANH SACH UEH'!$A$3:$FE$2228,14,0)</f>
        <v>Kinh</v>
      </c>
      <c r="M21" t="str">
        <f>VLOOKUP(B21,'DANH SACH UEH'!$A$3:$FE$2228,7,0)</f>
        <v>khanhchi8812@gmail.com</v>
      </c>
      <c r="N21" t="str">
        <f>VLOOKUP(B21,'DANH SACH UEH'!$A$3:$FE$2228,8,0)</f>
        <v>0327399812</v>
      </c>
      <c r="O21" t="str">
        <f>IFERROR(VLOOKUP(AE21,'DS TAO MAIL'!$D$3:$M$1120,5,0),"")</f>
        <v>31261570488</v>
      </c>
      <c r="P21" t="str">
        <f>IFERROR(VLOOKUP(AE21,'DS TAO MAIL'!$D$3:$M$1120,8,0),"")</f>
        <v>27522792</v>
      </c>
      <c r="Q21" t="str">
        <f>IFERROR(VLOOKUP(AE21,'DS TAO MAIL'!$D$3:$M$1120,7,0),"")</f>
        <v>chinguyen.31261570488@st.ueh.edu.vn</v>
      </c>
      <c r="R21" t="str">
        <f>IFERROR(VLOOKUP(AE21,'DS TAO MAIL'!$D$3:$M$1120,8,0),"")</f>
        <v>27522792</v>
      </c>
      <c r="S21">
        <v>64.67</v>
      </c>
      <c r="U21">
        <v>63</v>
      </c>
      <c r="V21" t="str">
        <f>IFERROR(IF(VLOOKUP(B21,'DANH SACH UEH'!$A$3:$FE$2228,27,0)="Không có","",IF(VLOOKUP(B21,'DANH SACH UEH'!$A$3:$FE$2228,29,0)&lt;"6","",(VLOOKUP(B21,'DANH SACH UEH'!$A$3:$FE$2228,27,0)))),"")</f>
        <v/>
      </c>
      <c r="W21" t="str">
        <f>IFERROR(IF(VLOOKUP(B21,'DANH SACH UEH'!$A$3:$FE$2228,29,0)&lt;"6","",VLOOKUP(B21,'DANH SACH UEH'!$A$3:$FE$2228,29,0)),"")</f>
        <v/>
      </c>
      <c r="X21" t="str">
        <f>IFERROR(IF(V21="","",VLOOKUP(B21,'DANH SACH UEH'!$A$3:$FE$2228,28,0)&amp;""),"")</f>
        <v/>
      </c>
      <c r="Z21" t="str">
        <f>VLOOKUP(B21,'DANH SACH UEH'!$A$3:$FE$2228,44,0)</f>
        <v>8.62</v>
      </c>
      <c r="AA21" t="str">
        <f>VLOOKUP(B21,'DANH SACH UEH'!$A$3:$FE$2228,45,0)</f>
        <v>8.69</v>
      </c>
      <c r="AB21" t="str">
        <f>VLOOKUP(B21,'DANH SACH UEH'!$A$3:$FE$2228,46,0)</f>
        <v>9.19</v>
      </c>
      <c r="AE21" t="str">
        <f>VLOOKUP(B21,'DANH SACH UEH'!$A$3:$I$2229,4,0)</f>
        <v>NGUYỄN KHÁNH CHI</v>
      </c>
      <c r="AF21" t="str">
        <f>VLOOKUP(B21,'DANH SACH UEH'!$A$3:$I$2229,8,0)</f>
        <v>0327399812</v>
      </c>
    </row>
    <row r="22" spans="1:32" x14ac:dyDescent="0.25">
      <c r="A22">
        <v>21</v>
      </c>
      <c r="B22" t="s">
        <v>118</v>
      </c>
      <c r="C22" t="str">
        <f>VLOOKUP(B22,'DANH SACH UEH'!$A$3:$FE$2228,2,0)</f>
        <v>KSVBS2621873</v>
      </c>
      <c r="D22" t="str">
        <f>IFERROR(VLOOKUP(B22,'DS NGHIEP VU BO'!$A$3:$BX$148,6,0),"")</f>
        <v>33005334</v>
      </c>
      <c r="E22" t="str">
        <f>VLOOKUP(B22,'DS NGHIEP VU BO'!$A$3:$BX$148,45,0)</f>
        <v>Hưng Yên</v>
      </c>
      <c r="F22" t="str">
        <f t="shared" si="0"/>
        <v/>
      </c>
      <c r="G22" t="str">
        <f>IFERROR(IF(VLOOKUP(B22,'DANH SACH UEH'!$A$3:$FE$2228,18,0)="Không có","",VLOOKUP(B22,'DANH SACH UEH'!$A$3:$FE$2228,18,0)),"")</f>
        <v/>
      </c>
      <c r="H22" t="str">
        <f>IFERROR(IF(VLOOKUP(B22,'DANH SACH UEH'!$A$3:$FE$2228,20,0)="Không có","",VLOOKUP(B22,'DANH SACH UEH'!$A$3:$FE$2228,20,0)),"")</f>
        <v/>
      </c>
      <c r="I22" t="str">
        <f>IFERROR(IF(VLOOKUP(B22,'DANH SACH UEH'!$A$3:$FE$2228,19,0)="Không có","",VLOOKUP(B22,'DANH SACH UEH'!$A$3:$FE$2228,19,0)),"")</f>
        <v/>
      </c>
      <c r="J22" t="str">
        <f>VLOOKUP(B22,'DANH SACH UEH'!$A$3:$FE$2228,6,0)</f>
        <v>20/04/2008</v>
      </c>
      <c r="K22" t="str">
        <f>IF(VLOOKUP(B22,'DANH SACH UEH'!$A$3:$FE$2228,5,0)="1","Nữ","Nam")</f>
        <v>Nữ</v>
      </c>
      <c r="L22" t="str">
        <f>VLOOKUP(B22,'DANH SACH UEH'!$A$3:$FE$2228,14,0)</f>
        <v>Kinh</v>
      </c>
      <c r="M22" t="str">
        <f>VLOOKUP(B22,'DANH SACH UEH'!$A$3:$FE$2228,7,0)</f>
        <v>nhhang2@gmail.com</v>
      </c>
      <c r="N22" t="str">
        <f>VLOOKUP(B22,'DANH SACH UEH'!$A$3:$FE$2228,8,0)</f>
        <v>0972505985</v>
      </c>
      <c r="O22" t="str">
        <f>IFERROR(VLOOKUP(AF22,'DS TAO MAIL'!$A$3:$M$1120,8,0),"")</f>
        <v>31261570513</v>
      </c>
      <c r="P22" t="str">
        <f>IFERROR(VLOOKUP(AF22,'DS TAO MAIL'!$A$3:$M$1120,11,0),"")</f>
        <v>87102618</v>
      </c>
      <c r="Q22" t="str">
        <f>IFERROR(VLOOKUP(AF22,'DS TAO MAIL'!$A$3:$M$1120,10,0),"")</f>
        <v>hangnguyen.31261570513@st.ueh.edu.vn</v>
      </c>
      <c r="R22" t="str">
        <f>IFERROR(VLOOKUP(AF22,'DS TAO MAIL'!$A$3:$M$1120,11,0),"")</f>
        <v>87102618</v>
      </c>
      <c r="S22">
        <v>66.150000000000006</v>
      </c>
      <c r="U22">
        <v>64.48</v>
      </c>
      <c r="V22" t="str">
        <f>IFERROR(IF(VLOOKUP(B22,'DANH SACH UEH'!$A$3:$FE$2228,27,0)="Không có","",IF(VLOOKUP(B22,'DANH SACH UEH'!$A$3:$FE$2228,29,0)&lt;"6","",(VLOOKUP(B22,'DANH SACH UEH'!$A$3:$FE$2228,27,0)))),"")</f>
        <v/>
      </c>
      <c r="W22" t="str">
        <f>IFERROR(IF(VLOOKUP(B22,'DANH SACH UEH'!$A$3:$FE$2228,29,0)&lt;"6","",VLOOKUP(B22,'DANH SACH UEH'!$A$3:$FE$2228,29,0)),"")</f>
        <v/>
      </c>
      <c r="X22" t="str">
        <f>IFERROR(IF(V22="","",VLOOKUP(B22,'DANH SACH UEH'!$A$3:$FE$2228,28,0)&amp;""),"")</f>
        <v/>
      </c>
      <c r="Z22" t="str">
        <f>VLOOKUP(B22,'DANH SACH UEH'!$A$3:$FE$2228,44,0)</f>
        <v>8.59</v>
      </c>
      <c r="AA22" t="str">
        <f>VLOOKUP(B22,'DANH SACH UEH'!$A$3:$FE$2228,45,0)</f>
        <v>8.52</v>
      </c>
      <c r="AB22" t="str">
        <f>VLOOKUP(B22,'DANH SACH UEH'!$A$3:$FE$2228,46,0)</f>
        <v>8.66</v>
      </c>
      <c r="AE22" t="str">
        <f>VLOOKUP(B22,'DANH SACH UEH'!$A$3:$I$2229,4,0)</f>
        <v>NGUYỄN THU HẰNG</v>
      </c>
      <c r="AF22" t="str">
        <f>VLOOKUP(B22,'DANH SACH UEH'!$A$3:$I$2229,8,0)</f>
        <v>0972505985</v>
      </c>
    </row>
    <row r="23" spans="1:32" x14ac:dyDescent="0.25">
      <c r="A23">
        <v>22</v>
      </c>
      <c r="B23" t="s">
        <v>117</v>
      </c>
      <c r="C23" t="str">
        <f>VLOOKUP(B23,'DANH SACH UEH'!$A$3:$FE$2228,2,0)</f>
        <v>KSVBS2626874</v>
      </c>
      <c r="D23" t="str">
        <f>IFERROR(VLOOKUP(B23,'DS NGHIEP VU BO'!$A$3:$BX$148,6,0),"")</f>
        <v>31021165</v>
      </c>
      <c r="E23" t="str">
        <f>VLOOKUP(B23,'DS NGHIEP VU BO'!$A$3:$BX$148,45,0)</f>
        <v>Hải Phòng</v>
      </c>
      <c r="F23" t="str">
        <f t="shared" si="0"/>
        <v/>
      </c>
      <c r="G23" t="str">
        <f>IFERROR(IF(VLOOKUP(B23,'DANH SACH UEH'!$A$3:$FE$2228,18,0)="Không có","",VLOOKUP(B23,'DANH SACH UEH'!$A$3:$FE$2228,18,0)),"")</f>
        <v/>
      </c>
      <c r="H23" t="str">
        <f>IFERROR(IF(VLOOKUP(B23,'DANH SACH UEH'!$A$3:$FE$2228,20,0)="Không có","",VLOOKUP(B23,'DANH SACH UEH'!$A$3:$FE$2228,20,0)),"")</f>
        <v/>
      </c>
      <c r="I23" t="str">
        <f>IFERROR(IF(VLOOKUP(B23,'DANH SACH UEH'!$A$3:$FE$2228,19,0)="Không có","",VLOOKUP(B23,'DANH SACH UEH'!$A$3:$FE$2228,19,0)),"")</f>
        <v/>
      </c>
      <c r="J23" t="str">
        <f>VLOOKUP(B23,'DANH SACH UEH'!$A$3:$FE$2228,6,0)</f>
        <v>25/10/2008</v>
      </c>
      <c r="K23" t="str">
        <f>IF(VLOOKUP(B23,'DANH SACH UEH'!$A$3:$FE$2228,5,0)="1","Nữ","Nam")</f>
        <v>Nữ</v>
      </c>
      <c r="L23" t="str">
        <f>VLOOKUP(B23,'DANH SACH UEH'!$A$3:$FE$2228,14,0)</f>
        <v>Kinh</v>
      </c>
      <c r="M23" t="str">
        <f>VLOOKUP(B23,'DANH SACH UEH'!$A$3:$FE$2228,7,0)</f>
        <v>lphuong25102008@gmail.com</v>
      </c>
      <c r="N23" t="str">
        <f>VLOOKUP(B23,'DANH SACH UEH'!$A$3:$FE$2228,8,0)</f>
        <v>0705796418</v>
      </c>
      <c r="O23" t="str">
        <f>IFERROR(VLOOKUP(AE23,'DS TAO MAIL'!$D$3:$M$1120,5,0),"")</f>
        <v>31261570490</v>
      </c>
      <c r="P23" t="str">
        <f>IFERROR(VLOOKUP(AE23,'DS TAO MAIL'!$D$3:$M$1120,8,0),"")</f>
        <v>97019616</v>
      </c>
      <c r="Q23" t="str">
        <f>IFERROR(VLOOKUP(AE23,'DS TAO MAIL'!$D$3:$M$1120,7,0),"")</f>
        <v>phuongnguyen.31261570490@st.ueh.edu.vn</v>
      </c>
      <c r="R23" t="str">
        <f>IFERROR(VLOOKUP(AE23,'DS TAO MAIL'!$D$3:$M$1120,8,0),"")</f>
        <v>97019616</v>
      </c>
      <c r="S23">
        <v>65.47</v>
      </c>
      <c r="U23">
        <v>64.64</v>
      </c>
      <c r="V23" t="str">
        <f>IFERROR(IF(VLOOKUP(B23,'DANH SACH UEH'!$A$3:$FE$2228,27,0)="Không có","",IF(VLOOKUP(B23,'DANH SACH UEH'!$A$3:$FE$2228,29,0)&lt;"6","",(VLOOKUP(B23,'DANH SACH UEH'!$A$3:$FE$2228,27,0)))),"")</f>
        <v/>
      </c>
      <c r="W23" t="str">
        <f>IFERROR(IF(VLOOKUP(B23,'DANH SACH UEH'!$A$3:$FE$2228,29,0)&lt;"6","",VLOOKUP(B23,'DANH SACH UEH'!$A$3:$FE$2228,29,0)),"")</f>
        <v/>
      </c>
      <c r="X23" t="str">
        <f>IFERROR(IF(V23="","",VLOOKUP(B23,'DANH SACH UEH'!$A$3:$FE$2228,28,0)&amp;""),"")</f>
        <v/>
      </c>
      <c r="Z23" t="str">
        <f>VLOOKUP(B23,'DANH SACH UEH'!$A$3:$FE$2228,44,0)</f>
        <v>8.68</v>
      </c>
      <c r="AA23" t="str">
        <f>VLOOKUP(B23,'DANH SACH UEH'!$A$3:$FE$2228,45,0)</f>
        <v>8.11</v>
      </c>
      <c r="AB23" t="str">
        <f>VLOOKUP(B23,'DANH SACH UEH'!$A$3:$FE$2228,46,0)</f>
        <v>8.93</v>
      </c>
      <c r="AE23" t="str">
        <f>VLOOKUP(B23,'DANH SACH UEH'!$A$3:$I$2229,4,0)</f>
        <v>NGUYỄN LAN PHƯƠNG</v>
      </c>
      <c r="AF23" t="str">
        <f>VLOOKUP(B23,'DANH SACH UEH'!$A$3:$I$2229,8,0)</f>
        <v>0705796418</v>
      </c>
    </row>
    <row r="24" spans="1:32" x14ac:dyDescent="0.25">
      <c r="A24">
        <v>23</v>
      </c>
      <c r="B24" t="s">
        <v>116</v>
      </c>
      <c r="C24" t="str">
        <f>VLOOKUP(B24,'DANH SACH UEH'!$A$3:$FE$2228,2,0)</f>
        <v>KSVBS2603312</v>
      </c>
      <c r="D24" t="str">
        <f>IFERROR(VLOOKUP(B24,'DS NGHIEP VU BO'!$A$3:$BX$148,6,0),"")</f>
        <v>37003959</v>
      </c>
      <c r="E24" t="str">
        <f>VLOOKUP(B24,'DS NGHIEP VU BO'!$A$3:$BX$148,45,0)</f>
        <v>Ninh Bình</v>
      </c>
      <c r="F24" t="str">
        <f t="shared" si="0"/>
        <v/>
      </c>
      <c r="G24" t="str">
        <f>IFERROR(IF(VLOOKUP(B24,'DANH SACH UEH'!$A$3:$FE$2228,18,0)="Không có","",VLOOKUP(B24,'DANH SACH UEH'!$A$3:$FE$2228,18,0)),"")</f>
        <v/>
      </c>
      <c r="H24" t="str">
        <f>IFERROR(IF(VLOOKUP(B24,'DANH SACH UEH'!$A$3:$FE$2228,20,0)="Không có","",VLOOKUP(B24,'DANH SACH UEH'!$A$3:$FE$2228,20,0)),"")</f>
        <v/>
      </c>
      <c r="I24" t="str">
        <f>IFERROR(IF(VLOOKUP(B24,'DANH SACH UEH'!$A$3:$FE$2228,19,0)="Không có","",VLOOKUP(B24,'DANH SACH UEH'!$A$3:$FE$2228,19,0)),"")</f>
        <v/>
      </c>
      <c r="J24" t="str">
        <f>VLOOKUP(B24,'DANH SACH UEH'!$A$3:$FE$2228,6,0)</f>
        <v>27/02/2008</v>
      </c>
      <c r="K24" t="str">
        <f>IF(VLOOKUP(B24,'DANH SACH UEH'!$A$3:$FE$2228,5,0)="1","Nữ","Nam")</f>
        <v>Nữ</v>
      </c>
      <c r="L24" t="str">
        <f>VLOOKUP(B24,'DANH SACH UEH'!$A$3:$FE$2228,14,0)</f>
        <v>Kinh</v>
      </c>
      <c r="M24" t="str">
        <f>VLOOKUP(B24,'DANH SACH UEH'!$A$3:$FE$2228,7,0)</f>
        <v>phamlinh2722@gmail.com</v>
      </c>
      <c r="N24" t="str">
        <f>VLOOKUP(B24,'DANH SACH UEH'!$A$3:$FE$2228,8,0)</f>
        <v>0903017782</v>
      </c>
      <c r="O24" t="str">
        <f>IFERROR(VLOOKUP(AE24,'DS TAO MAIL'!$D$3:$M$1120,5,0),"")</f>
        <v>31261570510</v>
      </c>
      <c r="P24" t="str">
        <f>IFERROR(VLOOKUP(AE24,'DS TAO MAIL'!$D$3:$M$1120,8,0),"")</f>
        <v>84633605</v>
      </c>
      <c r="Q24" t="str">
        <f>IFERROR(VLOOKUP(AE24,'DS TAO MAIL'!$D$3:$M$1120,7,0),"")</f>
        <v>linhpham.31261570510@st.ueh.edu.vn</v>
      </c>
      <c r="R24" t="str">
        <f>IFERROR(VLOOKUP(AE24,'DS TAO MAIL'!$D$3:$M$1120,8,0),"")</f>
        <v>84633605</v>
      </c>
      <c r="S24">
        <v>80.81</v>
      </c>
      <c r="U24">
        <v>79.44</v>
      </c>
      <c r="V24" t="str">
        <f>IFERROR(IF(VLOOKUP(B24,'DANH SACH UEH'!$A$3:$FE$2228,27,0)="Không có","",IF(VLOOKUP(B24,'DANH SACH UEH'!$A$3:$FE$2228,29,0)&lt;"6","",(VLOOKUP(B24,'DANH SACH UEH'!$A$3:$FE$2228,27,0)))),"")</f>
        <v/>
      </c>
      <c r="W24" t="str">
        <f>IFERROR(IF(VLOOKUP(B24,'DANH SACH UEH'!$A$3:$FE$2228,29,0)&lt;"6","",VLOOKUP(B24,'DANH SACH UEH'!$A$3:$FE$2228,29,0)),"")</f>
        <v/>
      </c>
      <c r="X24" t="str">
        <f>IFERROR(IF(V24="","",VLOOKUP(B24,'DANH SACH UEH'!$A$3:$FE$2228,28,0)&amp;""),"")</f>
        <v/>
      </c>
      <c r="Z24" t="str">
        <f>VLOOKUP(B24,'DANH SACH UEH'!$A$3:$FE$2228,44,0)</f>
        <v>7.06</v>
      </c>
      <c r="AA24" t="str">
        <f>VLOOKUP(B24,'DANH SACH UEH'!$A$3:$FE$2228,45,0)</f>
        <v>7.54</v>
      </c>
      <c r="AB24" t="str">
        <f>VLOOKUP(B24,'DANH SACH UEH'!$A$3:$FE$2228,46,0)</f>
        <v>7.70</v>
      </c>
      <c r="AE24" t="str">
        <f>VLOOKUP(B24,'DANH SACH UEH'!$A$3:$I$2229,4,0)</f>
        <v>PHẠM GIA LINH</v>
      </c>
      <c r="AF24" t="str">
        <f>VLOOKUP(B24,'DANH SACH UEH'!$A$3:$I$2229,8,0)</f>
        <v>0903017782</v>
      </c>
    </row>
    <row r="25" spans="1:32" x14ac:dyDescent="0.25">
      <c r="A25">
        <v>24</v>
      </c>
      <c r="B25" t="s">
        <v>115</v>
      </c>
      <c r="C25" t="str">
        <f>VLOOKUP(B25,'DANH SACH UEH'!$A$3:$FE$2228,2,0)</f>
        <v>KSVBS2613966</v>
      </c>
      <c r="D25" t="str">
        <f>IFERROR(VLOOKUP(B25,'DS NGHIEP VU BO'!$A$3:$BX$148,6,0),"")</f>
        <v>75003150</v>
      </c>
      <c r="E25" t="str">
        <f>VLOOKUP(B25,'DS NGHIEP VU BO'!$A$3:$BX$148,45,0)</f>
        <v>TP. Đồng Nai</v>
      </c>
      <c r="F25" t="str">
        <f t="shared" si="0"/>
        <v/>
      </c>
      <c r="G25" t="str">
        <f>IFERROR(IF(VLOOKUP(B25,'DANH SACH UEH'!$A$3:$FE$2228,18,0)="Không có","",VLOOKUP(B25,'DANH SACH UEH'!$A$3:$FE$2228,18,0)),"")</f>
        <v/>
      </c>
      <c r="H25" t="str">
        <f>IFERROR(IF(VLOOKUP(B25,'DANH SACH UEH'!$A$3:$FE$2228,20,0)="Không có","",VLOOKUP(B25,'DANH SACH UEH'!$A$3:$FE$2228,20,0)),"")</f>
        <v/>
      </c>
      <c r="I25" t="str">
        <f>IFERROR(IF(VLOOKUP(B25,'DANH SACH UEH'!$A$3:$FE$2228,19,0)="Không có","",VLOOKUP(B25,'DANH SACH UEH'!$A$3:$FE$2228,19,0)),"")</f>
        <v/>
      </c>
      <c r="J25" t="str">
        <f>VLOOKUP(B25,'DANH SACH UEH'!$A$3:$FE$2228,6,0)</f>
        <v>31/01/2007</v>
      </c>
      <c r="K25" t="str">
        <f>IF(VLOOKUP(B25,'DANH SACH UEH'!$A$3:$FE$2228,5,0)="1","Nữ","Nam")</f>
        <v>Nữ</v>
      </c>
      <c r="L25" t="str">
        <f>VLOOKUP(B25,'DANH SACH UEH'!$A$3:$FE$2228,14,0)</f>
        <v>Kinh</v>
      </c>
      <c r="M25" t="str">
        <f>VLOOKUP(B25,'DANH SACH UEH'!$A$3:$FE$2228,7,0)</f>
        <v>nguyenngocbaoloan910@gmail.com</v>
      </c>
      <c r="N25" t="str">
        <f>VLOOKUP(B25,'DANH SACH UEH'!$A$3:$FE$2228,8,0)</f>
        <v>0365857417</v>
      </c>
      <c r="O25" t="str">
        <f>IFERROR(VLOOKUP(AF25,'DS TAO MAIL'!$A$3:$M$1120,8,0),"")</f>
        <v>31261570511</v>
      </c>
      <c r="P25" t="str">
        <f>IFERROR(VLOOKUP(AF25,'DS TAO MAIL'!$A$3:$M$1120,11,0),"")</f>
        <v>22019106</v>
      </c>
      <c r="Q25" t="str">
        <f>IFERROR(VLOOKUP(AF25,'DS TAO MAIL'!$A$3:$M$1120,10,0),"")</f>
        <v>loannguyen.31261570511@st.ueh.edu.vn</v>
      </c>
      <c r="R25" t="str">
        <f>IFERROR(VLOOKUP(AF25,'DS TAO MAIL'!$A$3:$M$1120,11,0),"")</f>
        <v>22019106</v>
      </c>
      <c r="S25">
        <v>86.12</v>
      </c>
      <c r="U25">
        <v>85.64</v>
      </c>
      <c r="V25" t="str">
        <f>IFERROR(IF(VLOOKUP(B25,'DANH SACH UEH'!$A$3:$FE$2228,27,0)="Không có","",IF(VLOOKUP(B25,'DANH SACH UEH'!$A$3:$FE$2228,29,0)&lt;"6","",(VLOOKUP(B25,'DANH SACH UEH'!$A$3:$FE$2228,27,0)))),"")</f>
        <v/>
      </c>
      <c r="W25" t="str">
        <f>IFERROR(IF(VLOOKUP(B25,'DANH SACH UEH'!$A$3:$FE$2228,29,0)&lt;"6","",VLOOKUP(B25,'DANH SACH UEH'!$A$3:$FE$2228,29,0)),"")</f>
        <v/>
      </c>
      <c r="X25" t="str">
        <f>IFERROR(IF(V25="","",VLOOKUP(B25,'DANH SACH UEH'!$A$3:$FE$2228,28,0)&amp;""),"")</f>
        <v/>
      </c>
      <c r="Z25" t="str">
        <f>VLOOKUP(B25,'DANH SACH UEH'!$A$3:$FE$2228,44,0)</f>
        <v>8.18</v>
      </c>
      <c r="AA25" t="str">
        <f>VLOOKUP(B25,'DANH SACH UEH'!$A$3:$FE$2228,45,0)</f>
        <v>8.72</v>
      </c>
      <c r="AB25" t="str">
        <f>VLOOKUP(B25,'DANH SACH UEH'!$A$3:$FE$2228,46,0)</f>
        <v>8.74</v>
      </c>
      <c r="AE25" t="str">
        <f>VLOOKUP(B25,'DANH SACH UEH'!$A$3:$I$2229,4,0)</f>
        <v>NGUYỄN NGỌC BẢO LOAN</v>
      </c>
      <c r="AF25" t="str">
        <f>VLOOKUP(B25,'DANH SACH UEH'!$A$3:$I$2229,8,0)</f>
        <v>0365857417</v>
      </c>
    </row>
    <row r="26" spans="1:32" x14ac:dyDescent="0.25">
      <c r="A26">
        <v>25</v>
      </c>
      <c r="B26" t="s">
        <v>114</v>
      </c>
      <c r="C26" t="str">
        <f>VLOOKUP(B26,'DANH SACH UEH'!$A$3:$FE$2228,2,0)</f>
        <v>KSVBS2620036</v>
      </c>
      <c r="D26" t="str">
        <f>IFERROR(VLOOKUP(B26,'DS NGHIEP VU BO'!$A$3:$BX$148,6,0),"")</f>
        <v>79129945</v>
      </c>
      <c r="E26" t="str">
        <f>VLOOKUP(B26,'DS NGHIEP VU BO'!$A$3:$BX$148,45,0)</f>
        <v>Thanh Hoá</v>
      </c>
      <c r="F26" t="str">
        <f t="shared" si="0"/>
        <v/>
      </c>
      <c r="G26" t="str">
        <f>IFERROR(IF(VLOOKUP(B26,'DANH SACH UEH'!$A$3:$FE$2228,18,0)="Không có","",VLOOKUP(B26,'DANH SACH UEH'!$A$3:$FE$2228,18,0)),"")</f>
        <v/>
      </c>
      <c r="H26" t="str">
        <f>IFERROR(IF(VLOOKUP(B26,'DANH SACH UEH'!$A$3:$FE$2228,20,0)="Không có","",VLOOKUP(B26,'DANH SACH UEH'!$A$3:$FE$2228,20,0)),"")</f>
        <v/>
      </c>
      <c r="I26" t="str">
        <f>IFERROR(IF(VLOOKUP(B26,'DANH SACH UEH'!$A$3:$FE$2228,19,0)="Không có","",VLOOKUP(B26,'DANH SACH UEH'!$A$3:$FE$2228,19,0)),"")</f>
        <v/>
      </c>
      <c r="J26" t="str">
        <f>VLOOKUP(B26,'DANH SACH UEH'!$A$3:$FE$2228,6,0)</f>
        <v>13/01/2008</v>
      </c>
      <c r="K26" t="str">
        <f>IF(VLOOKUP(B26,'DANH SACH UEH'!$A$3:$FE$2228,5,0)="1","Nữ","Nam")</f>
        <v>Nữ</v>
      </c>
      <c r="L26" t="str">
        <f>VLOOKUP(B26,'DANH SACH UEH'!$A$3:$FE$2228,14,0)</f>
        <v>Kinh</v>
      </c>
      <c r="M26" t="str">
        <f>VLOOKUP(B26,'DANH SACH UEH'!$A$3:$FE$2228,7,0)</f>
        <v>hdo516516@gmail.com</v>
      </c>
      <c r="N26" t="str">
        <f>VLOOKUP(B26,'DANH SACH UEH'!$A$3:$FE$2228,8,0)</f>
        <v>0858694515</v>
      </c>
      <c r="O26" t="str">
        <f>IFERROR(VLOOKUP(AE26,'DS TAO MAIL'!$D$3:$M$1120,5,0),"")</f>
        <v>31261570417</v>
      </c>
      <c r="P26" t="str">
        <f>IFERROR(VLOOKUP(AE26,'DS TAO MAIL'!$D$3:$M$1120,8,0),"")</f>
        <v>68062150</v>
      </c>
      <c r="Q26" t="str">
        <f>IFERROR(VLOOKUP(AE26,'DS TAO MAIL'!$D$3:$M$1120,7,0),"")</f>
        <v>huyendo.31261570417@st.ueh.edu.vn</v>
      </c>
      <c r="R26" t="str">
        <f>IFERROR(VLOOKUP(AE26,'DS TAO MAIL'!$D$3:$M$1120,8,0),"")</f>
        <v>68062150</v>
      </c>
      <c r="S26">
        <v>80.34</v>
      </c>
      <c r="U26">
        <v>78.16</v>
      </c>
      <c r="V26" t="str">
        <f>IFERROR(IF(VLOOKUP(B26,'DANH SACH UEH'!$A$3:$FE$2228,27,0)="Không có","",IF(VLOOKUP(B26,'DANH SACH UEH'!$A$3:$FE$2228,29,0)&lt;"6","",(VLOOKUP(B26,'DANH SACH UEH'!$A$3:$FE$2228,27,0)))),"")</f>
        <v/>
      </c>
      <c r="W26" t="str">
        <f>IFERROR(IF(VLOOKUP(B26,'DANH SACH UEH'!$A$3:$FE$2228,29,0)&lt;"6","",VLOOKUP(B26,'DANH SACH UEH'!$A$3:$FE$2228,29,0)),"")</f>
        <v/>
      </c>
      <c r="X26" t="str">
        <f>IFERROR(IF(V26="","",VLOOKUP(B26,'DANH SACH UEH'!$A$3:$FE$2228,28,0)&amp;""),"")</f>
        <v/>
      </c>
      <c r="Z26" t="str">
        <f>VLOOKUP(B26,'DANH SACH UEH'!$A$3:$FE$2228,44,0)</f>
        <v>8.03</v>
      </c>
      <c r="AA26" t="str">
        <f>VLOOKUP(B26,'DANH SACH UEH'!$A$3:$FE$2228,45,0)</f>
        <v>8.01</v>
      </c>
      <c r="AB26" t="str">
        <f>VLOOKUP(B26,'DANH SACH UEH'!$A$3:$FE$2228,46,0)</f>
        <v>8.00</v>
      </c>
      <c r="AE26" t="str">
        <f>VLOOKUP(B26,'DANH SACH UEH'!$A$3:$I$2229,4,0)</f>
        <v>ĐỖ KHÁNH HUYỀN</v>
      </c>
      <c r="AF26" t="str">
        <f>VLOOKUP(B26,'DANH SACH UEH'!$A$3:$I$2229,8,0)</f>
        <v>0858694515</v>
      </c>
    </row>
    <row r="27" spans="1:32" x14ac:dyDescent="0.25">
      <c r="A27">
        <v>26</v>
      </c>
      <c r="B27" t="s">
        <v>113</v>
      </c>
      <c r="C27" t="str">
        <f>VLOOKUP(B27,'DANH SACH UEH'!$A$3:$FE$2228,2,0)</f>
        <v>KSVBS2618284</v>
      </c>
      <c r="D27" t="str">
        <f>IFERROR(VLOOKUP(B27,'DS NGHIEP VU BO'!$A$3:$BX$148,6,0),"")</f>
        <v>42011184</v>
      </c>
      <c r="E27" t="str">
        <f>VLOOKUP(B27,'DS NGHIEP VU BO'!$A$3:$BX$148,45,0)</f>
        <v>Hà Tĩnh</v>
      </c>
      <c r="F27" t="str">
        <f t="shared" si="0"/>
        <v/>
      </c>
      <c r="G27" t="str">
        <f>IFERROR(IF(VLOOKUP(B27,'DANH SACH UEH'!$A$3:$FE$2228,18,0)="Không có","",VLOOKUP(B27,'DANH SACH UEH'!$A$3:$FE$2228,18,0)),"")</f>
        <v/>
      </c>
      <c r="H27" t="str">
        <f>IFERROR(IF(VLOOKUP(B27,'DANH SACH UEH'!$A$3:$FE$2228,20,0)="Không có","",VLOOKUP(B27,'DANH SACH UEH'!$A$3:$FE$2228,20,0)),"")</f>
        <v/>
      </c>
      <c r="I27" t="str">
        <f>IFERROR(IF(VLOOKUP(B27,'DANH SACH UEH'!$A$3:$FE$2228,19,0)="Không có","",VLOOKUP(B27,'DANH SACH UEH'!$A$3:$FE$2228,19,0)),"")</f>
        <v/>
      </c>
      <c r="J27" t="str">
        <f>VLOOKUP(B27,'DANH SACH UEH'!$A$3:$FE$2228,6,0)</f>
        <v>09/02/2007</v>
      </c>
      <c r="K27" t="str">
        <f>IF(VLOOKUP(B27,'DANH SACH UEH'!$A$3:$FE$2228,5,0)="1","Nữ","Nam")</f>
        <v>Nữ</v>
      </c>
      <c r="L27" t="str">
        <f>VLOOKUP(B27,'DANH SACH UEH'!$A$3:$FE$2228,14,0)</f>
        <v>Kinh</v>
      </c>
      <c r="M27" t="str">
        <f>VLOOKUP(B27,'DANH SACH UEH'!$A$3:$FE$2228,7,0)</f>
        <v>nhit5753@gmail.com</v>
      </c>
      <c r="N27" t="str">
        <f>VLOOKUP(B27,'DANH SACH UEH'!$A$3:$FE$2228,8,0)</f>
        <v>0948179207</v>
      </c>
      <c r="O27" t="str">
        <f>IFERROR(VLOOKUP(AE27,'DS TAO MAIL'!$D$3:$M$1120,5,0),"")</f>
        <v>31261570517</v>
      </c>
      <c r="P27" t="str">
        <f>IFERROR(VLOOKUP(AE27,'DS TAO MAIL'!$D$3:$M$1120,8,0),"")</f>
        <v>40146008</v>
      </c>
      <c r="Q27" t="str">
        <f>IFERROR(VLOOKUP(AE27,'DS TAO MAIL'!$D$3:$M$1120,7,0),"")</f>
        <v>nhitran.31261570517@st.ueh.edu.vn</v>
      </c>
      <c r="R27" t="str">
        <f>IFERROR(VLOOKUP(AE27,'DS TAO MAIL'!$D$3:$M$1120,8,0),"")</f>
        <v>40146008</v>
      </c>
      <c r="S27">
        <v>77.63</v>
      </c>
      <c r="U27">
        <v>75.14</v>
      </c>
      <c r="V27" t="str">
        <f>IFERROR(IF(VLOOKUP(B27,'DANH SACH UEH'!$A$3:$FE$2228,27,0)="Không có","",IF(VLOOKUP(B27,'DANH SACH UEH'!$A$3:$FE$2228,29,0)&lt;"6","",(VLOOKUP(B27,'DANH SACH UEH'!$A$3:$FE$2228,27,0)))),"")</f>
        <v/>
      </c>
      <c r="W27" t="str">
        <f>IFERROR(IF(VLOOKUP(B27,'DANH SACH UEH'!$A$3:$FE$2228,29,0)&lt;"6","",VLOOKUP(B27,'DANH SACH UEH'!$A$3:$FE$2228,29,0)),"")</f>
        <v/>
      </c>
      <c r="X27" t="str">
        <f>IFERROR(IF(V27="","",VLOOKUP(B27,'DANH SACH UEH'!$A$3:$FE$2228,28,0)&amp;""),"")</f>
        <v/>
      </c>
      <c r="Z27" t="str">
        <f>VLOOKUP(B27,'DANH SACH UEH'!$A$3:$FE$2228,44,0)</f>
        <v>6.69</v>
      </c>
      <c r="AA27" t="str">
        <f>VLOOKUP(B27,'DANH SACH UEH'!$A$3:$FE$2228,45,0)</f>
        <v>7.73</v>
      </c>
      <c r="AB27" t="str">
        <f>VLOOKUP(B27,'DANH SACH UEH'!$A$3:$FE$2228,46,0)</f>
        <v>8.11</v>
      </c>
      <c r="AE27" t="str">
        <f>VLOOKUP(B27,'DANH SACH UEH'!$A$3:$I$2229,4,0)</f>
        <v>TRẦN THỊ YẾN NHI</v>
      </c>
      <c r="AF27" t="str">
        <f>VLOOKUP(B27,'DANH SACH UEH'!$A$3:$I$2229,8,0)</f>
        <v>0948179207</v>
      </c>
    </row>
    <row r="28" spans="1:32" x14ac:dyDescent="0.25">
      <c r="A28">
        <v>27</v>
      </c>
      <c r="B28" t="s">
        <v>112</v>
      </c>
      <c r="C28" t="str">
        <f>VLOOKUP(B28,'DANH SACH UEH'!$A$3:$FE$2228,2,0)</f>
        <v>KSVBS2646585</v>
      </c>
      <c r="D28" t="str">
        <f>IFERROR(VLOOKUP(B28,'DS NGHIEP VU BO'!$A$3:$BX$148,6,0),"")</f>
        <v>46013275</v>
      </c>
      <c r="E28" t="str">
        <f>VLOOKUP(B28,'DS NGHIEP VU BO'!$A$3:$BX$148,45,0)</f>
        <v>Thành phố Huế</v>
      </c>
      <c r="F28" t="str">
        <f t="shared" si="0"/>
        <v/>
      </c>
      <c r="G28" t="str">
        <f>IFERROR(IF(VLOOKUP(B28,'DANH SACH UEH'!$A$3:$FE$2228,18,0)="Không có","",VLOOKUP(B28,'DANH SACH UEH'!$A$3:$FE$2228,18,0)),"")</f>
        <v/>
      </c>
      <c r="H28" t="str">
        <f>IFERROR(IF(VLOOKUP(B28,'DANH SACH UEH'!$A$3:$FE$2228,20,0)="Không có","",VLOOKUP(B28,'DANH SACH UEH'!$A$3:$FE$2228,20,0)),"")</f>
        <v/>
      </c>
      <c r="I28" t="str">
        <f>IFERROR(IF(VLOOKUP(B28,'DANH SACH UEH'!$A$3:$FE$2228,19,0)="Không có","",VLOOKUP(B28,'DANH SACH UEH'!$A$3:$FE$2228,19,0)),"")</f>
        <v/>
      </c>
      <c r="J28" t="str">
        <f>VLOOKUP(B28,'DANH SACH UEH'!$A$3:$FE$2228,6,0)</f>
        <v>15/12/2006</v>
      </c>
      <c r="K28" t="str">
        <f>IF(VLOOKUP(B28,'DANH SACH UEH'!$A$3:$FE$2228,5,0)="1","Nữ","Nam")</f>
        <v>Nam</v>
      </c>
      <c r="L28" t="str">
        <f>VLOOKUP(B28,'DANH SACH UEH'!$A$3:$FE$2228,14,0)</f>
        <v>Kinh</v>
      </c>
      <c r="M28" t="str">
        <f>VLOOKUP(B28,'DANH SACH UEH'!$A$3:$FE$2228,7,0)</f>
        <v>trannhattuyen3@gmail.com</v>
      </c>
      <c r="N28" t="str">
        <f>VLOOKUP(B28,'DANH SACH UEH'!$A$3:$FE$2228,8,0)</f>
        <v>0363580108</v>
      </c>
      <c r="O28" t="str">
        <f>IFERROR(VLOOKUP(AE28,'DS TAO MAIL'!$D$3:$M$1120,5,0),"")</f>
        <v/>
      </c>
      <c r="P28" t="str">
        <f>IFERROR(VLOOKUP(AE28,'DS TAO MAIL'!$D$3:$M$1120,8,0),"")</f>
        <v/>
      </c>
      <c r="Q28" t="str">
        <f>IFERROR(VLOOKUP(AE28,'DS TAO MAIL'!$D$3:$M$1120,7,0),"")</f>
        <v/>
      </c>
      <c r="R28" t="str">
        <f>IFERROR(VLOOKUP(AE28,'DS TAO MAIL'!$D$3:$M$1120,8,0),"")</f>
        <v/>
      </c>
      <c r="S28">
        <v>70.28</v>
      </c>
      <c r="U28">
        <v>67.78</v>
      </c>
      <c r="V28" t="str">
        <f>IFERROR(IF(VLOOKUP(B28,'DANH SACH UEH'!$A$3:$FE$2228,27,0)="Không có","",IF(VLOOKUP(B28,'DANH SACH UEH'!$A$3:$FE$2228,29,0)&lt;"6","",(VLOOKUP(B28,'DANH SACH UEH'!$A$3:$FE$2228,27,0)))),"")</f>
        <v/>
      </c>
      <c r="W28" t="str">
        <f>IFERROR(IF(VLOOKUP(B28,'DANH SACH UEH'!$A$3:$FE$2228,29,0)&lt;"6","",VLOOKUP(B28,'DANH SACH UEH'!$A$3:$FE$2228,29,0)),"")</f>
        <v/>
      </c>
      <c r="X28" t="str">
        <f>IFERROR(IF(V28="","",VLOOKUP(B28,'DANH SACH UEH'!$A$3:$FE$2228,28,0)&amp;""),"")</f>
        <v/>
      </c>
      <c r="Z28" t="str">
        <f>VLOOKUP(B28,'DANH SACH UEH'!$A$3:$FE$2228,44,0)</f>
        <v>7.43</v>
      </c>
      <c r="AA28" t="str">
        <f>VLOOKUP(B28,'DANH SACH UEH'!$A$3:$FE$2228,45,0)</f>
        <v>7.81</v>
      </c>
      <c r="AB28" t="str">
        <f>VLOOKUP(B28,'DANH SACH UEH'!$A$3:$FE$2228,46,0)</f>
        <v>8.06</v>
      </c>
      <c r="AE28" t="str">
        <f>VLOOKUP(B28,'DANH SACH UEH'!$A$3:$I$2229,4,0)</f>
        <v>TRẦN NHẬT TUYẾN</v>
      </c>
      <c r="AF28" t="str">
        <f>VLOOKUP(B28,'DANH SACH UEH'!$A$3:$I$2229,8,0)</f>
        <v>0363580108</v>
      </c>
    </row>
    <row r="29" spans="1:32" x14ac:dyDescent="0.25">
      <c r="A29">
        <v>28</v>
      </c>
      <c r="B29" t="s">
        <v>111</v>
      </c>
      <c r="C29" t="str">
        <f>VLOOKUP(B29,'DANH SACH UEH'!$A$3:$FE$2228,2,0)</f>
        <v>KSVBS2631437</v>
      </c>
      <c r="D29" t="str">
        <f>IFERROR(VLOOKUP(B29,'DS NGHIEP VU BO'!$A$3:$BX$148,6,0),"")</f>
        <v>79088789</v>
      </c>
      <c r="E29" t="str">
        <f>VLOOKUP(B29,'DS NGHIEP VU BO'!$A$3:$BX$148,45,0)</f>
        <v>Khánh Hoà</v>
      </c>
      <c r="F29" t="str">
        <f t="shared" si="0"/>
        <v/>
      </c>
      <c r="G29" t="str">
        <f>IFERROR(IF(VLOOKUP(B29,'DANH SACH UEH'!$A$3:$FE$2228,18,0)="Không có","",VLOOKUP(B29,'DANH SACH UEH'!$A$3:$FE$2228,18,0)),"")</f>
        <v/>
      </c>
      <c r="H29" t="str">
        <f>IFERROR(IF(VLOOKUP(B29,'DANH SACH UEH'!$A$3:$FE$2228,20,0)="Không có","",VLOOKUP(B29,'DANH SACH UEH'!$A$3:$FE$2228,20,0)),"")</f>
        <v/>
      </c>
      <c r="I29" t="str">
        <f>IFERROR(IF(VLOOKUP(B29,'DANH SACH UEH'!$A$3:$FE$2228,19,0)="Không có","",VLOOKUP(B29,'DANH SACH UEH'!$A$3:$FE$2228,19,0)),"")</f>
        <v/>
      </c>
      <c r="J29" t="str">
        <f>VLOOKUP(B29,'DANH SACH UEH'!$A$3:$FE$2228,6,0)</f>
        <v>08/02/2007</v>
      </c>
      <c r="K29" t="str">
        <f>IF(VLOOKUP(B29,'DANH SACH UEH'!$A$3:$FE$2228,5,0)="1","Nữ","Nam")</f>
        <v>Nữ</v>
      </c>
      <c r="L29" t="str">
        <f>VLOOKUP(B29,'DANH SACH UEH'!$A$3:$FE$2228,14,0)</f>
        <v>Kinh</v>
      </c>
      <c r="M29" t="str">
        <f>VLOOKUP(B29,'DANH SACH UEH'!$A$3:$FE$2228,7,0)</f>
        <v>votuyetle2007@gmail.com</v>
      </c>
      <c r="N29" t="str">
        <f>VLOOKUP(B29,'DANH SACH UEH'!$A$3:$FE$2228,8,0)</f>
        <v>0962190726</v>
      </c>
      <c r="O29" t="str">
        <f>IFERROR(VLOOKUP(AF29,'DS TAO MAIL'!$A$3:$M$1120,8,0),"")</f>
        <v>31261570512</v>
      </c>
      <c r="P29" t="str">
        <f>IFERROR(VLOOKUP(AF29,'DS TAO MAIL'!$A$3:$M$1120,11,0),"")</f>
        <v>54709450</v>
      </c>
      <c r="Q29" t="str">
        <f>IFERROR(VLOOKUP(AF29,'DS TAO MAIL'!$A$3:$M$1120,10,0),"")</f>
        <v>levo.31261570512@st.ueh.edu.vn</v>
      </c>
      <c r="R29" t="str">
        <f>IFERROR(VLOOKUP(AF29,'DS TAO MAIL'!$A$3:$M$1120,11,0),"")</f>
        <v>54709450</v>
      </c>
      <c r="S29">
        <v>84.49</v>
      </c>
      <c r="U29">
        <v>83.38</v>
      </c>
      <c r="V29" t="str">
        <f>IFERROR(IF(VLOOKUP(B29,'DANH SACH UEH'!$A$3:$FE$2228,27,0)="Không có","",IF(VLOOKUP(B29,'DANH SACH UEH'!$A$3:$FE$2228,29,0)&lt;"6","",(VLOOKUP(B29,'DANH SACH UEH'!$A$3:$FE$2228,27,0)))),"")</f>
        <v/>
      </c>
      <c r="W29" t="str">
        <f>IFERROR(IF(VLOOKUP(B29,'DANH SACH UEH'!$A$3:$FE$2228,29,0)&lt;"6","",VLOOKUP(B29,'DANH SACH UEH'!$A$3:$FE$2228,29,0)),"")</f>
        <v/>
      </c>
      <c r="X29" t="str">
        <f>IFERROR(IF(V29="","",VLOOKUP(B29,'DANH SACH UEH'!$A$3:$FE$2228,28,0)&amp;""),"")</f>
        <v/>
      </c>
      <c r="Z29" t="str">
        <f>VLOOKUP(B29,'DANH SACH UEH'!$A$3:$FE$2228,44,0)</f>
        <v>7.48</v>
      </c>
      <c r="AA29" t="str">
        <f>VLOOKUP(B29,'DANH SACH UEH'!$A$3:$FE$2228,45,0)</f>
        <v>7.71</v>
      </c>
      <c r="AB29" t="str">
        <f>VLOOKUP(B29,'DANH SACH UEH'!$A$3:$FE$2228,46,0)</f>
        <v>7.58</v>
      </c>
      <c r="AE29" t="str">
        <f>VLOOKUP(B29,'DANH SACH UEH'!$A$3:$I$2229,4,0)</f>
        <v>VÕ TUYẾT LÊ</v>
      </c>
      <c r="AF29" t="str">
        <f>VLOOKUP(B29,'DANH SACH UEH'!$A$3:$I$2229,8,0)</f>
        <v>0962190726</v>
      </c>
    </row>
    <row r="30" spans="1:32" x14ac:dyDescent="0.25">
      <c r="A30">
        <v>29</v>
      </c>
      <c r="B30" t="s">
        <v>110</v>
      </c>
      <c r="C30" t="str">
        <f>VLOOKUP(B30,'DANH SACH UEH'!$A$3:$FE$2228,2,0)</f>
        <v>KSVBS2643331</v>
      </c>
      <c r="D30" t="str">
        <f>IFERROR(VLOOKUP(B30,'DS NGHIEP VU BO'!$A$3:$BX$148,6,0),"")</f>
        <v>68026368</v>
      </c>
      <c r="E30" t="str">
        <f>VLOOKUP(B30,'DS NGHIEP VU BO'!$A$3:$BX$148,45,0)</f>
        <v>Lâm Đồng</v>
      </c>
      <c r="F30" t="str">
        <f t="shared" si="0"/>
        <v/>
      </c>
      <c r="G30" t="str">
        <f>IFERROR(IF(VLOOKUP(B30,'DANH SACH UEH'!$A$3:$FE$2228,18,0)="Không có","",VLOOKUP(B30,'DANH SACH UEH'!$A$3:$FE$2228,18,0)),"")</f>
        <v/>
      </c>
      <c r="H30" t="str">
        <f>IFERROR(IF(VLOOKUP(B30,'DANH SACH UEH'!$A$3:$FE$2228,20,0)="Không có","",VLOOKUP(B30,'DANH SACH UEH'!$A$3:$FE$2228,20,0)),"")</f>
        <v/>
      </c>
      <c r="I30" t="str">
        <f>IFERROR(IF(VLOOKUP(B30,'DANH SACH UEH'!$A$3:$FE$2228,19,0)="Không có","",VLOOKUP(B30,'DANH SACH UEH'!$A$3:$FE$2228,19,0)),"")</f>
        <v/>
      </c>
      <c r="J30" t="str">
        <f>VLOOKUP(B30,'DANH SACH UEH'!$A$3:$FE$2228,6,0)</f>
        <v>08/04/2008</v>
      </c>
      <c r="K30" t="str">
        <f>IF(VLOOKUP(B30,'DANH SACH UEH'!$A$3:$FE$2228,5,0)="1","Nữ","Nam")</f>
        <v>Nữ</v>
      </c>
      <c r="L30" t="str">
        <f>VLOOKUP(B30,'DANH SACH UEH'!$A$3:$FE$2228,14,0)</f>
        <v>Kinh</v>
      </c>
      <c r="M30" t="str">
        <f>VLOOKUP(B30,'DANH SACH UEH'!$A$3:$FE$2228,7,0)</f>
        <v>ngocquyenbui.122@gmail.com</v>
      </c>
      <c r="N30" t="str">
        <f>VLOOKUP(B30,'DANH SACH UEH'!$A$3:$FE$2228,8,0)</f>
        <v>0395657508</v>
      </c>
      <c r="O30" t="str">
        <f>IFERROR(VLOOKUP(AF30,'DS TAO MAIL'!$A$3:$M$1120,8,0),"")</f>
        <v>31261570524</v>
      </c>
      <c r="P30" t="str">
        <f>IFERROR(VLOOKUP(AF30,'DS TAO MAIL'!$A$3:$M$1120,11,0),"")</f>
        <v>13239135</v>
      </c>
      <c r="Q30" t="str">
        <f>IFERROR(VLOOKUP(AF30,'DS TAO MAIL'!$A$3:$M$1120,10,0),"")</f>
        <v>quyenbui.31261570524@st.ueh.edu.vn</v>
      </c>
      <c r="R30" t="str">
        <f>IFERROR(VLOOKUP(AF30,'DS TAO MAIL'!$A$3:$M$1120,11,0),"")</f>
        <v>13239135</v>
      </c>
      <c r="S30">
        <v>90.48</v>
      </c>
      <c r="U30">
        <v>89.8</v>
      </c>
      <c r="V30" t="str">
        <f>IFERROR(IF(VLOOKUP(B30,'DANH SACH UEH'!$A$3:$FE$2228,27,0)="Không có","",IF(VLOOKUP(B30,'DANH SACH UEH'!$A$3:$FE$2228,29,0)&lt;"6","",(VLOOKUP(B30,'DANH SACH UEH'!$A$3:$FE$2228,27,0)))),"")</f>
        <v/>
      </c>
      <c r="W30" t="str">
        <f>IFERROR(IF(VLOOKUP(B30,'DANH SACH UEH'!$A$3:$FE$2228,29,0)&lt;"6","",VLOOKUP(B30,'DANH SACH UEH'!$A$3:$FE$2228,29,0)),"")</f>
        <v/>
      </c>
      <c r="X30" t="str">
        <f>IFERROR(IF(V30="","",VLOOKUP(B30,'DANH SACH UEH'!$A$3:$FE$2228,28,0)&amp;""),"")</f>
        <v/>
      </c>
      <c r="Z30" t="str">
        <f>VLOOKUP(B30,'DANH SACH UEH'!$A$3:$FE$2228,44,0)</f>
        <v>8.42</v>
      </c>
      <c r="AA30" t="str">
        <f>VLOOKUP(B30,'DANH SACH UEH'!$A$3:$FE$2228,45,0)</f>
        <v>8.83</v>
      </c>
      <c r="AB30" t="str">
        <f>VLOOKUP(B30,'DANH SACH UEH'!$A$3:$FE$2228,46,0)</f>
        <v>8.92</v>
      </c>
      <c r="AE30" t="str">
        <f>VLOOKUP(B30,'DANH SACH UEH'!$A$3:$I$2229,4,0)</f>
        <v>BÙI VŨ NGỌC QUYÊN</v>
      </c>
      <c r="AF30" t="str">
        <f>VLOOKUP(B30,'DANH SACH UEH'!$A$3:$I$2229,8,0)</f>
        <v>0395657508</v>
      </c>
    </row>
    <row r="31" spans="1:32" x14ac:dyDescent="0.25">
      <c r="A31">
        <v>30</v>
      </c>
      <c r="B31" t="s">
        <v>109</v>
      </c>
      <c r="C31" t="str">
        <f>VLOOKUP(B31,'DANH SACH UEH'!$A$3:$FE$2228,2,0)</f>
        <v>KSVBS2603875</v>
      </c>
      <c r="D31" t="str">
        <f>IFERROR(VLOOKUP(B31,'DS NGHIEP VU BO'!$A$3:$BX$148,6,0),"")</f>
        <v>66018672</v>
      </c>
      <c r="E31" t="str">
        <f>VLOOKUP(B31,'DS NGHIEP VU BO'!$A$3:$BX$148,45,0)</f>
        <v>Đắk Lắk</v>
      </c>
      <c r="F31" t="str">
        <f t="shared" si="0"/>
        <v>Giải thưởng kỳ thi chọn học sinh giỏi cấp tỉnh/TP:</v>
      </c>
      <c r="G31" t="str">
        <f>IFERROR(IF(VLOOKUP(B31,'DANH SACH UEH'!$A$3:$FE$2228,18,0)="Không có","",VLOOKUP(B31,'DANH SACH UEH'!$A$3:$FE$2228,18,0)),"")</f>
        <v>Toán</v>
      </c>
      <c r="H31" t="str">
        <f>IFERROR(IF(VLOOKUP(B31,'DANH SACH UEH'!$A$3:$FE$2228,20,0)="Không có","",VLOOKUP(B31,'DANH SACH UEH'!$A$3:$FE$2228,20,0)),"")</f>
        <v>Nhì</v>
      </c>
      <c r="I31" t="str">
        <f>IFERROR(IF(VLOOKUP(B31,'DANH SACH UEH'!$A$3:$FE$2228,19,0)="Không có","",VLOOKUP(B31,'DANH SACH UEH'!$A$3:$FE$2228,19,0)),"")</f>
        <v>2026</v>
      </c>
      <c r="J31" t="str">
        <f>VLOOKUP(B31,'DANH SACH UEH'!$A$3:$FE$2228,6,0)</f>
        <v>21/12/2008</v>
      </c>
      <c r="K31" t="str">
        <f>IF(VLOOKUP(B31,'DANH SACH UEH'!$A$3:$FE$2228,5,0)="1","Nữ","Nam")</f>
        <v>Nam</v>
      </c>
      <c r="L31" t="str">
        <f>VLOOKUP(B31,'DANH SACH UEH'!$A$3:$FE$2228,14,0)</f>
        <v>Kinh</v>
      </c>
      <c r="M31" t="str">
        <f>VLOOKUP(B31,'DANH SACH UEH'!$A$3:$FE$2228,7,0)</f>
        <v>giapdang122108@gmail.com</v>
      </c>
      <c r="N31" t="str">
        <f>VLOOKUP(B31,'DANH SACH UEH'!$A$3:$FE$2228,8,0)</f>
        <v>0394044338</v>
      </c>
      <c r="O31" t="str">
        <f>IFERROR(VLOOKUP(AF31,'DS TAO MAIL'!$A$3:$M$1120,8,0),"")</f>
        <v/>
      </c>
      <c r="P31" t="str">
        <f>IFERROR(VLOOKUP(AF31,'DS TAO MAIL'!$A$3:$M$1120,11,0),"")</f>
        <v/>
      </c>
      <c r="Q31" t="str">
        <f>IFERROR(VLOOKUP(AF31,'DS TAO MAIL'!$A$3:$M$1120,10,0),"")</f>
        <v/>
      </c>
      <c r="R31" t="str">
        <f>IFERROR(VLOOKUP(AF31,'DS TAO MAIL'!$A$3:$M$1120,11,0),"")</f>
        <v/>
      </c>
      <c r="S31">
        <v>67.17</v>
      </c>
      <c r="U31">
        <v>65.5</v>
      </c>
      <c r="V31" t="str">
        <f>IFERROR(IF(VLOOKUP(B31,'DANH SACH UEH'!$A$3:$FE$2228,27,0)="Không có","",IF(VLOOKUP(B31,'DANH SACH UEH'!$A$3:$FE$2228,29,0)&lt;"6","",(VLOOKUP(B31,'DANH SACH UEH'!$A$3:$FE$2228,27,0)))),"")</f>
        <v/>
      </c>
      <c r="W31" t="str">
        <f>IFERROR(IF(VLOOKUP(B31,'DANH SACH UEH'!$A$3:$FE$2228,29,0)&lt;"6","",VLOOKUP(B31,'DANH SACH UEH'!$A$3:$FE$2228,29,0)),"")</f>
        <v/>
      </c>
      <c r="X31" t="str">
        <f>IFERROR(IF(V31="","",VLOOKUP(B31,'DANH SACH UEH'!$A$3:$FE$2228,28,0)&amp;""),"")</f>
        <v/>
      </c>
      <c r="Z31" t="str">
        <f>VLOOKUP(B31,'DANH SACH UEH'!$A$3:$FE$2228,44,0)</f>
        <v>8.13</v>
      </c>
      <c r="AA31" t="str">
        <f>VLOOKUP(B31,'DANH SACH UEH'!$A$3:$FE$2228,45,0)</f>
        <v>8.34</v>
      </c>
      <c r="AB31" t="str">
        <f>VLOOKUP(B31,'DANH SACH UEH'!$A$3:$FE$2228,46,0)</f>
        <v>8.54</v>
      </c>
      <c r="AE31" t="str">
        <f>VLOOKUP(B31,'DANH SACH UEH'!$A$3:$I$2229,4,0)</f>
        <v>ĐẶNG NGUYÊN GIÁP</v>
      </c>
      <c r="AF31" t="str">
        <f>VLOOKUP(B31,'DANH SACH UEH'!$A$3:$I$2229,8,0)</f>
        <v>0394044338</v>
      </c>
    </row>
    <row r="32" spans="1:32" x14ac:dyDescent="0.25">
      <c r="A32">
        <v>31</v>
      </c>
      <c r="B32" t="s">
        <v>108</v>
      </c>
      <c r="C32" t="str">
        <f>VLOOKUP(B32,'DANH SACH UEH'!$A$3:$FE$2228,2,0)</f>
        <v>KSVBS2622794</v>
      </c>
      <c r="D32" t="str">
        <f>IFERROR(VLOOKUP(B32,'DS NGHIEP VU BO'!$A$3:$BX$148,6,0),"")</f>
        <v>66012019</v>
      </c>
      <c r="E32" t="str">
        <f>VLOOKUP(B32,'DS NGHIEP VU BO'!$A$3:$BX$148,45,0)</f>
        <v>Đắk Lắk</v>
      </c>
      <c r="F32" t="str">
        <f t="shared" si="0"/>
        <v/>
      </c>
      <c r="G32" t="str">
        <f>IFERROR(IF(VLOOKUP(B32,'DANH SACH UEH'!$A$3:$FE$2228,18,0)="Không có","",VLOOKUP(B32,'DANH SACH UEH'!$A$3:$FE$2228,18,0)),"")</f>
        <v/>
      </c>
      <c r="H32" t="str">
        <f>IFERROR(IF(VLOOKUP(B32,'DANH SACH UEH'!$A$3:$FE$2228,20,0)="Không có","",VLOOKUP(B32,'DANH SACH UEH'!$A$3:$FE$2228,20,0)),"")</f>
        <v/>
      </c>
      <c r="I32" t="str">
        <f>IFERROR(IF(VLOOKUP(B32,'DANH SACH UEH'!$A$3:$FE$2228,19,0)="Không có","",VLOOKUP(B32,'DANH SACH UEH'!$A$3:$FE$2228,19,0)),"")</f>
        <v/>
      </c>
      <c r="J32" t="str">
        <f>VLOOKUP(B32,'DANH SACH UEH'!$A$3:$FE$2228,6,0)</f>
        <v>07/12/2008</v>
      </c>
      <c r="K32" t="str">
        <f>IF(VLOOKUP(B32,'DANH SACH UEH'!$A$3:$FE$2228,5,0)="1","Nữ","Nam")</f>
        <v>Nam</v>
      </c>
      <c r="L32" t="str">
        <f>VLOOKUP(B32,'DANH SACH UEH'!$A$3:$FE$2228,14,0)</f>
        <v>Kinh</v>
      </c>
      <c r="M32" t="str">
        <f>VLOOKUP(B32,'DANH SACH UEH'!$A$3:$FE$2228,7,0)</f>
        <v>giathinh712@gmail.com</v>
      </c>
      <c r="N32" t="str">
        <f>VLOOKUP(B32,'DANH SACH UEH'!$A$3:$FE$2228,8,0)</f>
        <v>0373997476</v>
      </c>
      <c r="O32" t="str">
        <f>IFERROR(VLOOKUP(AE32,'DS TAO MAIL'!$D$3:$M$1120,5,0),"")</f>
        <v>31261570483</v>
      </c>
      <c r="P32" t="str">
        <f>IFERROR(VLOOKUP(AE32,'DS TAO MAIL'!$D$3:$M$1120,8,0),"")</f>
        <v>93249165</v>
      </c>
      <c r="Q32" t="str">
        <f>IFERROR(VLOOKUP(AE32,'DS TAO MAIL'!$D$3:$M$1120,7,0),"")</f>
        <v>thinhle.31261570483@st.ueh.edu.vn</v>
      </c>
      <c r="R32" t="str">
        <f>IFERROR(VLOOKUP(AE32,'DS TAO MAIL'!$D$3:$M$1120,8,0),"")</f>
        <v>93249165</v>
      </c>
      <c r="S32">
        <v>78.14</v>
      </c>
      <c r="U32">
        <v>76.58</v>
      </c>
      <c r="V32" t="str">
        <f>IFERROR(IF(VLOOKUP(B32,'DANH SACH UEH'!$A$3:$FE$2228,27,0)="Không có","",IF(VLOOKUP(B32,'DANH SACH UEH'!$A$3:$FE$2228,29,0)&lt;"6","",(VLOOKUP(B32,'DANH SACH UEH'!$A$3:$FE$2228,27,0)))),"")</f>
        <v/>
      </c>
      <c r="W32" t="str">
        <f>IFERROR(IF(VLOOKUP(B32,'DANH SACH UEH'!$A$3:$FE$2228,29,0)&lt;"6","",VLOOKUP(B32,'DANH SACH UEH'!$A$3:$FE$2228,29,0)),"")</f>
        <v/>
      </c>
      <c r="X32" t="str">
        <f>IFERROR(IF(V32="","",VLOOKUP(B32,'DANH SACH UEH'!$A$3:$FE$2228,28,0)&amp;""),"")</f>
        <v/>
      </c>
      <c r="Z32" t="str">
        <f>VLOOKUP(B32,'DANH SACH UEH'!$A$3:$FE$2228,44,0)</f>
        <v>8.28</v>
      </c>
      <c r="AA32" t="str">
        <f>VLOOKUP(B32,'DANH SACH UEH'!$A$3:$FE$2228,45,0)</f>
        <v>8.88</v>
      </c>
      <c r="AB32" t="str">
        <f>VLOOKUP(B32,'DANH SACH UEH'!$A$3:$FE$2228,46,0)</f>
        <v>8.53</v>
      </c>
      <c r="AE32" t="str">
        <f>VLOOKUP(B32,'DANH SACH UEH'!$A$3:$I$2229,4,0)</f>
        <v>LÊ VĂN GIA THỊNH</v>
      </c>
      <c r="AF32" t="str">
        <f>VLOOKUP(B32,'DANH SACH UEH'!$A$3:$I$2229,8,0)</f>
        <v>0373997476</v>
      </c>
    </row>
    <row r="33" spans="1:32" x14ac:dyDescent="0.25">
      <c r="A33">
        <v>32</v>
      </c>
      <c r="B33" t="s">
        <v>107</v>
      </c>
      <c r="C33" t="str">
        <f>VLOOKUP(B33,'DANH SACH UEH'!$A$3:$FE$2228,2,0)</f>
        <v>KSVBS2610292</v>
      </c>
      <c r="D33" t="str">
        <f>IFERROR(VLOOKUP(B33,'DS NGHIEP VU BO'!$A$3:$BX$148,6,0),"")</f>
        <v>66012061</v>
      </c>
      <c r="E33" t="str">
        <f>VLOOKUP(B33,'DS NGHIEP VU BO'!$A$3:$BX$148,45,0)</f>
        <v>Đắk Lắk</v>
      </c>
      <c r="F33" t="str">
        <f t="shared" si="0"/>
        <v/>
      </c>
      <c r="G33" t="str">
        <f>IFERROR(IF(VLOOKUP(B33,'DANH SACH UEH'!$A$3:$FE$2228,18,0)="Không có","",VLOOKUP(B33,'DANH SACH UEH'!$A$3:$FE$2228,18,0)),"")</f>
        <v/>
      </c>
      <c r="H33" t="str">
        <f>IFERROR(IF(VLOOKUP(B33,'DANH SACH UEH'!$A$3:$FE$2228,20,0)="Không có","",VLOOKUP(B33,'DANH SACH UEH'!$A$3:$FE$2228,20,0)),"")</f>
        <v/>
      </c>
      <c r="I33" t="str">
        <f>IFERROR(IF(VLOOKUP(B33,'DANH SACH UEH'!$A$3:$FE$2228,19,0)="Không có","",VLOOKUP(B33,'DANH SACH UEH'!$A$3:$FE$2228,19,0)),"")</f>
        <v/>
      </c>
      <c r="J33" t="str">
        <f>VLOOKUP(B33,'DANH SACH UEH'!$A$3:$FE$2228,6,0)</f>
        <v>17/07/2008</v>
      </c>
      <c r="K33" t="str">
        <f>IF(VLOOKUP(B33,'DANH SACH UEH'!$A$3:$FE$2228,5,0)="1","Nữ","Nam")</f>
        <v>Nữ</v>
      </c>
      <c r="L33" t="str">
        <f>VLOOKUP(B33,'DANH SACH UEH'!$A$3:$FE$2228,14,0)</f>
        <v>Kinh</v>
      </c>
      <c r="M33" t="str">
        <f>VLOOKUP(B33,'DANH SACH UEH'!$A$3:$FE$2228,7,0)</f>
        <v>tramlebao118@gmail.com</v>
      </c>
      <c r="N33" t="str">
        <f>VLOOKUP(B33,'DANH SACH UEH'!$A$3:$FE$2228,8,0)</f>
        <v>0325730409</v>
      </c>
      <c r="O33" t="str">
        <f>IFERROR(VLOOKUP(AE33,'DS TAO MAIL'!$D$3:$M$1120,5,0),"")</f>
        <v>31261570521</v>
      </c>
      <c r="P33" t="str">
        <f>IFERROR(VLOOKUP(AE33,'DS TAO MAIL'!$D$3:$M$1120,8,0),"")</f>
        <v>94437458</v>
      </c>
      <c r="Q33" t="str">
        <f>IFERROR(VLOOKUP(AE33,'DS TAO MAIL'!$D$3:$M$1120,7,0),"")</f>
        <v>tramle.31261570521@st.ueh.edu.vn</v>
      </c>
      <c r="R33" t="str">
        <f>IFERROR(VLOOKUP(AE33,'DS TAO MAIL'!$D$3:$M$1120,8,0),"")</f>
        <v>94437458</v>
      </c>
      <c r="S33">
        <v>63.37</v>
      </c>
      <c r="U33">
        <v>61.7</v>
      </c>
      <c r="V33" t="str">
        <f>IFERROR(IF(VLOOKUP(B33,'DANH SACH UEH'!$A$3:$FE$2228,27,0)="Không có","",IF(VLOOKUP(B33,'DANH SACH UEH'!$A$3:$FE$2228,29,0)&lt;"6","",(VLOOKUP(B33,'DANH SACH UEH'!$A$3:$FE$2228,27,0)))),"")</f>
        <v/>
      </c>
      <c r="W33" t="str">
        <f>IFERROR(IF(VLOOKUP(B33,'DANH SACH UEH'!$A$3:$FE$2228,29,0)&lt;"6","",VLOOKUP(B33,'DANH SACH UEH'!$A$3:$FE$2228,29,0)),"")</f>
        <v/>
      </c>
      <c r="X33" t="str">
        <f>IFERROR(IF(V33="","",VLOOKUP(B33,'DANH SACH UEH'!$A$3:$FE$2228,28,0)&amp;""),"")</f>
        <v/>
      </c>
      <c r="Z33" t="str">
        <f>VLOOKUP(B33,'DANH SACH UEH'!$A$3:$FE$2228,44,0)</f>
        <v>8.30</v>
      </c>
      <c r="AA33" t="str">
        <f>VLOOKUP(B33,'DANH SACH UEH'!$A$3:$FE$2228,45,0)</f>
        <v>8.17</v>
      </c>
      <c r="AB33" t="str">
        <f>VLOOKUP(B33,'DANH SACH UEH'!$A$3:$FE$2228,46,0)</f>
        <v>8.54</v>
      </c>
      <c r="AE33" t="str">
        <f>VLOOKUP(B33,'DANH SACH UEH'!$A$3:$I$2229,4,0)</f>
        <v>LÊ BẢO TRÂM</v>
      </c>
      <c r="AF33" t="str">
        <f>VLOOKUP(B33,'DANH SACH UEH'!$A$3:$I$2229,8,0)</f>
        <v>0325730409</v>
      </c>
    </row>
    <row r="34" spans="1:32" x14ac:dyDescent="0.25">
      <c r="A34">
        <v>33</v>
      </c>
      <c r="B34" t="s">
        <v>106</v>
      </c>
      <c r="C34" t="str">
        <f>VLOOKUP(B34,'DANH SACH UEH'!$A$3:$FE$2228,2,0)</f>
        <v>KSVBS2641447</v>
      </c>
      <c r="D34" t="str">
        <f>IFERROR(VLOOKUP(B34,'DS NGHIEP VU BO'!$A$3:$BX$148,6,0),"")</f>
        <v>68037533</v>
      </c>
      <c r="E34" t="str">
        <f>VLOOKUP(B34,'DS NGHIEP VU BO'!$A$3:$BX$148,45,0)</f>
        <v>Lâm Đồng</v>
      </c>
      <c r="F34" t="str">
        <f t="shared" si="0"/>
        <v/>
      </c>
      <c r="G34" t="str">
        <f>IFERROR(IF(VLOOKUP(B34,'DANH SACH UEH'!$A$3:$FE$2228,18,0)="Không có","",VLOOKUP(B34,'DANH SACH UEH'!$A$3:$FE$2228,18,0)),"")</f>
        <v/>
      </c>
      <c r="H34" t="str">
        <f>IFERROR(IF(VLOOKUP(B34,'DANH SACH UEH'!$A$3:$FE$2228,20,0)="Không có","",VLOOKUP(B34,'DANH SACH UEH'!$A$3:$FE$2228,20,0)),"")</f>
        <v/>
      </c>
      <c r="I34" t="str">
        <f>IFERROR(IF(VLOOKUP(B34,'DANH SACH UEH'!$A$3:$FE$2228,19,0)="Không có","",VLOOKUP(B34,'DANH SACH UEH'!$A$3:$FE$2228,19,0)),"")</f>
        <v/>
      </c>
      <c r="J34" t="str">
        <f>VLOOKUP(B34,'DANH SACH UEH'!$A$3:$FE$2228,6,0)</f>
        <v>29/04/2008</v>
      </c>
      <c r="K34" t="str">
        <f>IF(VLOOKUP(B34,'DANH SACH UEH'!$A$3:$FE$2228,5,0)="1","Nữ","Nam")</f>
        <v>Nữ</v>
      </c>
      <c r="L34" t="str">
        <f>VLOOKUP(B34,'DANH SACH UEH'!$A$3:$FE$2228,14,0)</f>
        <v>Kinh</v>
      </c>
      <c r="M34" t="str">
        <f>VLOOKUP(B34,'DANH SACH UEH'!$A$3:$FE$2228,7,0)</f>
        <v>vananhtrannguyen94@gmail.com</v>
      </c>
      <c r="N34" t="str">
        <f>VLOOKUP(B34,'DANH SACH UEH'!$A$3:$FE$2228,8,0)</f>
        <v>0333651011</v>
      </c>
      <c r="O34" t="str">
        <f>IFERROR(VLOOKUP(AE34,'DS TAO MAIL'!$D$3:$M$1120,5,0),"")</f>
        <v>31261570518</v>
      </c>
      <c r="P34" t="str">
        <f>IFERROR(VLOOKUP(AE34,'DS TAO MAIL'!$D$3:$M$1120,8,0),"")</f>
        <v>53102859</v>
      </c>
      <c r="Q34" t="str">
        <f>IFERROR(VLOOKUP(AE34,'DS TAO MAIL'!$D$3:$M$1120,7,0),"")</f>
        <v>anhtran.31261570518@st.ueh.edu.vn</v>
      </c>
      <c r="R34" t="str">
        <f>IFERROR(VLOOKUP(AE34,'DS TAO MAIL'!$D$3:$M$1120,8,0),"")</f>
        <v>53102859</v>
      </c>
      <c r="S34">
        <v>73.75</v>
      </c>
      <c r="U34">
        <v>72.92</v>
      </c>
      <c r="V34" t="str">
        <f>IFERROR(IF(VLOOKUP(B34,'DANH SACH UEH'!$A$3:$FE$2228,27,0)="Không có","",IF(VLOOKUP(B34,'DANH SACH UEH'!$A$3:$FE$2228,29,0)&lt;"6","",(VLOOKUP(B34,'DANH SACH UEH'!$A$3:$FE$2228,27,0)))),"")</f>
        <v/>
      </c>
      <c r="W34" t="str">
        <f>IFERROR(IF(VLOOKUP(B34,'DANH SACH UEH'!$A$3:$FE$2228,29,0)&lt;"6","",VLOOKUP(B34,'DANH SACH UEH'!$A$3:$FE$2228,29,0)),"")</f>
        <v/>
      </c>
      <c r="X34" t="str">
        <f>IFERROR(IF(V34="","",VLOOKUP(B34,'DANH SACH UEH'!$A$3:$FE$2228,28,0)&amp;""),"")</f>
        <v/>
      </c>
      <c r="Z34" t="str">
        <f>VLOOKUP(B34,'DANH SACH UEH'!$A$3:$FE$2228,44,0)</f>
        <v>8.17</v>
      </c>
      <c r="AA34" t="str">
        <f>VLOOKUP(B34,'DANH SACH UEH'!$A$3:$FE$2228,45,0)</f>
        <v>8.24</v>
      </c>
      <c r="AB34" t="str">
        <f>VLOOKUP(B34,'DANH SACH UEH'!$A$3:$FE$2228,46,0)</f>
        <v>8.60</v>
      </c>
      <c r="AE34" t="str">
        <f>VLOOKUP(B34,'DANH SACH UEH'!$A$3:$I$2229,4,0)</f>
        <v>TRẦN NGUYỄN VÂN ANH</v>
      </c>
      <c r="AF34" t="str">
        <f>VLOOKUP(B34,'DANH SACH UEH'!$A$3:$I$2229,8,0)</f>
        <v>0333651011</v>
      </c>
    </row>
    <row r="35" spans="1:32" x14ac:dyDescent="0.25">
      <c r="A35">
        <v>34</v>
      </c>
      <c r="B35" t="s">
        <v>105</v>
      </c>
      <c r="C35" t="str">
        <f>VLOOKUP(B35,'DANH SACH UEH'!$A$3:$FE$2228,2,0)</f>
        <v>KSVBS2620084</v>
      </c>
      <c r="D35" t="str">
        <f>IFERROR(VLOOKUP(B35,'DS NGHIEP VU BO'!$A$3:$BX$148,6,0),"")</f>
        <v>68010239</v>
      </c>
      <c r="E35" t="str">
        <f>VLOOKUP(B35,'DS NGHIEP VU BO'!$A$3:$BX$148,45,0)</f>
        <v>Lâm Đồng</v>
      </c>
      <c r="F35" t="str">
        <f t="shared" si="0"/>
        <v/>
      </c>
      <c r="G35" t="str">
        <f>IFERROR(IF(VLOOKUP(B35,'DANH SACH UEH'!$A$3:$FE$2228,18,0)="Không có","",VLOOKUP(B35,'DANH SACH UEH'!$A$3:$FE$2228,18,0)),"")</f>
        <v/>
      </c>
      <c r="H35" t="str">
        <f>IFERROR(IF(VLOOKUP(B35,'DANH SACH UEH'!$A$3:$FE$2228,20,0)="Không có","",VLOOKUP(B35,'DANH SACH UEH'!$A$3:$FE$2228,20,0)),"")</f>
        <v/>
      </c>
      <c r="I35" t="str">
        <f>IFERROR(IF(VLOOKUP(B35,'DANH SACH UEH'!$A$3:$FE$2228,19,0)="Không có","",VLOOKUP(B35,'DANH SACH UEH'!$A$3:$FE$2228,19,0)),"")</f>
        <v/>
      </c>
      <c r="J35" t="str">
        <f>VLOOKUP(B35,'DANH SACH UEH'!$A$3:$FE$2228,6,0)</f>
        <v>23/12/2008</v>
      </c>
      <c r="K35" t="str">
        <f>IF(VLOOKUP(B35,'DANH SACH UEH'!$A$3:$FE$2228,5,0)="1","Nữ","Nam")</f>
        <v>Nam</v>
      </c>
      <c r="L35" t="str">
        <f>VLOOKUP(B35,'DANH SACH UEH'!$A$3:$FE$2228,14,0)</f>
        <v>Kinh</v>
      </c>
      <c r="M35" t="str">
        <f>VLOOKUP(B35,'DANH SACH UEH'!$A$3:$FE$2228,7,0)</f>
        <v>ndmphuong2312@gmail.com</v>
      </c>
      <c r="N35" t="str">
        <f>VLOOKUP(B35,'DANH SACH UEH'!$A$3:$FE$2228,8,0)</f>
        <v>0337891696</v>
      </c>
      <c r="O35" t="str">
        <f>IFERROR(VLOOKUP(AE35,'DS TAO MAIL'!$D$3:$M$1120,5,0),"")</f>
        <v/>
      </c>
      <c r="P35" t="str">
        <f>IFERROR(VLOOKUP(AE35,'DS TAO MAIL'!$D$3:$M$1120,8,0),"")</f>
        <v/>
      </c>
      <c r="Q35" t="str">
        <f>IFERROR(VLOOKUP(AE35,'DS TAO MAIL'!$D$3:$M$1120,7,0),"")</f>
        <v/>
      </c>
      <c r="R35" t="str">
        <f>IFERROR(VLOOKUP(AE35,'DS TAO MAIL'!$D$3:$M$1120,8,0),"")</f>
        <v/>
      </c>
      <c r="S35">
        <v>84.71</v>
      </c>
      <c r="U35">
        <v>83.62</v>
      </c>
      <c r="V35" t="str">
        <f>IFERROR(IF(VLOOKUP(B35,'DANH SACH UEH'!$A$3:$FE$2228,27,0)="Không có","",IF(VLOOKUP(B35,'DANH SACH UEH'!$A$3:$FE$2228,29,0)&lt;"6","",(VLOOKUP(B35,'DANH SACH UEH'!$A$3:$FE$2228,27,0)))),"")</f>
        <v/>
      </c>
      <c r="W35" t="str">
        <f>IFERROR(IF(VLOOKUP(B35,'DANH SACH UEH'!$A$3:$FE$2228,29,0)&lt;"6","",VLOOKUP(B35,'DANH SACH UEH'!$A$3:$FE$2228,29,0)),"")</f>
        <v/>
      </c>
      <c r="X35" t="str">
        <f>IFERROR(IF(V35="","",VLOOKUP(B35,'DANH SACH UEH'!$A$3:$FE$2228,28,0)&amp;""),"")</f>
        <v/>
      </c>
      <c r="Z35" t="str">
        <f>VLOOKUP(B35,'DANH SACH UEH'!$A$3:$FE$2228,44,0)</f>
        <v>8.73</v>
      </c>
      <c r="AA35" t="str">
        <f>VLOOKUP(B35,'DANH SACH UEH'!$A$3:$FE$2228,45,0)</f>
        <v>8.68</v>
      </c>
      <c r="AB35" t="str">
        <f>VLOOKUP(B35,'DANH SACH UEH'!$A$3:$FE$2228,46,0)</f>
        <v>8.76</v>
      </c>
      <c r="AE35" t="str">
        <f>VLOOKUP(B35,'DANH SACH UEH'!$A$3:$I$2229,4,0)</f>
        <v>NGUYỄN DUY MINH PHƯƠNG</v>
      </c>
      <c r="AF35" t="str">
        <f>VLOOKUP(B35,'DANH SACH UEH'!$A$3:$I$2229,8,0)</f>
        <v>0337891696</v>
      </c>
    </row>
    <row r="36" spans="1:32" x14ac:dyDescent="0.25">
      <c r="A36">
        <v>35</v>
      </c>
      <c r="B36" t="s">
        <v>104</v>
      </c>
      <c r="C36" t="str">
        <f>VLOOKUP(B36,'DANH SACH UEH'!$A$3:$FE$2228,2,0)</f>
        <v>KSVBS2604269</v>
      </c>
      <c r="D36" t="str">
        <f>IFERROR(VLOOKUP(B36,'DS NGHIEP VU BO'!$A$3:$BX$148,6,0),"")</f>
        <v>68009037</v>
      </c>
      <c r="E36" t="str">
        <f>VLOOKUP(B36,'DS NGHIEP VU BO'!$A$3:$BX$148,45,0)</f>
        <v>Lâm Đồng</v>
      </c>
      <c r="F36" t="str">
        <f t="shared" si="0"/>
        <v>Giải thưởng kỳ thi chọn học sinh giỏi cấp tỉnh/TP:</v>
      </c>
      <c r="G36" t="str">
        <f>IFERROR(IF(VLOOKUP(B36,'DANH SACH UEH'!$A$3:$FE$2228,18,0)="Không có","",VLOOKUP(B36,'DANH SACH UEH'!$A$3:$FE$2228,18,0)),"")</f>
        <v>Toán</v>
      </c>
      <c r="H36" t="str">
        <f>IFERROR(IF(VLOOKUP(B36,'DANH SACH UEH'!$A$3:$FE$2228,20,0)="Không có","",VLOOKUP(B36,'DANH SACH UEH'!$A$3:$FE$2228,20,0)),"")</f>
        <v>Ba</v>
      </c>
      <c r="I36" t="str">
        <f>IFERROR(IF(VLOOKUP(B36,'DANH SACH UEH'!$A$3:$FE$2228,19,0)="Không có","",VLOOKUP(B36,'DANH SACH UEH'!$A$3:$FE$2228,19,0)),"")</f>
        <v>2026</v>
      </c>
      <c r="J36" t="str">
        <f>VLOOKUP(B36,'DANH SACH UEH'!$A$3:$FE$2228,6,0)</f>
        <v>12/02/2008</v>
      </c>
      <c r="K36" t="str">
        <f>IF(VLOOKUP(B36,'DANH SACH UEH'!$A$3:$FE$2228,5,0)="1","Nữ","Nam")</f>
        <v>Nam</v>
      </c>
      <c r="L36" t="str">
        <f>VLOOKUP(B36,'DANH SACH UEH'!$A$3:$FE$2228,14,0)</f>
        <v>Kinh</v>
      </c>
      <c r="M36" t="str">
        <f>VLOOKUP(B36,'DANH SACH UEH'!$A$3:$FE$2228,7,0)</f>
        <v>anhvecaki692@gmail.com</v>
      </c>
      <c r="N36" t="str">
        <f>VLOOKUP(B36,'DANH SACH UEH'!$A$3:$FE$2228,8,0)</f>
        <v>0352837789</v>
      </c>
      <c r="O36" t="str">
        <f>IFERROR(VLOOKUP(AE36,'DS TAO MAIL'!$D$3:$M$1120,5,0),"")</f>
        <v/>
      </c>
      <c r="P36" t="str">
        <f>IFERROR(VLOOKUP(AE36,'DS TAO MAIL'!$D$3:$M$1120,8,0),"")</f>
        <v/>
      </c>
      <c r="Q36" t="str">
        <f>IFERROR(VLOOKUP(AE36,'DS TAO MAIL'!$D$3:$M$1120,7,0),"")</f>
        <v/>
      </c>
      <c r="R36" t="str">
        <f>IFERROR(VLOOKUP(AE36,'DS TAO MAIL'!$D$3:$M$1120,8,0),"")</f>
        <v/>
      </c>
      <c r="S36">
        <v>71.09</v>
      </c>
      <c r="U36">
        <v>69.42</v>
      </c>
      <c r="V36" t="str">
        <f>IFERROR(IF(VLOOKUP(B36,'DANH SACH UEH'!$A$3:$FE$2228,27,0)="Không có","",IF(VLOOKUP(B36,'DANH SACH UEH'!$A$3:$FE$2228,29,0)&lt;"6","",(VLOOKUP(B36,'DANH SACH UEH'!$A$3:$FE$2228,27,0)))),"")</f>
        <v/>
      </c>
      <c r="W36" t="str">
        <f>IFERROR(IF(VLOOKUP(B36,'DANH SACH UEH'!$A$3:$FE$2228,29,0)&lt;"6","",VLOOKUP(B36,'DANH SACH UEH'!$A$3:$FE$2228,29,0)),"")</f>
        <v/>
      </c>
      <c r="X36" t="str">
        <f>IFERROR(IF(V36="","",VLOOKUP(B36,'DANH SACH UEH'!$A$3:$FE$2228,28,0)&amp;""),"")</f>
        <v/>
      </c>
      <c r="Z36" t="str">
        <f>VLOOKUP(B36,'DANH SACH UEH'!$A$3:$FE$2228,44,0)</f>
        <v>8.96</v>
      </c>
      <c r="AA36" t="str">
        <f>VLOOKUP(B36,'DANH SACH UEH'!$A$3:$FE$2228,45,0)</f>
        <v>8.86</v>
      </c>
      <c r="AB36" t="str">
        <f>VLOOKUP(B36,'DANH SACH UEH'!$A$3:$FE$2228,46,0)</f>
        <v>8.51</v>
      </c>
      <c r="AE36" t="str">
        <f>VLOOKUP(B36,'DANH SACH UEH'!$A$3:$I$2229,4,0)</f>
        <v>NGUYỄN HOÀNG ANH</v>
      </c>
      <c r="AF36" t="str">
        <f>VLOOKUP(B36,'DANH SACH UEH'!$A$3:$I$2229,8,0)</f>
        <v>0352837789</v>
      </c>
    </row>
    <row r="37" spans="1:32" x14ac:dyDescent="0.25">
      <c r="A37">
        <v>36</v>
      </c>
      <c r="B37" t="s">
        <v>103</v>
      </c>
      <c r="C37" t="str">
        <f>VLOOKUP(B37,'DANH SACH UEH'!$A$3:$FE$2228,2,0)</f>
        <v>KSVBS2608556</v>
      </c>
      <c r="D37" t="str">
        <f>IFERROR(VLOOKUP(B37,'DS NGHIEP VU BO'!$A$3:$BX$148,6,0),"")</f>
        <v>68017988</v>
      </c>
      <c r="E37" t="str">
        <f>VLOOKUP(B37,'DS NGHIEP VU BO'!$A$3:$BX$148,45,0)</f>
        <v>Lâm Đồng</v>
      </c>
      <c r="F37" t="str">
        <f t="shared" si="0"/>
        <v/>
      </c>
      <c r="G37" t="str">
        <f>IFERROR(IF(VLOOKUP(B37,'DANH SACH UEH'!$A$3:$FE$2228,18,0)="Không có","",VLOOKUP(B37,'DANH SACH UEH'!$A$3:$FE$2228,18,0)),"")</f>
        <v/>
      </c>
      <c r="H37" t="str">
        <f>IFERROR(IF(VLOOKUP(B37,'DANH SACH UEH'!$A$3:$FE$2228,20,0)="Không có","",VLOOKUP(B37,'DANH SACH UEH'!$A$3:$FE$2228,20,0)),"")</f>
        <v/>
      </c>
      <c r="I37" t="str">
        <f>IFERROR(IF(VLOOKUP(B37,'DANH SACH UEH'!$A$3:$FE$2228,19,0)="Không có","",VLOOKUP(B37,'DANH SACH UEH'!$A$3:$FE$2228,19,0)),"")</f>
        <v/>
      </c>
      <c r="J37" t="str">
        <f>VLOOKUP(B37,'DANH SACH UEH'!$A$3:$FE$2228,6,0)</f>
        <v>29/12/2008</v>
      </c>
      <c r="K37" t="str">
        <f>IF(VLOOKUP(B37,'DANH SACH UEH'!$A$3:$FE$2228,5,0)="1","Nữ","Nam")</f>
        <v>Nam</v>
      </c>
      <c r="L37" t="str">
        <f>VLOOKUP(B37,'DANH SACH UEH'!$A$3:$FE$2228,14,0)</f>
        <v>Kinh</v>
      </c>
      <c r="M37" t="str">
        <f>VLOOKUP(B37,'DANH SACH UEH'!$A$3:$FE$2228,7,0)</f>
        <v>thienle.31261570410@st.ueh.edu.vn</v>
      </c>
      <c r="N37" t="str">
        <f>VLOOKUP(B37,'DANH SACH UEH'!$A$3:$FE$2228,8,0)</f>
        <v>0783615145</v>
      </c>
      <c r="O37" t="str">
        <f>IFERROR(VLOOKUP(AE37,'DS TAO MAIL'!$D$3:$M$1120,5,0),"")</f>
        <v/>
      </c>
      <c r="P37" t="str">
        <f>IFERROR(VLOOKUP(AE37,'DS TAO MAIL'!$D$3:$M$1120,8,0),"")</f>
        <v/>
      </c>
      <c r="Q37" t="str">
        <f>IFERROR(VLOOKUP(AE37,'DS TAO MAIL'!$D$3:$M$1120,7,0),"")</f>
        <v/>
      </c>
      <c r="R37" t="str">
        <f>IFERROR(VLOOKUP(AE37,'DS TAO MAIL'!$D$3:$M$1120,8,0),"")</f>
        <v/>
      </c>
      <c r="S37">
        <v>81.98</v>
      </c>
      <c r="U37">
        <v>81.98</v>
      </c>
      <c r="V37" t="str">
        <f>IFERROR(IF(VLOOKUP(B37,'DANH SACH UEH'!$A$3:$FE$2228,27,0)="Không có","",IF(VLOOKUP(B37,'DANH SACH UEH'!$A$3:$FE$2228,29,0)&lt;"6","",(VLOOKUP(B37,'DANH SACH UEH'!$A$3:$FE$2228,27,0)))),"")</f>
        <v/>
      </c>
      <c r="W37" t="str">
        <f>IFERROR(IF(VLOOKUP(B37,'DANH SACH UEH'!$A$3:$FE$2228,29,0)&lt;"6","",VLOOKUP(B37,'DANH SACH UEH'!$A$3:$FE$2228,29,0)),"")</f>
        <v/>
      </c>
      <c r="X37" t="str">
        <f>IFERROR(IF(V37="","",VLOOKUP(B37,'DANH SACH UEH'!$A$3:$FE$2228,28,0)&amp;""),"")</f>
        <v/>
      </c>
      <c r="Z37" t="str">
        <f>VLOOKUP(B37,'DANH SACH UEH'!$A$3:$FE$2228,44,0)</f>
        <v>7.24</v>
      </c>
      <c r="AA37" t="str">
        <f>VLOOKUP(B37,'DANH SACH UEH'!$A$3:$FE$2228,45,0)</f>
        <v>7.02</v>
      </c>
      <c r="AB37" t="str">
        <f>VLOOKUP(B37,'DANH SACH UEH'!$A$3:$FE$2228,46,0)</f>
        <v>7.41</v>
      </c>
      <c r="AE37" t="str">
        <f>VLOOKUP(B37,'DANH SACH UEH'!$A$3:$I$2229,4,0)</f>
        <v>LÊ NGỌC THIỆN</v>
      </c>
      <c r="AF37" t="str">
        <f>VLOOKUP(B37,'DANH SACH UEH'!$A$3:$I$2229,8,0)</f>
        <v>0783615145</v>
      </c>
    </row>
    <row r="38" spans="1:32" x14ac:dyDescent="0.25">
      <c r="A38">
        <v>37</v>
      </c>
      <c r="B38" t="s">
        <v>102</v>
      </c>
      <c r="C38" t="str">
        <f>VLOOKUP(B38,'DANH SACH UEH'!$A$3:$FE$2228,2,0)</f>
        <v>KSVBS2648890</v>
      </c>
      <c r="D38" t="str">
        <f>IFERROR(VLOOKUP(B38,'DS NGHIEP VU BO'!$A$3:$BX$148,6,0),"")</f>
        <v>68017743</v>
      </c>
      <c r="E38" t="str">
        <f>VLOOKUP(B38,'DS NGHIEP VU BO'!$A$3:$BX$148,45,0)</f>
        <v>Lâm Đồng</v>
      </c>
      <c r="F38" t="str">
        <f t="shared" si="0"/>
        <v/>
      </c>
      <c r="G38" t="str">
        <f>IFERROR(IF(VLOOKUP(B38,'DANH SACH UEH'!$A$3:$FE$2228,18,0)="Không có","",VLOOKUP(B38,'DANH SACH UEH'!$A$3:$FE$2228,18,0)),"")</f>
        <v/>
      </c>
      <c r="H38" t="str">
        <f>IFERROR(IF(VLOOKUP(B38,'DANH SACH UEH'!$A$3:$FE$2228,20,0)="Không có","",VLOOKUP(B38,'DANH SACH UEH'!$A$3:$FE$2228,20,0)),"")</f>
        <v/>
      </c>
      <c r="I38" t="str">
        <f>IFERROR(IF(VLOOKUP(B38,'DANH SACH UEH'!$A$3:$FE$2228,19,0)="Không có","",VLOOKUP(B38,'DANH SACH UEH'!$A$3:$FE$2228,19,0)),"")</f>
        <v/>
      </c>
      <c r="J38" t="str">
        <f>VLOOKUP(B38,'DANH SACH UEH'!$A$3:$FE$2228,6,0)</f>
        <v>18/03/2008</v>
      </c>
      <c r="K38" t="str">
        <f>IF(VLOOKUP(B38,'DANH SACH UEH'!$A$3:$FE$2228,5,0)="1","Nữ","Nam")</f>
        <v>Nữ</v>
      </c>
      <c r="L38" t="str">
        <f>VLOOKUP(B38,'DANH SACH UEH'!$A$3:$FE$2228,14,0)</f>
        <v>Kinh</v>
      </c>
      <c r="M38" t="str">
        <f>VLOOKUP(B38,'DANH SACH UEH'!$A$3:$FE$2228,7,0)</f>
        <v>tranthihaiha2008@gmail.com</v>
      </c>
      <c r="N38" t="str">
        <f>VLOOKUP(B38,'DANH SACH UEH'!$A$3:$FE$2228,8,0)</f>
        <v>0943853915</v>
      </c>
      <c r="O38" t="str">
        <f>IFERROR(VLOOKUP(AE38,'DS TAO MAIL'!$D$3:$M$1120,5,0),"")</f>
        <v>31261570498</v>
      </c>
      <c r="P38" t="str">
        <f>IFERROR(VLOOKUP(AE38,'DS TAO MAIL'!$D$3:$M$1120,8,0),"")</f>
        <v>46618392</v>
      </c>
      <c r="Q38" t="str">
        <f>IFERROR(VLOOKUP(AE38,'DS TAO MAIL'!$D$3:$M$1120,7,0),"")</f>
        <v>hatran.31261570498@st.ueh.edu.vn</v>
      </c>
      <c r="R38" t="str">
        <f>IFERROR(VLOOKUP(AE38,'DS TAO MAIL'!$D$3:$M$1120,8,0),"")</f>
        <v>46618392</v>
      </c>
      <c r="S38">
        <v>63.02</v>
      </c>
      <c r="U38">
        <v>63.02</v>
      </c>
      <c r="V38" t="str">
        <f>IFERROR(IF(VLOOKUP(B38,'DANH SACH UEH'!$A$3:$FE$2228,27,0)="Không có","",IF(VLOOKUP(B38,'DANH SACH UEH'!$A$3:$FE$2228,29,0)&lt;"6","",(VLOOKUP(B38,'DANH SACH UEH'!$A$3:$FE$2228,27,0)))),"")</f>
        <v/>
      </c>
      <c r="W38" t="str">
        <f>IFERROR(IF(VLOOKUP(B38,'DANH SACH UEH'!$A$3:$FE$2228,29,0)&lt;"6","",VLOOKUP(B38,'DANH SACH UEH'!$A$3:$FE$2228,29,0)),"")</f>
        <v/>
      </c>
      <c r="X38" t="str">
        <f>IFERROR(IF(V38="","",VLOOKUP(B38,'DANH SACH UEH'!$A$3:$FE$2228,28,0)&amp;""),"")</f>
        <v/>
      </c>
      <c r="Z38" t="str">
        <f>VLOOKUP(B38,'DANH SACH UEH'!$A$3:$FE$2228,44,0)</f>
        <v>8.70</v>
      </c>
      <c r="AA38" t="str">
        <f>VLOOKUP(B38,'DANH SACH UEH'!$A$3:$FE$2228,45,0)</f>
        <v>8.56</v>
      </c>
      <c r="AB38" t="str">
        <f>VLOOKUP(B38,'DANH SACH UEH'!$A$3:$FE$2228,46,0)</f>
        <v>8.94</v>
      </c>
      <c r="AE38" t="str">
        <f>VLOOKUP(B38,'DANH SACH UEH'!$A$3:$I$2229,4,0)</f>
        <v>TRẦN THỊ HẢI HÀ</v>
      </c>
      <c r="AF38" t="str">
        <f>VLOOKUP(B38,'DANH SACH UEH'!$A$3:$I$2229,8,0)</f>
        <v>0943853915</v>
      </c>
    </row>
    <row r="39" spans="1:32" x14ac:dyDescent="0.25">
      <c r="A39">
        <v>38</v>
      </c>
      <c r="B39" t="s">
        <v>101</v>
      </c>
      <c r="C39" t="str">
        <f>VLOOKUP(B39,'DANH SACH UEH'!$A$3:$FE$2228,2,0)</f>
        <v>KSVBS2631425</v>
      </c>
      <c r="D39" t="str">
        <f>IFERROR(VLOOKUP(B39,'DS NGHIEP VU BO'!$A$3:$BX$148,6,0),"")</f>
        <v>75021250</v>
      </c>
      <c r="E39" t="str">
        <f>VLOOKUP(B39,'DS NGHIEP VU BO'!$A$3:$BX$148,45,0)</f>
        <v>TP. Đồng Nai</v>
      </c>
      <c r="F39" t="str">
        <f t="shared" si="0"/>
        <v/>
      </c>
      <c r="G39" t="str">
        <f>IFERROR(IF(VLOOKUP(B39,'DANH SACH UEH'!$A$3:$FE$2228,18,0)="Không có","",VLOOKUP(B39,'DANH SACH UEH'!$A$3:$FE$2228,18,0)),"")</f>
        <v/>
      </c>
      <c r="H39" t="str">
        <f>IFERROR(IF(VLOOKUP(B39,'DANH SACH UEH'!$A$3:$FE$2228,20,0)="Không có","",VLOOKUP(B39,'DANH SACH UEH'!$A$3:$FE$2228,20,0)),"")</f>
        <v/>
      </c>
      <c r="I39" t="str">
        <f>IFERROR(IF(VLOOKUP(B39,'DANH SACH UEH'!$A$3:$FE$2228,19,0)="Không có","",VLOOKUP(B39,'DANH SACH UEH'!$A$3:$FE$2228,19,0)),"")</f>
        <v/>
      </c>
      <c r="J39" t="str">
        <f>VLOOKUP(B39,'DANH SACH UEH'!$A$3:$FE$2228,6,0)</f>
        <v>28/01/2008</v>
      </c>
      <c r="K39" t="str">
        <f>IF(VLOOKUP(B39,'DANH SACH UEH'!$A$3:$FE$2228,5,0)="1","Nữ","Nam")</f>
        <v>Nữ</v>
      </c>
      <c r="L39" t="str">
        <f>VLOOKUP(B39,'DANH SACH UEH'!$A$3:$FE$2228,14,0)</f>
        <v>Kinh</v>
      </c>
      <c r="M39" t="str">
        <f>VLOOKUP(B39,'DANH SACH UEH'!$A$3:$FE$2228,7,0)</f>
        <v>trngtranh830@gmail.com</v>
      </c>
      <c r="N39" t="str">
        <f>VLOOKUP(B39,'DANH SACH UEH'!$A$3:$FE$2228,8,0)</f>
        <v>0969555623</v>
      </c>
      <c r="O39" t="str">
        <f>IFERROR(VLOOKUP(AE39,'DS TAO MAIL'!$D$3:$M$1120,5,0),"")</f>
        <v>31261570522</v>
      </c>
      <c r="P39" t="str">
        <f>IFERROR(VLOOKUP(AE39,'DS TAO MAIL'!$D$3:$M$1120,8,0),"")</f>
        <v>36540494</v>
      </c>
      <c r="Q39" t="str">
        <f>IFERROR(VLOOKUP(AE39,'DS TAO MAIL'!$D$3:$M$1120,7,0),"")</f>
        <v>anhtran.31261570522@st.ueh.edu.vn</v>
      </c>
      <c r="R39" t="str">
        <f>IFERROR(VLOOKUP(AE39,'DS TAO MAIL'!$D$3:$M$1120,8,0),"")</f>
        <v>36540494</v>
      </c>
      <c r="S39">
        <v>66.11</v>
      </c>
      <c r="U39">
        <v>65.28</v>
      </c>
      <c r="V39" t="str">
        <f>IFERROR(IF(VLOOKUP(B39,'DANH SACH UEH'!$A$3:$FE$2228,27,0)="Không có","",IF(VLOOKUP(B39,'DANH SACH UEH'!$A$3:$FE$2228,29,0)&lt;"6","",(VLOOKUP(B39,'DANH SACH UEH'!$A$3:$FE$2228,27,0)))),"")</f>
        <v/>
      </c>
      <c r="W39" t="str">
        <f>IFERROR(IF(VLOOKUP(B39,'DANH SACH UEH'!$A$3:$FE$2228,29,0)&lt;"6","",VLOOKUP(B39,'DANH SACH UEH'!$A$3:$FE$2228,29,0)),"")</f>
        <v/>
      </c>
      <c r="X39" t="str">
        <f>IFERROR(IF(V39="","",VLOOKUP(B39,'DANH SACH UEH'!$A$3:$FE$2228,28,0)&amp;""),"")</f>
        <v/>
      </c>
      <c r="Z39" t="str">
        <f>VLOOKUP(B39,'DANH SACH UEH'!$A$3:$FE$2228,44,0)</f>
        <v>7.07</v>
      </c>
      <c r="AA39" t="str">
        <f>VLOOKUP(B39,'DANH SACH UEH'!$A$3:$FE$2228,45,0)</f>
        <v>7.29</v>
      </c>
      <c r="AB39" t="str">
        <f>VLOOKUP(B39,'DANH SACH UEH'!$A$3:$FE$2228,46,0)</f>
        <v>7.13</v>
      </c>
      <c r="AE39" t="str">
        <f>VLOOKUP(B39,'DANH SACH UEH'!$A$3:$I$2229,4,0)</f>
        <v>TRẦN NGUYỄN TRÂM ANH</v>
      </c>
      <c r="AF39" t="str">
        <f>VLOOKUP(B39,'DANH SACH UEH'!$A$3:$I$2229,8,0)</f>
        <v>0969555623</v>
      </c>
    </row>
    <row r="40" spans="1:32" x14ac:dyDescent="0.25">
      <c r="A40">
        <v>39</v>
      </c>
      <c r="B40" t="s">
        <v>100</v>
      </c>
      <c r="C40" t="str">
        <f>VLOOKUP(B40,'DANH SACH UEH'!$A$3:$FE$2228,2,0)</f>
        <v>KSVBS2610916</v>
      </c>
      <c r="D40" t="str">
        <f>IFERROR(VLOOKUP(B40,'DS NGHIEP VU BO'!$A$3:$BX$148,6,0),"")</f>
        <v>75006920</v>
      </c>
      <c r="E40" t="str">
        <f>VLOOKUP(B40,'DS NGHIEP VU BO'!$A$3:$BX$148,45,0)</f>
        <v>TP. Đồng Nai</v>
      </c>
      <c r="F40" t="str">
        <f t="shared" si="0"/>
        <v/>
      </c>
      <c r="G40" t="str">
        <f>IFERROR(IF(VLOOKUP(B40,'DANH SACH UEH'!$A$3:$FE$2228,18,0)="Không có","",VLOOKUP(B40,'DANH SACH UEH'!$A$3:$FE$2228,18,0)),"")</f>
        <v/>
      </c>
      <c r="H40" t="str">
        <f>IFERROR(IF(VLOOKUP(B40,'DANH SACH UEH'!$A$3:$FE$2228,20,0)="Không có","",VLOOKUP(B40,'DANH SACH UEH'!$A$3:$FE$2228,20,0)),"")</f>
        <v/>
      </c>
      <c r="I40" t="str">
        <f>IFERROR(IF(VLOOKUP(B40,'DANH SACH UEH'!$A$3:$FE$2228,19,0)="Không có","",VLOOKUP(B40,'DANH SACH UEH'!$A$3:$FE$2228,19,0)),"")</f>
        <v/>
      </c>
      <c r="J40" t="str">
        <f>VLOOKUP(B40,'DANH SACH UEH'!$A$3:$FE$2228,6,0)</f>
        <v>04/06/2008</v>
      </c>
      <c r="K40" t="str">
        <f>IF(VLOOKUP(B40,'DANH SACH UEH'!$A$3:$FE$2228,5,0)="1","Nữ","Nam")</f>
        <v>Nữ</v>
      </c>
      <c r="L40" t="str">
        <f>VLOOKUP(B40,'DANH SACH UEH'!$A$3:$FE$2228,14,0)</f>
        <v>Kinh</v>
      </c>
      <c r="M40" t="str">
        <f>VLOOKUP(B40,'DANH SACH UEH'!$A$3:$FE$2228,7,0)</f>
        <v>nguyenhathuylinh8@gmail.com</v>
      </c>
      <c r="N40" t="str">
        <f>VLOOKUP(B40,'DANH SACH UEH'!$A$3:$FE$2228,8,0)</f>
        <v>0973900764</v>
      </c>
      <c r="O40" t="str">
        <f>IFERROR(VLOOKUP(AF40,'DS TAO MAIL'!$A$3:$M$1120,8,0),"")</f>
        <v>31261570435</v>
      </c>
      <c r="P40" t="str">
        <f>IFERROR(VLOOKUP(AF40,'DS TAO MAIL'!$A$3:$M$1120,11,0),"")</f>
        <v>51765438</v>
      </c>
      <c r="Q40" t="str">
        <f>IFERROR(VLOOKUP(AF40,'DS TAO MAIL'!$A$3:$M$1120,10,0),"")</f>
        <v>linhnguyen.31261570435@st.ueh.edu.vn</v>
      </c>
      <c r="R40" t="str">
        <f>IFERROR(VLOOKUP(AF40,'DS TAO MAIL'!$A$3:$M$1120,11,0),"")</f>
        <v>51765438</v>
      </c>
      <c r="S40">
        <v>69.510000000000005</v>
      </c>
      <c r="U40">
        <v>68.680000000000007</v>
      </c>
      <c r="V40" t="str">
        <f>IFERROR(IF(VLOOKUP(B40,'DANH SACH UEH'!$A$3:$FE$2228,27,0)="Không có","",IF(VLOOKUP(B40,'DANH SACH UEH'!$A$3:$FE$2228,29,0)&lt;"6","",(VLOOKUP(B40,'DANH SACH UEH'!$A$3:$FE$2228,27,0)))),"")</f>
        <v/>
      </c>
      <c r="W40" t="str">
        <f>IFERROR(IF(VLOOKUP(B40,'DANH SACH UEH'!$A$3:$FE$2228,29,0)&lt;"6","",VLOOKUP(B40,'DANH SACH UEH'!$A$3:$FE$2228,29,0)),"")</f>
        <v/>
      </c>
      <c r="X40" t="str">
        <f>IFERROR(IF(V40="","",VLOOKUP(B40,'DANH SACH UEH'!$A$3:$FE$2228,28,0)&amp;""),"")</f>
        <v/>
      </c>
      <c r="Z40" t="str">
        <f>VLOOKUP(B40,'DANH SACH UEH'!$A$3:$FE$2228,44,0)</f>
        <v>7.72</v>
      </c>
      <c r="AA40" t="str">
        <f>VLOOKUP(B40,'DANH SACH UEH'!$A$3:$FE$2228,45,0)</f>
        <v>7.79</v>
      </c>
      <c r="AB40" t="str">
        <f>VLOOKUP(B40,'DANH SACH UEH'!$A$3:$FE$2228,46,0)</f>
        <v>7.69</v>
      </c>
      <c r="AE40" t="str">
        <f>VLOOKUP(B40,'DANH SACH UEH'!$A$3:$I$2229,4,0)</f>
        <v>NGUYỄN THÙY LINH</v>
      </c>
      <c r="AF40" t="str">
        <f>VLOOKUP(B40,'DANH SACH UEH'!$A$3:$I$2229,8,0)</f>
        <v>0973900764</v>
      </c>
    </row>
    <row r="41" spans="1:32" x14ac:dyDescent="0.25">
      <c r="A41">
        <v>40</v>
      </c>
      <c r="B41" t="s">
        <v>99</v>
      </c>
      <c r="C41" t="str">
        <f>VLOOKUP(B41,'DANH SACH UEH'!$A$3:$FE$2228,2,0)</f>
        <v>KSVBS2622915</v>
      </c>
      <c r="D41" t="str">
        <f>IFERROR(VLOOKUP(B41,'DS NGHIEP VU BO'!$A$3:$BX$148,6,0),"")</f>
        <v>79134235</v>
      </c>
      <c r="E41" t="str">
        <f>VLOOKUP(B41,'DS NGHIEP VU BO'!$A$3:$BX$148,45,0)</f>
        <v>Tp. Hồ Chí Minh</v>
      </c>
      <c r="F41" t="str">
        <f t="shared" si="0"/>
        <v/>
      </c>
      <c r="G41" t="str">
        <f>IFERROR(IF(VLOOKUP(B41,'DANH SACH UEH'!$A$3:$FE$2228,18,0)="Không có","",VLOOKUP(B41,'DANH SACH UEH'!$A$3:$FE$2228,18,0)),"")</f>
        <v/>
      </c>
      <c r="H41" t="str">
        <f>IFERROR(IF(VLOOKUP(B41,'DANH SACH UEH'!$A$3:$FE$2228,20,0)="Không có","",VLOOKUP(B41,'DANH SACH UEH'!$A$3:$FE$2228,20,0)),"")</f>
        <v/>
      </c>
      <c r="I41" t="str">
        <f>IFERROR(IF(VLOOKUP(B41,'DANH SACH UEH'!$A$3:$FE$2228,19,0)="Không có","",VLOOKUP(B41,'DANH SACH UEH'!$A$3:$FE$2228,19,0)),"")</f>
        <v/>
      </c>
      <c r="J41" t="str">
        <f>VLOOKUP(B41,'DANH SACH UEH'!$A$3:$FE$2228,6,0)</f>
        <v>18/04/2008</v>
      </c>
      <c r="K41" t="str">
        <f>IF(VLOOKUP(B41,'DANH SACH UEH'!$A$3:$FE$2228,5,0)="1","Nữ","Nam")</f>
        <v>Nam</v>
      </c>
      <c r="L41" t="str">
        <f>VLOOKUP(B41,'DANH SACH UEH'!$A$3:$FE$2228,14,0)</f>
        <v>Kinh</v>
      </c>
      <c r="M41" t="str">
        <f>VLOOKUP(B41,'DANH SACH UEH'!$A$3:$FE$2228,7,0)</f>
        <v>kimtrienbui@gmail.com</v>
      </c>
      <c r="N41" t="str">
        <f>VLOOKUP(B41,'DANH SACH UEH'!$A$3:$FE$2228,8,0)</f>
        <v>0792392660</v>
      </c>
      <c r="O41" t="str">
        <f>IFERROR(VLOOKUP(AE41,'DS TAO MAIL'!$D$3:$M$1120,5,0),"")</f>
        <v>31261570471</v>
      </c>
      <c r="P41" t="str">
        <f>IFERROR(VLOOKUP(AE41,'DS TAO MAIL'!$D$3:$M$1120,8,0),"")</f>
        <v>48630710</v>
      </c>
      <c r="Q41" t="str">
        <f>IFERROR(VLOOKUP(AE41,'DS TAO MAIL'!$D$3:$M$1120,7,0),"")</f>
        <v>trienbui.31261570471@st.ueh.edu.vn</v>
      </c>
      <c r="R41" t="str">
        <f>IFERROR(VLOOKUP(AE41,'DS TAO MAIL'!$D$3:$M$1120,8,0),"")</f>
        <v>48630710</v>
      </c>
      <c r="S41">
        <v>77.680000000000007</v>
      </c>
      <c r="U41">
        <v>76.08</v>
      </c>
      <c r="V41" t="str">
        <f>IFERROR(IF(VLOOKUP(B41,'DANH SACH UEH'!$A$3:$FE$2228,27,0)="Không có","",IF(VLOOKUP(B41,'DANH SACH UEH'!$A$3:$FE$2228,29,0)&lt;"6","",(VLOOKUP(B41,'DANH SACH UEH'!$A$3:$FE$2228,27,0)))),"")</f>
        <v/>
      </c>
      <c r="W41" t="str">
        <f>IFERROR(IF(VLOOKUP(B41,'DANH SACH UEH'!$A$3:$FE$2228,29,0)&lt;"6","",VLOOKUP(B41,'DANH SACH UEH'!$A$3:$FE$2228,29,0)),"")</f>
        <v/>
      </c>
      <c r="X41" t="str">
        <f>IFERROR(IF(V41="","",VLOOKUP(B41,'DANH SACH UEH'!$A$3:$FE$2228,28,0)&amp;""),"")</f>
        <v/>
      </c>
      <c r="Z41" t="str">
        <f>VLOOKUP(B41,'DANH SACH UEH'!$A$3:$FE$2228,44,0)</f>
        <v>8.47</v>
      </c>
      <c r="AA41" t="str">
        <f>VLOOKUP(B41,'DANH SACH UEH'!$A$3:$FE$2228,45,0)</f>
        <v>8.73</v>
      </c>
      <c r="AB41" t="str">
        <f>VLOOKUP(B41,'DANH SACH UEH'!$A$3:$FE$2228,46,0)</f>
        <v>8.42</v>
      </c>
      <c r="AE41" t="str">
        <f>VLOOKUP(B41,'DANH SACH UEH'!$A$3:$I$2229,4,0)</f>
        <v>BÙI KIM TRIỂN</v>
      </c>
      <c r="AF41" t="str">
        <f>VLOOKUP(B41,'DANH SACH UEH'!$A$3:$I$2229,8,0)</f>
        <v>0792392660</v>
      </c>
    </row>
    <row r="42" spans="1:32" x14ac:dyDescent="0.25">
      <c r="A42">
        <v>41</v>
      </c>
      <c r="B42" t="s">
        <v>98</v>
      </c>
      <c r="C42" t="str">
        <f>VLOOKUP(B42,'DANH SACH UEH'!$A$3:$FE$2228,2,0)</f>
        <v>KSVBS2608241</v>
      </c>
      <c r="D42" t="str">
        <f>IFERROR(VLOOKUP(B42,'DS NGHIEP VU BO'!$A$3:$BX$148,6,0),"")</f>
        <v>79133877</v>
      </c>
      <c r="E42" t="str">
        <f>VLOOKUP(B42,'DS NGHIEP VU BO'!$A$3:$BX$148,45,0)</f>
        <v>Tp. Hồ Chí Minh</v>
      </c>
      <c r="F42" t="str">
        <f t="shared" si="0"/>
        <v/>
      </c>
      <c r="G42" t="str">
        <f>IFERROR(IF(VLOOKUP(B42,'DANH SACH UEH'!$A$3:$FE$2228,18,0)="Không có","",VLOOKUP(B42,'DANH SACH UEH'!$A$3:$FE$2228,18,0)),"")</f>
        <v/>
      </c>
      <c r="H42" t="str">
        <f>IFERROR(IF(VLOOKUP(B42,'DANH SACH UEH'!$A$3:$FE$2228,20,0)="Không có","",VLOOKUP(B42,'DANH SACH UEH'!$A$3:$FE$2228,20,0)),"")</f>
        <v/>
      </c>
      <c r="I42" t="str">
        <f>IFERROR(IF(VLOOKUP(B42,'DANH SACH UEH'!$A$3:$FE$2228,19,0)="Không có","",VLOOKUP(B42,'DANH SACH UEH'!$A$3:$FE$2228,19,0)),"")</f>
        <v/>
      </c>
      <c r="J42" t="str">
        <f>VLOOKUP(B42,'DANH SACH UEH'!$A$3:$FE$2228,6,0)</f>
        <v>12/07/2008</v>
      </c>
      <c r="K42" t="str">
        <f>IF(VLOOKUP(B42,'DANH SACH UEH'!$A$3:$FE$2228,5,0)="1","Nữ","Nam")</f>
        <v>Nữ</v>
      </c>
      <c r="L42" t="str">
        <f>VLOOKUP(B42,'DANH SACH UEH'!$A$3:$FE$2228,14,0)</f>
        <v>Kinh</v>
      </c>
      <c r="M42" t="str">
        <f>VLOOKUP(B42,'DANH SACH UEH'!$A$3:$FE$2228,7,0)</f>
        <v>vuleequynhanh1278@gmail.com</v>
      </c>
      <c r="N42" t="str">
        <f>VLOOKUP(B42,'DANH SACH UEH'!$A$3:$FE$2228,8,0)</f>
        <v>0937640023</v>
      </c>
      <c r="O42" t="str">
        <f>IFERROR(VLOOKUP(AF42,'DS TAO MAIL'!$A$3:$M$1120,8,0),"")</f>
        <v/>
      </c>
      <c r="P42" t="str">
        <f>IFERROR(VLOOKUP(AF42,'DS TAO MAIL'!$A$3:$M$1120,11,0),"")</f>
        <v/>
      </c>
      <c r="Q42" t="str">
        <f>IFERROR(VLOOKUP(AF42,'DS TAO MAIL'!$A$3:$M$1120,10,0),"")</f>
        <v/>
      </c>
      <c r="R42" t="str">
        <f>IFERROR(VLOOKUP(AF42,'DS TAO MAIL'!$A$3:$M$1120,11,0),"")</f>
        <v/>
      </c>
      <c r="S42">
        <v>76.91</v>
      </c>
      <c r="U42">
        <v>76.12</v>
      </c>
      <c r="V42" t="str">
        <f>IFERROR(IF(VLOOKUP(B42,'DANH SACH UEH'!$A$3:$FE$2228,27,0)="Không có","",IF(VLOOKUP(B42,'DANH SACH UEH'!$A$3:$FE$2228,29,0)&lt;"6","",(VLOOKUP(B42,'DANH SACH UEH'!$A$3:$FE$2228,27,0)))),"")</f>
        <v/>
      </c>
      <c r="W42" t="str">
        <f>IFERROR(IF(VLOOKUP(B42,'DANH SACH UEH'!$A$3:$FE$2228,29,0)&lt;"6","",VLOOKUP(B42,'DANH SACH UEH'!$A$3:$FE$2228,29,0)),"")</f>
        <v/>
      </c>
      <c r="X42" t="str">
        <f>IFERROR(IF(V42="","",VLOOKUP(B42,'DANH SACH UEH'!$A$3:$FE$2228,28,0)&amp;""),"")</f>
        <v/>
      </c>
      <c r="Z42" t="str">
        <f>VLOOKUP(B42,'DANH SACH UEH'!$A$3:$FE$2228,44,0)</f>
        <v>7.57</v>
      </c>
      <c r="AA42" t="str">
        <f>VLOOKUP(B42,'DANH SACH UEH'!$A$3:$FE$2228,45,0)</f>
        <v>7.88</v>
      </c>
      <c r="AB42" t="str">
        <f>VLOOKUP(B42,'DANH SACH UEH'!$A$3:$FE$2228,46,0)</f>
        <v>8.21</v>
      </c>
      <c r="AE42" t="str">
        <f>VLOOKUP(B42,'DANH SACH UEH'!$A$3:$I$2229,4,0)</f>
        <v>VŨ LÊ QUỲNH ANH</v>
      </c>
      <c r="AF42" t="str">
        <f>VLOOKUP(B42,'DANH SACH UEH'!$A$3:$I$2229,8,0)</f>
        <v>0937640023</v>
      </c>
    </row>
    <row r="43" spans="1:32" x14ac:dyDescent="0.25">
      <c r="A43">
        <v>42</v>
      </c>
      <c r="B43" t="s">
        <v>97</v>
      </c>
      <c r="C43" t="str">
        <f>VLOOKUP(B43,'DANH SACH UEH'!$A$3:$FE$2228,2,0)</f>
        <v>KSVBS2640309</v>
      </c>
      <c r="D43" t="str">
        <f>IFERROR(VLOOKUP(B43,'DS NGHIEP VU BO'!$A$3:$BX$148,6,0),"")</f>
        <v>79055743</v>
      </c>
      <c r="E43" t="str">
        <f>VLOOKUP(B43,'DS NGHIEP VU BO'!$A$3:$BX$148,45,0)</f>
        <v>Tp. Hồ Chí Minh</v>
      </c>
      <c r="F43" t="str">
        <f t="shared" si="0"/>
        <v/>
      </c>
      <c r="G43" t="str">
        <f>IFERROR(IF(VLOOKUP(B43,'DANH SACH UEH'!$A$3:$FE$2228,18,0)="Không có","",VLOOKUP(B43,'DANH SACH UEH'!$A$3:$FE$2228,18,0)),"")</f>
        <v/>
      </c>
      <c r="H43" t="str">
        <f>IFERROR(IF(VLOOKUP(B43,'DANH SACH UEH'!$A$3:$FE$2228,20,0)="Không có","",VLOOKUP(B43,'DANH SACH UEH'!$A$3:$FE$2228,20,0)),"")</f>
        <v/>
      </c>
      <c r="I43" t="str">
        <f>IFERROR(IF(VLOOKUP(B43,'DANH SACH UEH'!$A$3:$FE$2228,19,0)="Không có","",VLOOKUP(B43,'DANH SACH UEH'!$A$3:$FE$2228,19,0)),"")</f>
        <v/>
      </c>
      <c r="J43" t="str">
        <f>VLOOKUP(B43,'DANH SACH UEH'!$A$3:$FE$2228,6,0)</f>
        <v>14/04/2008</v>
      </c>
      <c r="K43" t="str">
        <f>IF(VLOOKUP(B43,'DANH SACH UEH'!$A$3:$FE$2228,5,0)="1","Nữ","Nam")</f>
        <v>Nữ</v>
      </c>
      <c r="L43" t="str">
        <f>VLOOKUP(B43,'DANH SACH UEH'!$A$3:$FE$2228,14,0)</f>
        <v>Kinh</v>
      </c>
      <c r="M43" t="str">
        <f>VLOOKUP(B43,'DANH SACH UEH'!$A$3:$FE$2228,7,0)</f>
        <v>nguyentranyennhi140408@gmail.com</v>
      </c>
      <c r="N43" t="str">
        <f>VLOOKUP(B43,'DANH SACH UEH'!$A$3:$FE$2228,8,0)</f>
        <v>0845696526</v>
      </c>
      <c r="O43" t="str">
        <f>IFERROR(VLOOKUP(AE43,'DS TAO MAIL'!$D$3:$M$1120,5,0),"")</f>
        <v>31261570493</v>
      </c>
      <c r="P43" t="str">
        <f>IFERROR(VLOOKUP(AE43,'DS TAO MAIL'!$D$3:$M$1120,8,0),"")</f>
        <v>58072374</v>
      </c>
      <c r="Q43" t="str">
        <f>IFERROR(VLOOKUP(AE43,'DS TAO MAIL'!$D$3:$M$1120,7,0),"")</f>
        <v>nhinguyen.31261570493@st.ueh.edu.vn</v>
      </c>
      <c r="R43" t="str">
        <f>IFERROR(VLOOKUP(AE43,'DS TAO MAIL'!$D$3:$M$1120,8,0),"")</f>
        <v>58072374</v>
      </c>
      <c r="S43">
        <v>67.23</v>
      </c>
      <c r="U43">
        <v>65.56</v>
      </c>
      <c r="V43" t="str">
        <f>IFERROR(IF(VLOOKUP(B43,'DANH SACH UEH'!$A$3:$FE$2228,27,0)="Không có","",IF(VLOOKUP(B43,'DANH SACH UEH'!$A$3:$FE$2228,29,0)&lt;"6","",(VLOOKUP(B43,'DANH SACH UEH'!$A$3:$FE$2228,27,0)))),"")</f>
        <v>IELTS</v>
      </c>
      <c r="W43" t="str">
        <f>IFERROR(IF(VLOOKUP(B43,'DANH SACH UEH'!$A$3:$FE$2228,29,0)&lt;"6","",VLOOKUP(B43,'DANH SACH UEH'!$A$3:$FE$2228,29,0)),"")</f>
        <v>6.5</v>
      </c>
      <c r="X43" t="str">
        <f>IFERROR(IF(V43="","",VLOOKUP(B43,'DANH SACH UEH'!$A$3:$FE$2228,28,0)&amp;""),"")</f>
        <v>30/05/2026</v>
      </c>
      <c r="Z43" t="str">
        <f>VLOOKUP(B43,'DANH SACH UEH'!$A$3:$FE$2228,44,0)</f>
        <v>9.39</v>
      </c>
      <c r="AA43" t="str">
        <f>VLOOKUP(B43,'DANH SACH UEH'!$A$3:$FE$2228,45,0)</f>
        <v>9.29</v>
      </c>
      <c r="AB43" t="str">
        <f>VLOOKUP(B43,'DANH SACH UEH'!$A$3:$FE$2228,46,0)</f>
        <v>9.42</v>
      </c>
      <c r="AE43" t="str">
        <f>VLOOKUP(B43,'DANH SACH UEH'!$A$3:$I$2229,4,0)</f>
        <v>NGUYỄN TRẦN YẾN NHI</v>
      </c>
      <c r="AF43" t="str">
        <f>VLOOKUP(B43,'DANH SACH UEH'!$A$3:$I$2229,8,0)</f>
        <v>0845696526</v>
      </c>
    </row>
    <row r="44" spans="1:32" x14ac:dyDescent="0.25">
      <c r="A44">
        <v>43</v>
      </c>
      <c r="B44" t="s">
        <v>96</v>
      </c>
      <c r="C44" t="str">
        <f>VLOOKUP(B44,'DANH SACH UEH'!$A$3:$FE$2228,2,0)</f>
        <v>KSVBS2615477</v>
      </c>
      <c r="D44" t="str">
        <f>IFERROR(VLOOKUP(B44,'DS NGHIEP VU BO'!$A$3:$BX$148,6,0),"")</f>
        <v>79007817</v>
      </c>
      <c r="E44" t="str">
        <f>VLOOKUP(B44,'DS NGHIEP VU BO'!$A$3:$BX$148,45,0)</f>
        <v>Tp. Hồ Chí Minh</v>
      </c>
      <c r="F44" t="str">
        <f t="shared" si="0"/>
        <v/>
      </c>
      <c r="G44" t="str">
        <f>IFERROR(IF(VLOOKUP(B44,'DANH SACH UEH'!$A$3:$FE$2228,18,0)="Không có","",VLOOKUP(B44,'DANH SACH UEH'!$A$3:$FE$2228,18,0)),"")</f>
        <v/>
      </c>
      <c r="H44" t="str">
        <f>IFERROR(IF(VLOOKUP(B44,'DANH SACH UEH'!$A$3:$FE$2228,20,0)="Không có","",VLOOKUP(B44,'DANH SACH UEH'!$A$3:$FE$2228,20,0)),"")</f>
        <v/>
      </c>
      <c r="I44" t="str">
        <f>IFERROR(IF(VLOOKUP(B44,'DANH SACH UEH'!$A$3:$FE$2228,19,0)="Không có","",VLOOKUP(B44,'DANH SACH UEH'!$A$3:$FE$2228,19,0)),"")</f>
        <v/>
      </c>
      <c r="J44" t="str">
        <f>VLOOKUP(B44,'DANH SACH UEH'!$A$3:$FE$2228,6,0)</f>
        <v>02/01/2008</v>
      </c>
      <c r="K44" t="str">
        <f>IF(VLOOKUP(B44,'DANH SACH UEH'!$A$3:$FE$2228,5,0)="1","Nữ","Nam")</f>
        <v>Nữ</v>
      </c>
      <c r="L44" t="str">
        <f>VLOOKUP(B44,'DANH SACH UEH'!$A$3:$FE$2228,14,0)</f>
        <v>Kinh</v>
      </c>
      <c r="M44" t="str">
        <f>VLOOKUP(B44,'DANH SACH UEH'!$A$3:$FE$2228,7,0)</f>
        <v>thanhnam08071995@gmail.com</v>
      </c>
      <c r="N44" t="str">
        <f>VLOOKUP(B44,'DANH SACH UEH'!$A$3:$FE$2228,8,0)</f>
        <v>0327138283</v>
      </c>
      <c r="O44" t="str">
        <f>IFERROR(VLOOKUP(AF44,'DS TAO MAIL'!$A$3:$M$1120,8,0),"")</f>
        <v>31261570525</v>
      </c>
      <c r="P44" t="str">
        <f>IFERROR(VLOOKUP(AF44,'DS TAO MAIL'!$A$3:$M$1120,11,0),"")</f>
        <v>92200883</v>
      </c>
      <c r="Q44" t="str">
        <f>IFERROR(VLOOKUP(AF44,'DS TAO MAIL'!$A$3:$M$1120,10,0),"")</f>
        <v>khanhnguyen.31261570525@st.ueh.edu.vn</v>
      </c>
      <c r="R44" t="str">
        <f>IFERROR(VLOOKUP(AF44,'DS TAO MAIL'!$A$3:$M$1120,11,0),"")</f>
        <v>92200883</v>
      </c>
      <c r="S44">
        <v>75.569999999999993</v>
      </c>
      <c r="U44">
        <v>73.900000000000006</v>
      </c>
      <c r="V44" t="str">
        <f>IFERROR(IF(VLOOKUP(B44,'DANH SACH UEH'!$A$3:$FE$2228,27,0)="Không có","",IF(VLOOKUP(B44,'DANH SACH UEH'!$A$3:$FE$2228,29,0)&lt;"6","",(VLOOKUP(B44,'DANH SACH UEH'!$A$3:$FE$2228,27,0)))),"")</f>
        <v/>
      </c>
      <c r="W44" t="str">
        <f>IFERROR(IF(VLOOKUP(B44,'DANH SACH UEH'!$A$3:$FE$2228,29,0)&lt;"6","",VLOOKUP(B44,'DANH SACH UEH'!$A$3:$FE$2228,29,0)),"")</f>
        <v/>
      </c>
      <c r="X44" t="str">
        <f>IFERROR(IF(V44="","",VLOOKUP(B44,'DANH SACH UEH'!$A$3:$FE$2228,28,0)&amp;""),"")</f>
        <v/>
      </c>
      <c r="Z44" t="str">
        <f>VLOOKUP(B44,'DANH SACH UEH'!$A$3:$FE$2228,44,0)</f>
        <v>6.51</v>
      </c>
      <c r="AA44" t="str">
        <f>VLOOKUP(B44,'DANH SACH UEH'!$A$3:$FE$2228,45,0)</f>
        <v>7.61</v>
      </c>
      <c r="AB44" t="str">
        <f>VLOOKUP(B44,'DANH SACH UEH'!$A$3:$FE$2228,46,0)</f>
        <v>8.01</v>
      </c>
      <c r="AE44" t="str">
        <f>VLOOKUP(B44,'DANH SACH UEH'!$A$3:$I$2229,4,0)</f>
        <v>NGUYỄN MAI KHANH</v>
      </c>
      <c r="AF44" t="str">
        <f>VLOOKUP(B44,'DANH SACH UEH'!$A$3:$I$2229,8,0)</f>
        <v>0327138283</v>
      </c>
    </row>
    <row r="45" spans="1:32" x14ac:dyDescent="0.25">
      <c r="A45">
        <v>44</v>
      </c>
      <c r="B45" t="s">
        <v>95</v>
      </c>
      <c r="C45" t="str">
        <f>VLOOKUP(B45,'DANH SACH UEH'!$A$3:$FE$2228,2,0)</f>
        <v>KSVBS2613129</v>
      </c>
      <c r="D45" t="str">
        <f>IFERROR(VLOOKUP(B45,'DS NGHIEP VU BO'!$A$3:$BX$148,6,0),"")</f>
        <v>79086650</v>
      </c>
      <c r="E45" t="str">
        <f>VLOOKUP(B45,'DS NGHIEP VU BO'!$A$3:$BX$148,45,0)</f>
        <v>Tp. Hồ Chí Minh</v>
      </c>
      <c r="F45" t="str">
        <f t="shared" si="0"/>
        <v/>
      </c>
      <c r="G45" t="str">
        <f>IFERROR(IF(VLOOKUP(B45,'DANH SACH UEH'!$A$3:$FE$2228,18,0)="Không có","",VLOOKUP(B45,'DANH SACH UEH'!$A$3:$FE$2228,18,0)),"")</f>
        <v/>
      </c>
      <c r="H45" t="str">
        <f>IFERROR(IF(VLOOKUP(B45,'DANH SACH UEH'!$A$3:$FE$2228,20,0)="Không có","",VLOOKUP(B45,'DANH SACH UEH'!$A$3:$FE$2228,20,0)),"")</f>
        <v/>
      </c>
      <c r="I45" t="str">
        <f>IFERROR(IF(VLOOKUP(B45,'DANH SACH UEH'!$A$3:$FE$2228,19,0)="Không có","",VLOOKUP(B45,'DANH SACH UEH'!$A$3:$FE$2228,19,0)),"")</f>
        <v/>
      </c>
      <c r="J45" t="str">
        <f>VLOOKUP(B45,'DANH SACH UEH'!$A$3:$FE$2228,6,0)</f>
        <v>02/04/2008</v>
      </c>
      <c r="K45" t="str">
        <f>IF(VLOOKUP(B45,'DANH SACH UEH'!$A$3:$FE$2228,5,0)="1","Nữ","Nam")</f>
        <v>Nữ</v>
      </c>
      <c r="L45" t="str">
        <f>VLOOKUP(B45,'DANH SACH UEH'!$A$3:$FE$2228,14,0)</f>
        <v>Kinh</v>
      </c>
      <c r="M45" t="str">
        <f>VLOOKUP(B45,'DANH SACH UEH'!$A$3:$FE$2228,7,0)</f>
        <v>hoaithuongg242008@gmail.com</v>
      </c>
      <c r="N45" t="str">
        <f>VLOOKUP(B45,'DANH SACH UEH'!$A$3:$FE$2228,8,0)</f>
        <v>0908530645</v>
      </c>
      <c r="O45" t="str">
        <f>IFERROR(VLOOKUP(AE45,'DS TAO MAIL'!$D$3:$M$1120,5,0),"")</f>
        <v>31261570418</v>
      </c>
      <c r="P45" t="str">
        <f>IFERROR(VLOOKUP(AE45,'DS TAO MAIL'!$D$3:$M$1120,8,0),"")</f>
        <v>90737160</v>
      </c>
      <c r="Q45" t="str">
        <f>IFERROR(VLOOKUP(AE45,'DS TAO MAIL'!$D$3:$M$1120,7,0),"")</f>
        <v>thuongle.31261570418@st.ueh.edu.vn</v>
      </c>
      <c r="R45" t="str">
        <f>IFERROR(VLOOKUP(AE45,'DS TAO MAIL'!$D$3:$M$1120,8,0),"")</f>
        <v>90737160</v>
      </c>
      <c r="S45">
        <v>71.63</v>
      </c>
      <c r="U45">
        <v>69.959999999999994</v>
      </c>
      <c r="V45" t="str">
        <f>IFERROR(IF(VLOOKUP(B45,'DANH SACH UEH'!$A$3:$FE$2228,27,0)="Không có","",IF(VLOOKUP(B45,'DANH SACH UEH'!$A$3:$FE$2228,29,0)&lt;"6","",(VLOOKUP(B45,'DANH SACH UEH'!$A$3:$FE$2228,27,0)))),"")</f>
        <v/>
      </c>
      <c r="W45" t="str">
        <f>IFERROR(IF(VLOOKUP(B45,'DANH SACH UEH'!$A$3:$FE$2228,29,0)&lt;"6","",VLOOKUP(B45,'DANH SACH UEH'!$A$3:$FE$2228,29,0)),"")</f>
        <v/>
      </c>
      <c r="X45" t="str">
        <f>IFERROR(IF(V45="","",VLOOKUP(B45,'DANH SACH UEH'!$A$3:$FE$2228,28,0)&amp;""),"")</f>
        <v/>
      </c>
      <c r="Z45" t="str">
        <f>VLOOKUP(B45,'DANH SACH UEH'!$A$3:$FE$2228,44,0)</f>
        <v>7.46</v>
      </c>
      <c r="AA45" t="str">
        <f>VLOOKUP(B45,'DANH SACH UEH'!$A$3:$FE$2228,45,0)</f>
        <v>7.99</v>
      </c>
      <c r="AB45" t="str">
        <f>VLOOKUP(B45,'DANH SACH UEH'!$A$3:$FE$2228,46,0)</f>
        <v>8.32</v>
      </c>
      <c r="AE45" t="str">
        <f>VLOOKUP(B45,'DANH SACH UEH'!$A$3:$I$2229,4,0)</f>
        <v>LÊ THỊ HOÀI THƯƠNG</v>
      </c>
      <c r="AF45" t="str">
        <f>VLOOKUP(B45,'DANH SACH UEH'!$A$3:$I$2229,8,0)</f>
        <v>0908530645</v>
      </c>
    </row>
    <row r="46" spans="1:32" x14ac:dyDescent="0.25">
      <c r="A46">
        <v>45</v>
      </c>
      <c r="B46" t="s">
        <v>94</v>
      </c>
      <c r="C46" t="str">
        <f>VLOOKUP(B46,'DANH SACH UEH'!$A$3:$FE$2228,2,0)</f>
        <v>KSVBS2629470</v>
      </c>
      <c r="D46" t="str">
        <f>IFERROR(VLOOKUP(B46,'DS NGHIEP VU BO'!$A$3:$BX$148,6,0),"")</f>
        <v>86015830</v>
      </c>
      <c r="E46" t="str">
        <f>VLOOKUP(B46,'DS NGHIEP VU BO'!$A$3:$BX$148,45,0)</f>
        <v>Vĩnh Long</v>
      </c>
      <c r="F46" t="str">
        <f t="shared" si="0"/>
        <v/>
      </c>
      <c r="G46" t="str">
        <f>IFERROR(IF(VLOOKUP(B46,'DANH SACH UEH'!$A$3:$FE$2228,18,0)="Không có","",VLOOKUP(B46,'DANH SACH UEH'!$A$3:$FE$2228,18,0)),"")</f>
        <v/>
      </c>
      <c r="H46" t="str">
        <f>IFERROR(IF(VLOOKUP(B46,'DANH SACH UEH'!$A$3:$FE$2228,20,0)="Không có","",VLOOKUP(B46,'DANH SACH UEH'!$A$3:$FE$2228,20,0)),"")</f>
        <v/>
      </c>
      <c r="I46" t="str">
        <f>IFERROR(IF(VLOOKUP(B46,'DANH SACH UEH'!$A$3:$FE$2228,19,0)="Không có","",VLOOKUP(B46,'DANH SACH UEH'!$A$3:$FE$2228,19,0)),"")</f>
        <v/>
      </c>
      <c r="J46" t="str">
        <f>VLOOKUP(B46,'DANH SACH UEH'!$A$3:$FE$2228,6,0)</f>
        <v>02/11/2008</v>
      </c>
      <c r="K46" t="str">
        <f>IF(VLOOKUP(B46,'DANH SACH UEH'!$A$3:$FE$2228,5,0)="1","Nữ","Nam")</f>
        <v>Nữ</v>
      </c>
      <c r="L46" t="str">
        <f>VLOOKUP(B46,'DANH SACH UEH'!$A$3:$FE$2228,14,0)</f>
        <v>Kinh</v>
      </c>
      <c r="M46" t="str">
        <f>VLOOKUP(B46,'DANH SACH UEH'!$A$3:$FE$2228,7,0)</f>
        <v>phwgahn0203@gmail.com</v>
      </c>
      <c r="N46" t="str">
        <f>VLOOKUP(B46,'DANH SACH UEH'!$A$3:$FE$2228,8,0)</f>
        <v>0866408046</v>
      </c>
      <c r="O46" t="str">
        <f>IFERROR(VLOOKUP(AF46,'DS TAO MAIL'!$A$3:$M$1120,8,0),"")</f>
        <v/>
      </c>
      <c r="P46" t="str">
        <f>IFERROR(VLOOKUP(AF46,'DS TAO MAIL'!$A$3:$M$1120,11,0),"")</f>
        <v/>
      </c>
      <c r="Q46" t="str">
        <f>IFERROR(VLOOKUP(AF46,'DS TAO MAIL'!$A$3:$M$1120,10,0),"")</f>
        <v/>
      </c>
      <c r="R46" t="str">
        <f>IFERROR(VLOOKUP(AF46,'DS TAO MAIL'!$A$3:$M$1120,11,0),"")</f>
        <v/>
      </c>
      <c r="S46">
        <v>69.61</v>
      </c>
      <c r="U46">
        <v>67.94</v>
      </c>
      <c r="V46" t="str">
        <f>IFERROR(IF(VLOOKUP(B46,'DANH SACH UEH'!$A$3:$FE$2228,27,0)="Không có","",IF(VLOOKUP(B46,'DANH SACH UEH'!$A$3:$FE$2228,29,0)&lt;"6","",(VLOOKUP(B46,'DANH SACH UEH'!$A$3:$FE$2228,27,0)))),"")</f>
        <v/>
      </c>
      <c r="W46" t="str">
        <f>IFERROR(IF(VLOOKUP(B46,'DANH SACH UEH'!$A$3:$FE$2228,29,0)&lt;"6","",VLOOKUP(B46,'DANH SACH UEH'!$A$3:$FE$2228,29,0)),"")</f>
        <v/>
      </c>
      <c r="X46" t="str">
        <f>IFERROR(IF(V46="","",VLOOKUP(B46,'DANH SACH UEH'!$A$3:$FE$2228,28,0)&amp;""),"")</f>
        <v/>
      </c>
      <c r="Z46" t="str">
        <f>VLOOKUP(B46,'DANH SACH UEH'!$A$3:$FE$2228,44,0)</f>
        <v>8.47</v>
      </c>
      <c r="AA46" t="str">
        <f>VLOOKUP(B46,'DANH SACH UEH'!$A$3:$FE$2228,45,0)</f>
        <v>8.49</v>
      </c>
      <c r="AB46" t="str">
        <f>VLOOKUP(B46,'DANH SACH UEH'!$A$3:$FE$2228,46,0)</f>
        <v>8.32</v>
      </c>
      <c r="AE46" t="str">
        <f>VLOOKUP(B46,'DANH SACH UEH'!$A$3:$I$2229,4,0)</f>
        <v>LÊ HOÀNG PHƯƠNG ANH</v>
      </c>
      <c r="AF46" t="str">
        <f>VLOOKUP(B46,'DANH SACH UEH'!$A$3:$I$2229,8,0)</f>
        <v>0866408046</v>
      </c>
    </row>
    <row r="47" spans="1:32" x14ac:dyDescent="0.25">
      <c r="A47">
        <v>46</v>
      </c>
      <c r="B47" t="s">
        <v>93</v>
      </c>
      <c r="C47" t="str">
        <f>VLOOKUP(B47,'DANH SACH UEH'!$A$3:$FE$2228,2,0)</f>
        <v>KSVBS2642326</v>
      </c>
      <c r="D47" t="str">
        <f>IFERROR(VLOOKUP(B47,'DS NGHIEP VU BO'!$A$3:$BX$148,6,0),"")</f>
        <v>80015581</v>
      </c>
      <c r="E47" t="str">
        <f>VLOOKUP(B47,'DS NGHIEP VU BO'!$A$3:$BX$148,45,0)</f>
        <v>Tây Ninh</v>
      </c>
      <c r="F47" t="str">
        <f t="shared" si="0"/>
        <v/>
      </c>
      <c r="G47" t="str">
        <f>IFERROR(IF(VLOOKUP(B47,'DANH SACH UEH'!$A$3:$FE$2228,18,0)="Không có","",VLOOKUP(B47,'DANH SACH UEH'!$A$3:$FE$2228,18,0)),"")</f>
        <v/>
      </c>
      <c r="H47" t="str">
        <f>IFERROR(IF(VLOOKUP(B47,'DANH SACH UEH'!$A$3:$FE$2228,20,0)="Không có","",VLOOKUP(B47,'DANH SACH UEH'!$A$3:$FE$2228,20,0)),"")</f>
        <v/>
      </c>
      <c r="I47" t="str">
        <f>IFERROR(IF(VLOOKUP(B47,'DANH SACH UEH'!$A$3:$FE$2228,19,0)="Không có","",VLOOKUP(B47,'DANH SACH UEH'!$A$3:$FE$2228,19,0)),"")</f>
        <v/>
      </c>
      <c r="J47" t="str">
        <f>VLOOKUP(B47,'DANH SACH UEH'!$A$3:$FE$2228,6,0)</f>
        <v>19/01/2008</v>
      </c>
      <c r="K47" t="str">
        <f>IF(VLOOKUP(B47,'DANH SACH UEH'!$A$3:$FE$2228,5,0)="1","Nữ","Nam")</f>
        <v>Nữ</v>
      </c>
      <c r="L47" t="str">
        <f>VLOOKUP(B47,'DANH SACH UEH'!$A$3:$FE$2228,14,0)</f>
        <v>Kinh</v>
      </c>
      <c r="M47" t="str">
        <f>VLOOKUP(B47,'DANH SACH UEH'!$A$3:$FE$2228,7,0)</f>
        <v>legiahan401@gmail.com</v>
      </c>
      <c r="N47" t="str">
        <f>VLOOKUP(B47,'DANH SACH UEH'!$A$3:$FE$2228,8,0)</f>
        <v>0819523730</v>
      </c>
      <c r="O47" t="str">
        <f>IFERROR(VLOOKUP(AE47,'DS TAO MAIL'!$D$3:$M$1120,5,0),"")</f>
        <v>31261570422</v>
      </c>
      <c r="P47" t="str">
        <f>IFERROR(VLOOKUP(AE47,'DS TAO MAIL'!$D$3:$M$1120,8,0),"")</f>
        <v>72899460</v>
      </c>
      <c r="Q47" t="str">
        <f>IFERROR(VLOOKUP(AE47,'DS TAO MAIL'!$D$3:$M$1120,7,0),"")</f>
        <v>hanle.31261570422@st.ueh.edu.vn</v>
      </c>
      <c r="R47" t="str">
        <f>IFERROR(VLOOKUP(AE47,'DS TAO MAIL'!$D$3:$M$1120,8,0),"")</f>
        <v>72899460</v>
      </c>
      <c r="S47">
        <v>72.55</v>
      </c>
      <c r="U47">
        <v>71.72</v>
      </c>
      <c r="V47" t="str">
        <f>IFERROR(IF(VLOOKUP(B47,'DANH SACH UEH'!$A$3:$FE$2228,27,0)="Không có","",IF(VLOOKUP(B47,'DANH SACH UEH'!$A$3:$FE$2228,29,0)&lt;"6","",(VLOOKUP(B47,'DANH SACH UEH'!$A$3:$FE$2228,27,0)))),"")</f>
        <v/>
      </c>
      <c r="W47" t="str">
        <f>IFERROR(IF(VLOOKUP(B47,'DANH SACH UEH'!$A$3:$FE$2228,29,0)&lt;"6","",VLOOKUP(B47,'DANH SACH UEH'!$A$3:$FE$2228,29,0)),"")</f>
        <v/>
      </c>
      <c r="X47" t="str">
        <f>IFERROR(IF(V47="","",VLOOKUP(B47,'DANH SACH UEH'!$A$3:$FE$2228,28,0)&amp;""),"")</f>
        <v/>
      </c>
      <c r="Z47" t="str">
        <f>VLOOKUP(B47,'DANH SACH UEH'!$A$3:$FE$2228,44,0)</f>
        <v>8.81</v>
      </c>
      <c r="AA47" t="str">
        <f>VLOOKUP(B47,'DANH SACH UEH'!$A$3:$FE$2228,45,0)</f>
        <v>8.59</v>
      </c>
      <c r="AB47" t="str">
        <f>VLOOKUP(B47,'DANH SACH UEH'!$A$3:$FE$2228,46,0)</f>
        <v>8.89</v>
      </c>
      <c r="AE47" t="str">
        <f>VLOOKUP(B47,'DANH SACH UEH'!$A$3:$I$2229,4,0)</f>
        <v>LÊ BÙI GIA HÂN</v>
      </c>
      <c r="AF47" t="str">
        <f>VLOOKUP(B47,'DANH SACH UEH'!$A$3:$I$2229,8,0)</f>
        <v>0819523730</v>
      </c>
    </row>
    <row r="48" spans="1:32" x14ac:dyDescent="0.25">
      <c r="A48">
        <v>47</v>
      </c>
      <c r="B48" t="s">
        <v>92</v>
      </c>
      <c r="C48" t="str">
        <f>VLOOKUP(B48,'DANH SACH UEH'!$A$3:$FE$2228,2,0)</f>
        <v>KSVBS2612737</v>
      </c>
      <c r="D48" t="str">
        <f>IFERROR(VLOOKUP(B48,'DS NGHIEP VU BO'!$A$3:$BX$148,6,0),"")</f>
        <v>80002943</v>
      </c>
      <c r="E48" t="str">
        <f>VLOOKUP(B48,'DS NGHIEP VU BO'!$A$3:$BX$148,45,0)</f>
        <v>Tây Ninh</v>
      </c>
      <c r="F48" t="str">
        <f t="shared" si="0"/>
        <v/>
      </c>
      <c r="G48" t="str">
        <f>IFERROR(IF(VLOOKUP(B48,'DANH SACH UEH'!$A$3:$FE$2228,18,0)="Không có","",VLOOKUP(B48,'DANH SACH UEH'!$A$3:$FE$2228,18,0)),"")</f>
        <v/>
      </c>
      <c r="H48" t="str">
        <f>IFERROR(IF(VLOOKUP(B48,'DANH SACH UEH'!$A$3:$FE$2228,20,0)="Không có","",VLOOKUP(B48,'DANH SACH UEH'!$A$3:$FE$2228,20,0)),"")</f>
        <v/>
      </c>
      <c r="I48" t="str">
        <f>IFERROR(IF(VLOOKUP(B48,'DANH SACH UEH'!$A$3:$FE$2228,19,0)="Không có","",VLOOKUP(B48,'DANH SACH UEH'!$A$3:$FE$2228,19,0)),"")</f>
        <v/>
      </c>
      <c r="J48" t="str">
        <f>VLOOKUP(B48,'DANH SACH UEH'!$A$3:$FE$2228,6,0)</f>
        <v>31/08/2008</v>
      </c>
      <c r="K48" t="str">
        <f>IF(VLOOKUP(B48,'DANH SACH UEH'!$A$3:$FE$2228,5,0)="1","Nữ","Nam")</f>
        <v>Nữ</v>
      </c>
      <c r="L48" t="str">
        <f>VLOOKUP(B48,'DANH SACH UEH'!$A$3:$FE$2228,14,0)</f>
        <v>Kinh</v>
      </c>
      <c r="M48" t="str">
        <f>VLOOKUP(B48,'DANH SACH UEH'!$A$3:$FE$2228,7,0)</f>
        <v>wiburetien@gmail.com</v>
      </c>
      <c r="N48" t="str">
        <f>VLOOKUP(B48,'DANH SACH UEH'!$A$3:$FE$2228,8,0)</f>
        <v>0837843160</v>
      </c>
      <c r="O48" t="str">
        <f>IFERROR(VLOOKUP(AE48,'DS TAO MAIL'!$D$3:$M$1120,5,0),"")</f>
        <v/>
      </c>
      <c r="P48" t="str">
        <f>IFERROR(VLOOKUP(AE48,'DS TAO MAIL'!$D$3:$M$1120,8,0),"")</f>
        <v/>
      </c>
      <c r="Q48" t="str">
        <f>IFERROR(VLOOKUP(AE48,'DS TAO MAIL'!$D$3:$M$1120,7,0),"")</f>
        <v/>
      </c>
      <c r="R48" t="str">
        <f>IFERROR(VLOOKUP(AE48,'DS TAO MAIL'!$D$3:$M$1120,8,0),"")</f>
        <v/>
      </c>
      <c r="S48">
        <v>75.349999999999994</v>
      </c>
      <c r="U48">
        <v>73.680000000000007</v>
      </c>
      <c r="V48" t="str">
        <f>IFERROR(IF(VLOOKUP(B48,'DANH SACH UEH'!$A$3:$FE$2228,27,0)="Không có","",IF(VLOOKUP(B48,'DANH SACH UEH'!$A$3:$FE$2228,29,0)&lt;"6","",(VLOOKUP(B48,'DANH SACH UEH'!$A$3:$FE$2228,27,0)))),"")</f>
        <v/>
      </c>
      <c r="W48" t="str">
        <f>IFERROR(IF(VLOOKUP(B48,'DANH SACH UEH'!$A$3:$FE$2228,29,0)&lt;"6","",VLOOKUP(B48,'DANH SACH UEH'!$A$3:$FE$2228,29,0)),"")</f>
        <v/>
      </c>
      <c r="X48" t="str">
        <f>IFERROR(IF(V48="","",VLOOKUP(B48,'DANH SACH UEH'!$A$3:$FE$2228,28,0)&amp;""),"")</f>
        <v/>
      </c>
      <c r="Z48" t="str">
        <f>VLOOKUP(B48,'DANH SACH UEH'!$A$3:$FE$2228,44,0)</f>
        <v>8.64</v>
      </c>
      <c r="AA48" t="str">
        <f>VLOOKUP(B48,'DANH SACH UEH'!$A$3:$FE$2228,45,0)</f>
        <v>8.57</v>
      </c>
      <c r="AB48" t="str">
        <f>VLOOKUP(B48,'DANH SACH UEH'!$A$3:$FE$2228,46,0)</f>
        <v>8.59</v>
      </c>
      <c r="AE48" t="str">
        <f>VLOOKUP(B48,'DANH SACH UEH'!$A$3:$I$2229,4,0)</f>
        <v>NGUYỄN THỤY THẢO MY</v>
      </c>
      <c r="AF48" t="str">
        <f>VLOOKUP(B48,'DANH SACH UEH'!$A$3:$I$2229,8,0)</f>
        <v>0837843160</v>
      </c>
    </row>
    <row r="49" spans="1:32" x14ac:dyDescent="0.25">
      <c r="A49">
        <v>48</v>
      </c>
      <c r="B49" t="s">
        <v>91</v>
      </c>
      <c r="C49" t="str">
        <f>VLOOKUP(B49,'DANH SACH UEH'!$A$3:$FE$2228,2,0)</f>
        <v>KSVBS2646165</v>
      </c>
      <c r="D49" t="str">
        <f>IFERROR(VLOOKUP(B49,'DS NGHIEP VU BO'!$A$3:$BX$148,6,0),"")</f>
        <v>80007124</v>
      </c>
      <c r="E49" t="str">
        <f>VLOOKUP(B49,'DS NGHIEP VU BO'!$A$3:$BX$148,45,0)</f>
        <v>Tây Ninh</v>
      </c>
      <c r="F49" t="str">
        <f t="shared" si="0"/>
        <v/>
      </c>
      <c r="G49" t="str">
        <f>IFERROR(IF(VLOOKUP(B49,'DANH SACH UEH'!$A$3:$FE$2228,18,0)="Không có","",VLOOKUP(B49,'DANH SACH UEH'!$A$3:$FE$2228,18,0)),"")</f>
        <v/>
      </c>
      <c r="H49" t="str">
        <f>IFERROR(IF(VLOOKUP(B49,'DANH SACH UEH'!$A$3:$FE$2228,20,0)="Không có","",VLOOKUP(B49,'DANH SACH UEH'!$A$3:$FE$2228,20,0)),"")</f>
        <v/>
      </c>
      <c r="I49" t="str">
        <f>IFERROR(IF(VLOOKUP(B49,'DANH SACH UEH'!$A$3:$FE$2228,19,0)="Không có","",VLOOKUP(B49,'DANH SACH UEH'!$A$3:$FE$2228,19,0)),"")</f>
        <v/>
      </c>
      <c r="J49" t="str">
        <f>VLOOKUP(B49,'DANH SACH UEH'!$A$3:$FE$2228,6,0)</f>
        <v>16/05/2008</v>
      </c>
      <c r="K49" t="str">
        <f>IF(VLOOKUP(B49,'DANH SACH UEH'!$A$3:$FE$2228,5,0)="1","Nữ","Nam")</f>
        <v>Nữ</v>
      </c>
      <c r="L49" t="str">
        <f>VLOOKUP(B49,'DANH SACH UEH'!$A$3:$FE$2228,14,0)</f>
        <v>Kinh</v>
      </c>
      <c r="M49" t="str">
        <f>VLOOKUP(B49,'DANH SACH UEH'!$A$3:$FE$2228,7,0)</f>
        <v>tamnhu052008@gmail.com</v>
      </c>
      <c r="N49" t="str">
        <f>VLOOKUP(B49,'DANH SACH UEH'!$A$3:$FE$2228,8,0)</f>
        <v>0933026760</v>
      </c>
      <c r="O49" t="str">
        <f>IFERROR(VLOOKUP(AE49,'DS TAO MAIL'!$D$3:$M$1120,5,0),"")</f>
        <v>31261570447</v>
      </c>
      <c r="P49" t="str">
        <f>IFERROR(VLOOKUP(AE49,'DS TAO MAIL'!$D$3:$M$1120,8,0),"")</f>
        <v>11101430</v>
      </c>
      <c r="Q49" t="str">
        <f>IFERROR(VLOOKUP(AE49,'DS TAO MAIL'!$D$3:$M$1120,7,0),"")</f>
        <v>nhutran.31261570447@st.ueh.edu.vn</v>
      </c>
      <c r="R49" t="str">
        <f>IFERROR(VLOOKUP(AE49,'DS TAO MAIL'!$D$3:$M$1120,8,0),"")</f>
        <v>11101430</v>
      </c>
      <c r="S49">
        <v>67.37</v>
      </c>
      <c r="U49">
        <v>65.7</v>
      </c>
      <c r="V49" t="str">
        <f>IFERROR(IF(VLOOKUP(B49,'DANH SACH UEH'!$A$3:$FE$2228,27,0)="Không có","",IF(VLOOKUP(B49,'DANH SACH UEH'!$A$3:$FE$2228,29,0)&lt;"6","",(VLOOKUP(B49,'DANH SACH UEH'!$A$3:$FE$2228,27,0)))),"")</f>
        <v/>
      </c>
      <c r="W49" t="str">
        <f>IFERROR(IF(VLOOKUP(B49,'DANH SACH UEH'!$A$3:$FE$2228,29,0)&lt;"6","",VLOOKUP(B49,'DANH SACH UEH'!$A$3:$FE$2228,29,0)),"")</f>
        <v/>
      </c>
      <c r="X49" t="str">
        <f>IFERROR(IF(V49="","",VLOOKUP(B49,'DANH SACH UEH'!$A$3:$FE$2228,28,0)&amp;""),"")</f>
        <v/>
      </c>
      <c r="Z49" t="str">
        <f>VLOOKUP(B49,'DANH SACH UEH'!$A$3:$FE$2228,44,0)</f>
        <v>7.39</v>
      </c>
      <c r="AA49" t="str">
        <f>VLOOKUP(B49,'DANH SACH UEH'!$A$3:$FE$2228,45,0)</f>
        <v>8.67</v>
      </c>
      <c r="AB49" t="str">
        <f>VLOOKUP(B49,'DANH SACH UEH'!$A$3:$FE$2228,46,0)</f>
        <v>9.04</v>
      </c>
      <c r="AE49" t="str">
        <f>VLOOKUP(B49,'DANH SACH UEH'!$A$3:$I$2229,4,0)</f>
        <v>TRẦN NGUYỄN TÂM NHƯ</v>
      </c>
      <c r="AF49" t="str">
        <f>VLOOKUP(B49,'DANH SACH UEH'!$A$3:$I$2229,8,0)</f>
        <v>0933026760</v>
      </c>
    </row>
    <row r="50" spans="1:32" x14ac:dyDescent="0.25">
      <c r="A50">
        <v>49</v>
      </c>
      <c r="B50" t="s">
        <v>90</v>
      </c>
      <c r="C50" t="str">
        <f>VLOOKUP(B50,'DANH SACH UEH'!$A$3:$FE$2228,2,0)</f>
        <v>KSVBS2638157</v>
      </c>
      <c r="D50" t="str">
        <f>IFERROR(VLOOKUP(B50,'DS NGHIEP VU BO'!$A$3:$BX$148,6,0),"")</f>
        <v>80015539</v>
      </c>
      <c r="E50" t="str">
        <f>VLOOKUP(B50,'DS NGHIEP VU BO'!$A$3:$BX$148,45,0)</f>
        <v>Tây Ninh</v>
      </c>
      <c r="F50" t="str">
        <f t="shared" si="0"/>
        <v/>
      </c>
      <c r="G50" t="str">
        <f>IFERROR(IF(VLOOKUP(B50,'DANH SACH UEH'!$A$3:$FE$2228,18,0)="Không có","",VLOOKUP(B50,'DANH SACH UEH'!$A$3:$FE$2228,18,0)),"")</f>
        <v/>
      </c>
      <c r="H50" t="str">
        <f>IFERROR(IF(VLOOKUP(B50,'DANH SACH UEH'!$A$3:$FE$2228,20,0)="Không có","",VLOOKUP(B50,'DANH SACH UEH'!$A$3:$FE$2228,20,0)),"")</f>
        <v/>
      </c>
      <c r="I50" t="str">
        <f>IFERROR(IF(VLOOKUP(B50,'DANH SACH UEH'!$A$3:$FE$2228,19,0)="Không có","",VLOOKUP(B50,'DANH SACH UEH'!$A$3:$FE$2228,19,0)),"")</f>
        <v/>
      </c>
      <c r="J50" t="str">
        <f>VLOOKUP(B50,'DANH SACH UEH'!$A$3:$FE$2228,6,0)</f>
        <v>18/09/2008</v>
      </c>
      <c r="K50" t="str">
        <f>IF(VLOOKUP(B50,'DANH SACH UEH'!$A$3:$FE$2228,5,0)="1","Nữ","Nam")</f>
        <v>Nữ</v>
      </c>
      <c r="L50" t="str">
        <f>VLOOKUP(B50,'DANH SACH UEH'!$A$3:$FE$2228,14,0)</f>
        <v>Kinh</v>
      </c>
      <c r="M50" t="str">
        <f>VLOOKUP(B50,'DANH SACH UEH'!$A$3:$FE$2228,7,0)</f>
        <v>dungpham.31261570469@st.ueh.edu.vn</v>
      </c>
      <c r="N50" t="str">
        <f>VLOOKUP(B50,'DANH SACH UEH'!$A$3:$FE$2228,8,0)</f>
        <v>0932466792</v>
      </c>
      <c r="O50" t="str">
        <f>IFERROR(VLOOKUP(AF50,'DS TAO MAIL'!$A$3:$M$1120,8,0),"")</f>
        <v>31261570469</v>
      </c>
      <c r="P50" t="str">
        <f>IFERROR(VLOOKUP(AF50,'DS TAO MAIL'!$A$3:$M$1120,11,0),"")</f>
        <v>62263572</v>
      </c>
      <c r="Q50" t="str">
        <f>IFERROR(VLOOKUP(AF50,'DS TAO MAIL'!$A$3:$M$1120,10,0),"")</f>
        <v>dungpham.31261570469@st.ueh.edu.vn</v>
      </c>
      <c r="R50" t="str">
        <f>IFERROR(VLOOKUP(AF50,'DS TAO MAIL'!$A$3:$M$1120,11,0),"")</f>
        <v>62263572</v>
      </c>
      <c r="S50">
        <v>65.31</v>
      </c>
      <c r="U50">
        <v>63.64</v>
      </c>
      <c r="V50" t="str">
        <f>IFERROR(IF(VLOOKUP(B50,'DANH SACH UEH'!$A$3:$FE$2228,27,0)="Không có","",IF(VLOOKUP(B50,'DANH SACH UEH'!$A$3:$FE$2228,29,0)&lt;"6","",(VLOOKUP(B50,'DANH SACH UEH'!$A$3:$FE$2228,27,0)))),"")</f>
        <v/>
      </c>
      <c r="W50" t="str">
        <f>IFERROR(IF(VLOOKUP(B50,'DANH SACH UEH'!$A$3:$FE$2228,29,0)&lt;"6","",VLOOKUP(B50,'DANH SACH UEH'!$A$3:$FE$2228,29,0)),"")</f>
        <v/>
      </c>
      <c r="X50" t="str">
        <f>IFERROR(IF(V50="","",VLOOKUP(B50,'DANH SACH UEH'!$A$3:$FE$2228,28,0)&amp;""),"")</f>
        <v/>
      </c>
      <c r="Z50" t="str">
        <f>VLOOKUP(B50,'DANH SACH UEH'!$A$3:$FE$2228,44,0)</f>
        <v>8.42</v>
      </c>
      <c r="AA50" t="str">
        <f>VLOOKUP(B50,'DANH SACH UEH'!$A$3:$FE$2228,45,0)</f>
        <v>8.42</v>
      </c>
      <c r="AB50" t="str">
        <f>VLOOKUP(B50,'DANH SACH UEH'!$A$3:$FE$2228,46,0)</f>
        <v>8.78</v>
      </c>
      <c r="AE50" t="str">
        <f>VLOOKUP(B50,'DANH SACH UEH'!$A$3:$I$2229,4,0)</f>
        <v>PHẠM NGỌC DUNG</v>
      </c>
      <c r="AF50" t="str">
        <f>VLOOKUP(B50,'DANH SACH UEH'!$A$3:$I$2229,8,0)</f>
        <v>0932466792</v>
      </c>
    </row>
    <row r="51" spans="1:32" x14ac:dyDescent="0.25">
      <c r="A51">
        <v>50</v>
      </c>
      <c r="B51" t="s">
        <v>89</v>
      </c>
      <c r="C51" t="str">
        <f>VLOOKUP(B51,'DANH SACH UEH'!$A$3:$FE$2228,2,0)</f>
        <v>KSVBS2617513</v>
      </c>
      <c r="D51" t="str">
        <f>IFERROR(VLOOKUP(B51,'DS NGHIEP VU BO'!$A$3:$BX$148,6,0),"")</f>
        <v>82020692</v>
      </c>
      <c r="E51" t="str">
        <f>VLOOKUP(B51,'DS NGHIEP VU BO'!$A$3:$BX$148,45,0)</f>
        <v>Đồng Tháp</v>
      </c>
      <c r="F51" t="str">
        <f t="shared" si="0"/>
        <v/>
      </c>
      <c r="G51" t="str">
        <f>IFERROR(IF(VLOOKUP(B51,'DANH SACH UEH'!$A$3:$FE$2228,18,0)="Không có","",VLOOKUP(B51,'DANH SACH UEH'!$A$3:$FE$2228,18,0)),"")</f>
        <v/>
      </c>
      <c r="H51" t="str">
        <f>IFERROR(IF(VLOOKUP(B51,'DANH SACH UEH'!$A$3:$FE$2228,20,0)="Không có","",VLOOKUP(B51,'DANH SACH UEH'!$A$3:$FE$2228,20,0)),"")</f>
        <v/>
      </c>
      <c r="I51" t="str">
        <f>IFERROR(IF(VLOOKUP(B51,'DANH SACH UEH'!$A$3:$FE$2228,19,0)="Không có","",VLOOKUP(B51,'DANH SACH UEH'!$A$3:$FE$2228,19,0)),"")</f>
        <v/>
      </c>
      <c r="J51" t="str">
        <f>VLOOKUP(B51,'DANH SACH UEH'!$A$3:$FE$2228,6,0)</f>
        <v>07/06/2008</v>
      </c>
      <c r="K51" t="str">
        <f>IF(VLOOKUP(B51,'DANH SACH UEH'!$A$3:$FE$2228,5,0)="1","Nữ","Nam")</f>
        <v>Nam</v>
      </c>
      <c r="L51" t="str">
        <f>VLOOKUP(B51,'DANH SACH UEH'!$A$3:$FE$2228,14,0)</f>
        <v>Kinh</v>
      </c>
      <c r="M51" t="str">
        <f>VLOOKUP(B51,'DANH SACH UEH'!$A$3:$FE$2228,7,0)</f>
        <v>tmai83178@gmail.com</v>
      </c>
      <c r="N51" t="str">
        <f>VLOOKUP(B51,'DANH SACH UEH'!$A$3:$FE$2228,8,0)</f>
        <v>0942523547</v>
      </c>
      <c r="O51" t="str">
        <f>IFERROR(VLOOKUP(AE51,'DS TAO MAIL'!$D$3:$M$1120,5,0),"")</f>
        <v>31261570491</v>
      </c>
      <c r="P51" t="str">
        <f>IFERROR(VLOOKUP(AE51,'DS TAO MAIL'!$D$3:$M$1120,8,0),"")</f>
        <v>84858551</v>
      </c>
      <c r="Q51" t="str">
        <f>IFERROR(VLOOKUP(AE51,'DS TAO MAIL'!$D$3:$M$1120,7,0),"")</f>
        <v>taimai.31261570491@st.ueh.edu.vn</v>
      </c>
      <c r="R51" t="str">
        <f>IFERROR(VLOOKUP(AE51,'DS TAO MAIL'!$D$3:$M$1120,8,0),"")</f>
        <v>84858551</v>
      </c>
      <c r="S51">
        <v>77.38</v>
      </c>
      <c r="U51">
        <v>75.760000000000005</v>
      </c>
      <c r="V51" t="str">
        <f>IFERROR(IF(VLOOKUP(B51,'DANH SACH UEH'!$A$3:$FE$2228,27,0)="Không có","",IF(VLOOKUP(B51,'DANH SACH UEH'!$A$3:$FE$2228,29,0)&lt;"6","",(VLOOKUP(B51,'DANH SACH UEH'!$A$3:$FE$2228,27,0)))),"")</f>
        <v/>
      </c>
      <c r="W51" t="str">
        <f>IFERROR(IF(VLOOKUP(B51,'DANH SACH UEH'!$A$3:$FE$2228,29,0)&lt;"6","",VLOOKUP(B51,'DANH SACH UEH'!$A$3:$FE$2228,29,0)),"")</f>
        <v/>
      </c>
      <c r="X51" t="str">
        <f>IFERROR(IF(V51="","",VLOOKUP(B51,'DANH SACH UEH'!$A$3:$FE$2228,28,0)&amp;""),"")</f>
        <v/>
      </c>
      <c r="Z51" t="str">
        <f>VLOOKUP(B51,'DANH SACH UEH'!$A$3:$FE$2228,44,0)</f>
        <v>9.21</v>
      </c>
      <c r="AA51" t="str">
        <f>VLOOKUP(B51,'DANH SACH UEH'!$A$3:$FE$2228,45,0)</f>
        <v>8.99</v>
      </c>
      <c r="AB51" t="str">
        <f>VLOOKUP(B51,'DANH SACH UEH'!$A$3:$FE$2228,46,0)</f>
        <v>8.82</v>
      </c>
      <c r="AE51" t="str">
        <f>VLOOKUP(B51,'DANH SACH UEH'!$A$3:$I$2229,4,0)</f>
        <v>MAI VĂN KIM TÀI</v>
      </c>
      <c r="AF51" t="str">
        <f>VLOOKUP(B51,'DANH SACH UEH'!$A$3:$I$2229,8,0)</f>
        <v>0942523547</v>
      </c>
    </row>
    <row r="52" spans="1:32" x14ac:dyDescent="0.25">
      <c r="A52">
        <v>51</v>
      </c>
      <c r="B52" t="s">
        <v>88</v>
      </c>
      <c r="C52" t="str">
        <f>VLOOKUP(B52,'DANH SACH UEH'!$A$3:$FE$2228,2,0)</f>
        <v>KSVBS2600064</v>
      </c>
      <c r="D52" t="str">
        <f>IFERROR(VLOOKUP(B52,'DS NGHIEP VU BO'!$A$3:$BX$148,6,0),"")</f>
        <v>82025020</v>
      </c>
      <c r="E52" t="str">
        <f>VLOOKUP(B52,'DS NGHIEP VU BO'!$A$3:$BX$148,45,0)</f>
        <v>Đồng Tháp</v>
      </c>
      <c r="F52" t="str">
        <f t="shared" si="0"/>
        <v/>
      </c>
      <c r="G52" t="str">
        <f>IFERROR(IF(VLOOKUP(B52,'DANH SACH UEH'!$A$3:$FE$2228,18,0)="Không có","",VLOOKUP(B52,'DANH SACH UEH'!$A$3:$FE$2228,18,0)),"")</f>
        <v/>
      </c>
      <c r="H52" t="str">
        <f>IFERROR(IF(VLOOKUP(B52,'DANH SACH UEH'!$A$3:$FE$2228,20,0)="Không có","",VLOOKUP(B52,'DANH SACH UEH'!$A$3:$FE$2228,20,0)),"")</f>
        <v/>
      </c>
      <c r="I52" t="str">
        <f>IFERROR(IF(VLOOKUP(B52,'DANH SACH UEH'!$A$3:$FE$2228,19,0)="Không có","",VLOOKUP(B52,'DANH SACH UEH'!$A$3:$FE$2228,19,0)),"")</f>
        <v/>
      </c>
      <c r="J52" t="str">
        <f>VLOOKUP(B52,'DANH SACH UEH'!$A$3:$FE$2228,6,0)</f>
        <v>22/01/2008</v>
      </c>
      <c r="K52" t="str">
        <f>IF(VLOOKUP(B52,'DANH SACH UEH'!$A$3:$FE$2228,5,0)="1","Nữ","Nam")</f>
        <v>Nam</v>
      </c>
      <c r="L52" t="str">
        <f>VLOOKUP(B52,'DANH SACH UEH'!$A$3:$FE$2228,14,0)</f>
        <v>Kinh</v>
      </c>
      <c r="M52" t="str">
        <f>VLOOKUP(B52,'DANH SACH UEH'!$A$3:$FE$2228,7,0)</f>
        <v>ngocxinhtrainhatvutru@gmail.com</v>
      </c>
      <c r="N52" t="str">
        <f>VLOOKUP(B52,'DANH SACH UEH'!$A$3:$FE$2228,8,0)</f>
        <v>0832977008</v>
      </c>
      <c r="O52" t="str">
        <f>IFERROR(VLOOKUP(AE52,'DS TAO MAIL'!$D$3:$M$1120,5,0),"")</f>
        <v/>
      </c>
      <c r="P52" t="str">
        <f>IFERROR(VLOOKUP(AE52,'DS TAO MAIL'!$D$3:$M$1120,8,0),"")</f>
        <v/>
      </c>
      <c r="Q52" t="str">
        <f>IFERROR(VLOOKUP(AE52,'DS TAO MAIL'!$D$3:$M$1120,7,0),"")</f>
        <v/>
      </c>
      <c r="R52" t="str">
        <f>IFERROR(VLOOKUP(AE52,'DS TAO MAIL'!$D$3:$M$1120,8,0),"")</f>
        <v/>
      </c>
      <c r="S52">
        <v>70.27</v>
      </c>
      <c r="U52">
        <v>68.599999999999994</v>
      </c>
      <c r="V52" t="str">
        <f>IFERROR(IF(VLOOKUP(B52,'DANH SACH UEH'!$A$3:$FE$2228,27,0)="Không có","",IF(VLOOKUP(B52,'DANH SACH UEH'!$A$3:$FE$2228,29,0)&lt;"6","",(VLOOKUP(B52,'DANH SACH UEH'!$A$3:$FE$2228,27,0)))),"")</f>
        <v/>
      </c>
      <c r="W52" t="str">
        <f>IFERROR(IF(VLOOKUP(B52,'DANH SACH UEH'!$A$3:$FE$2228,29,0)&lt;"6","",VLOOKUP(B52,'DANH SACH UEH'!$A$3:$FE$2228,29,0)),"")</f>
        <v/>
      </c>
      <c r="X52" t="str">
        <f>IFERROR(IF(V52="","",VLOOKUP(B52,'DANH SACH UEH'!$A$3:$FE$2228,28,0)&amp;""),"")</f>
        <v/>
      </c>
      <c r="Z52" t="str">
        <f>VLOOKUP(B52,'DANH SACH UEH'!$A$3:$FE$2228,44,0)</f>
        <v>8.13</v>
      </c>
      <c r="AA52" t="str">
        <f>VLOOKUP(B52,'DANH SACH UEH'!$A$3:$FE$2228,45,0)</f>
        <v>8.82</v>
      </c>
      <c r="AB52" t="str">
        <f>VLOOKUP(B52,'DANH SACH UEH'!$A$3:$FE$2228,46,0)</f>
        <v>9.13</v>
      </c>
      <c r="AE52" t="str">
        <f>VLOOKUP(B52,'DANH SACH UEH'!$A$3:$I$2229,4,0)</f>
        <v>LÊ THÁI NGỌC</v>
      </c>
      <c r="AF52" t="str">
        <f>VLOOKUP(B52,'DANH SACH UEH'!$A$3:$I$2229,8,0)</f>
        <v>0832977008</v>
      </c>
    </row>
    <row r="53" spans="1:32" x14ac:dyDescent="0.25">
      <c r="A53">
        <v>52</v>
      </c>
      <c r="B53" t="s">
        <v>86</v>
      </c>
      <c r="C53" t="str">
        <f>VLOOKUP(B53,'DANH SACH UEH'!$A$3:$FE$2228,2,0)</f>
        <v>KSVBS2627672</v>
      </c>
      <c r="D53" t="str">
        <f>IFERROR(VLOOKUP(B53,'DS NGHIEP VU BO'!$A$3:$BX$148,6,0),"")</f>
        <v>82023757</v>
      </c>
      <c r="E53" t="str">
        <f>VLOOKUP(B53,'DS NGHIEP VU BO'!$A$3:$BX$148,45,0)</f>
        <v>Đồng Tháp</v>
      </c>
      <c r="F53" t="str">
        <f t="shared" si="0"/>
        <v/>
      </c>
      <c r="G53" t="str">
        <f>IFERROR(IF(VLOOKUP(B53,'DANH SACH UEH'!$A$3:$FE$2228,18,0)="Không có","",VLOOKUP(B53,'DANH SACH UEH'!$A$3:$FE$2228,18,0)),"")</f>
        <v/>
      </c>
      <c r="H53" t="str">
        <f>IFERROR(IF(VLOOKUP(B53,'DANH SACH UEH'!$A$3:$FE$2228,20,0)="Không có","",VLOOKUP(B53,'DANH SACH UEH'!$A$3:$FE$2228,20,0)),"")</f>
        <v/>
      </c>
      <c r="I53" t="str">
        <f>IFERROR(IF(VLOOKUP(B53,'DANH SACH UEH'!$A$3:$FE$2228,19,0)="Không có","",VLOOKUP(B53,'DANH SACH UEH'!$A$3:$FE$2228,19,0)),"")</f>
        <v/>
      </c>
      <c r="J53" t="str">
        <f>VLOOKUP(B53,'DANH SACH UEH'!$A$3:$FE$2228,6,0)</f>
        <v>19/10/2007</v>
      </c>
      <c r="K53" t="str">
        <f>IF(VLOOKUP(B53,'DANH SACH UEH'!$A$3:$FE$2228,5,0)="1","Nữ","Nam")</f>
        <v>Nữ</v>
      </c>
      <c r="L53" t="str">
        <f>VLOOKUP(B53,'DANH SACH UEH'!$A$3:$FE$2228,14,0)</f>
        <v>Kinh</v>
      </c>
      <c r="M53" t="str">
        <f>VLOOKUP(B53,'DANH SACH UEH'!$A$3:$FE$2228,7,0)</f>
        <v>tuyenhuynh.759499@gmail.com</v>
      </c>
      <c r="N53" t="str">
        <f>VLOOKUP(B53,'DANH SACH UEH'!$A$3:$FE$2228,8,0)</f>
        <v>0783759499</v>
      </c>
      <c r="O53" t="str">
        <f>IFERROR(VLOOKUP(AE53,'DS TAO MAIL'!$D$3:$M$1120,5,0),"")</f>
        <v>31261570505</v>
      </c>
      <c r="P53" t="str">
        <f>IFERROR(VLOOKUP(AE53,'DS TAO MAIL'!$D$3:$M$1120,8,0),"")</f>
        <v>57222001</v>
      </c>
      <c r="Q53" t="str">
        <f>IFERROR(VLOOKUP(AE53,'DS TAO MAIL'!$D$3:$M$1120,7,0),"")</f>
        <v>tuyenhuynh.31261570505@st.ueh.edu.vn</v>
      </c>
      <c r="R53" t="str">
        <f>IFERROR(VLOOKUP(AE53,'DS TAO MAIL'!$D$3:$M$1120,8,0),"")</f>
        <v>57222001</v>
      </c>
      <c r="S53">
        <v>67.89</v>
      </c>
      <c r="U53">
        <v>66.22</v>
      </c>
      <c r="V53" t="str">
        <f>IFERROR(IF(VLOOKUP(B53,'DANH SACH UEH'!$A$3:$FE$2228,27,0)="Không có","",IF(VLOOKUP(B53,'DANH SACH UEH'!$A$3:$FE$2228,29,0)&lt;"6","",(VLOOKUP(B53,'DANH SACH UEH'!$A$3:$FE$2228,27,0)))),"")</f>
        <v/>
      </c>
      <c r="W53" t="str">
        <f>IFERROR(IF(VLOOKUP(B53,'DANH SACH UEH'!$A$3:$FE$2228,29,0)&lt;"6","",VLOOKUP(B53,'DANH SACH UEH'!$A$3:$FE$2228,29,0)),"")</f>
        <v/>
      </c>
      <c r="X53" t="str">
        <f>IFERROR(IF(V53="","",VLOOKUP(B53,'DANH SACH UEH'!$A$3:$FE$2228,28,0)&amp;""),"")</f>
        <v/>
      </c>
      <c r="Z53" t="str">
        <f>VLOOKUP(B53,'DANH SACH UEH'!$A$3:$FE$2228,44,0)</f>
        <v>7.61</v>
      </c>
      <c r="AA53" t="str">
        <f>VLOOKUP(B53,'DANH SACH UEH'!$A$3:$FE$2228,45,0)</f>
        <v>8.19</v>
      </c>
      <c r="AB53" t="str">
        <f>VLOOKUP(B53,'DANH SACH UEH'!$A$3:$FE$2228,46,0)</f>
        <v>8.54</v>
      </c>
      <c r="AE53" t="str">
        <f>VLOOKUP(B53,'DANH SACH UEH'!$A$3:$I$2229,4,0)</f>
        <v>HUỲNH THỊ THANH TUYỀN</v>
      </c>
      <c r="AF53" t="str">
        <f>VLOOKUP(B53,'DANH SACH UEH'!$A$3:$I$2229,8,0)</f>
        <v>0783759499</v>
      </c>
    </row>
    <row r="54" spans="1:32" x14ac:dyDescent="0.25">
      <c r="A54">
        <v>53</v>
      </c>
      <c r="B54" t="s">
        <v>85</v>
      </c>
      <c r="C54" t="str">
        <f>VLOOKUP(B54,'DANH SACH UEH'!$A$3:$FE$2228,2,0)</f>
        <v>KSVBS2630964</v>
      </c>
      <c r="D54" t="str">
        <f>IFERROR(VLOOKUP(B54,'DS NGHIEP VU BO'!$A$3:$BX$148,6,0),"")</f>
        <v>82027055</v>
      </c>
      <c r="E54" t="str">
        <f>VLOOKUP(B54,'DS NGHIEP VU BO'!$A$3:$BX$148,45,0)</f>
        <v>Đồng Tháp</v>
      </c>
      <c r="F54" t="str">
        <f t="shared" si="0"/>
        <v/>
      </c>
      <c r="G54" t="str">
        <f>IFERROR(IF(VLOOKUP(B54,'DANH SACH UEH'!$A$3:$FE$2228,18,0)="Không có","",VLOOKUP(B54,'DANH SACH UEH'!$A$3:$FE$2228,18,0)),"")</f>
        <v/>
      </c>
      <c r="H54" t="str">
        <f>IFERROR(IF(VLOOKUP(B54,'DANH SACH UEH'!$A$3:$FE$2228,20,0)="Không có","",VLOOKUP(B54,'DANH SACH UEH'!$A$3:$FE$2228,20,0)),"")</f>
        <v/>
      </c>
      <c r="I54" t="str">
        <f>IFERROR(IF(VLOOKUP(B54,'DANH SACH UEH'!$A$3:$FE$2228,19,0)="Không có","",VLOOKUP(B54,'DANH SACH UEH'!$A$3:$FE$2228,19,0)),"")</f>
        <v/>
      </c>
      <c r="J54" t="str">
        <f>VLOOKUP(B54,'DANH SACH UEH'!$A$3:$FE$2228,6,0)</f>
        <v>21/10/2008</v>
      </c>
      <c r="K54" t="str">
        <f>IF(VLOOKUP(B54,'DANH SACH UEH'!$A$3:$FE$2228,5,0)="1","Nữ","Nam")</f>
        <v>Nữ</v>
      </c>
      <c r="L54" t="str">
        <f>VLOOKUP(B54,'DANH SACH UEH'!$A$3:$FE$2228,14,0)</f>
        <v>Kinh</v>
      </c>
      <c r="M54" t="str">
        <f>VLOOKUP(B54,'DANH SACH UEH'!$A$3:$FE$2228,7,0)</f>
        <v>nganhuynh.589514@gmail.com</v>
      </c>
      <c r="N54" t="str">
        <f>VLOOKUP(B54,'DANH SACH UEH'!$A$3:$FE$2228,8,0)</f>
        <v>0776806873</v>
      </c>
      <c r="O54" t="str">
        <f>IFERROR(VLOOKUP(AE54,'DS TAO MAIL'!$D$3:$M$1120,5,0),"")</f>
        <v>31261570501</v>
      </c>
      <c r="P54" t="str">
        <f>IFERROR(VLOOKUP(AE54,'DS TAO MAIL'!$D$3:$M$1120,8,0),"")</f>
        <v>65385742</v>
      </c>
      <c r="Q54" t="str">
        <f>IFERROR(VLOOKUP(AE54,'DS TAO MAIL'!$D$3:$M$1120,7,0),"")</f>
        <v>nganhuynh.31261570501@st.ueh.edu.vn</v>
      </c>
      <c r="R54" t="str">
        <f>IFERROR(VLOOKUP(AE54,'DS TAO MAIL'!$D$3:$M$1120,8,0),"")</f>
        <v>65385742</v>
      </c>
      <c r="S54">
        <v>77.849999999999994</v>
      </c>
      <c r="U54">
        <v>76.260000000000005</v>
      </c>
      <c r="V54" t="str">
        <f>IFERROR(IF(VLOOKUP(B54,'DANH SACH UEH'!$A$3:$FE$2228,27,0)="Không có","",IF(VLOOKUP(B54,'DANH SACH UEH'!$A$3:$FE$2228,29,0)&lt;"6","",(VLOOKUP(B54,'DANH SACH UEH'!$A$3:$FE$2228,27,0)))),"")</f>
        <v/>
      </c>
      <c r="W54" t="str">
        <f>IFERROR(IF(VLOOKUP(B54,'DANH SACH UEH'!$A$3:$FE$2228,29,0)&lt;"6","",VLOOKUP(B54,'DANH SACH UEH'!$A$3:$FE$2228,29,0)),"")</f>
        <v/>
      </c>
      <c r="X54" t="str">
        <f>IFERROR(IF(V54="","",VLOOKUP(B54,'DANH SACH UEH'!$A$3:$FE$2228,28,0)&amp;""),"")</f>
        <v/>
      </c>
      <c r="Z54" t="str">
        <f>VLOOKUP(B54,'DANH SACH UEH'!$A$3:$FE$2228,44,0)</f>
        <v>8.27</v>
      </c>
      <c r="AA54" t="str">
        <f>VLOOKUP(B54,'DANH SACH UEH'!$A$3:$FE$2228,45,0)</f>
        <v>8.73</v>
      </c>
      <c r="AB54" t="str">
        <f>VLOOKUP(B54,'DANH SACH UEH'!$A$3:$FE$2228,46,0)</f>
        <v>9.27</v>
      </c>
      <c r="AE54" t="str">
        <f>VLOOKUP(B54,'DANH SACH UEH'!$A$3:$I$2229,4,0)</f>
        <v>HUỲNH THỊ THANH NGÂN</v>
      </c>
      <c r="AF54" t="str">
        <f>VLOOKUP(B54,'DANH SACH UEH'!$A$3:$I$2229,8,0)</f>
        <v>0776806873</v>
      </c>
    </row>
    <row r="55" spans="1:32" x14ac:dyDescent="0.25">
      <c r="A55">
        <v>54</v>
      </c>
      <c r="B55" t="s">
        <v>84</v>
      </c>
      <c r="C55" t="str">
        <f>VLOOKUP(B55,'DANH SACH UEH'!$A$3:$FE$2228,2,0)</f>
        <v>KSVBS2607253</v>
      </c>
      <c r="D55" t="str">
        <f>IFERROR(VLOOKUP(B55,'DS NGHIEP VU BO'!$A$3:$BX$148,6,0),"")</f>
        <v>82036403</v>
      </c>
      <c r="E55" t="str">
        <f>VLOOKUP(B55,'DS NGHIEP VU BO'!$A$3:$BX$148,45,0)</f>
        <v>Đồng Tháp</v>
      </c>
      <c r="F55" t="str">
        <f t="shared" si="0"/>
        <v/>
      </c>
      <c r="G55" t="str">
        <f>IFERROR(IF(VLOOKUP(B55,'DANH SACH UEH'!$A$3:$FE$2228,18,0)="Không có","",VLOOKUP(B55,'DANH SACH UEH'!$A$3:$FE$2228,18,0)),"")</f>
        <v/>
      </c>
      <c r="H55" t="str">
        <f>IFERROR(IF(VLOOKUP(B55,'DANH SACH UEH'!$A$3:$FE$2228,20,0)="Không có","",VLOOKUP(B55,'DANH SACH UEH'!$A$3:$FE$2228,20,0)),"")</f>
        <v/>
      </c>
      <c r="I55" t="str">
        <f>IFERROR(IF(VLOOKUP(B55,'DANH SACH UEH'!$A$3:$FE$2228,19,0)="Không có","",VLOOKUP(B55,'DANH SACH UEH'!$A$3:$FE$2228,19,0)),"")</f>
        <v/>
      </c>
      <c r="J55" t="str">
        <f>VLOOKUP(B55,'DANH SACH UEH'!$A$3:$FE$2228,6,0)</f>
        <v>10/05/2008</v>
      </c>
      <c r="K55" t="str">
        <f>IF(VLOOKUP(B55,'DANH SACH UEH'!$A$3:$FE$2228,5,0)="1","Nữ","Nam")</f>
        <v>Nữ</v>
      </c>
      <c r="L55" t="str">
        <f>VLOOKUP(B55,'DANH SACH UEH'!$A$3:$FE$2228,14,0)</f>
        <v>Kinh</v>
      </c>
      <c r="M55" t="str">
        <f>VLOOKUP(B55,'DANH SACH UEH'!$A$3:$FE$2228,7,0)</f>
        <v>lethkieuoannh@gmail.com</v>
      </c>
      <c r="N55" t="str">
        <f>VLOOKUP(B55,'DANH SACH UEH'!$A$3:$FE$2228,8,0)</f>
        <v>0395944701</v>
      </c>
      <c r="O55" t="str">
        <f>IFERROR(VLOOKUP(AF55,'DS TAO MAIL'!$A$3:$M$1120,8,0),"")</f>
        <v>31261570507</v>
      </c>
      <c r="P55" t="str">
        <f>IFERROR(VLOOKUP(AF55,'DS TAO MAIL'!$A$3:$M$1120,11,0),"")</f>
        <v>54582631</v>
      </c>
      <c r="Q55" t="str">
        <f>IFERROR(VLOOKUP(AF55,'DS TAO MAIL'!$A$3:$M$1120,10,0),"")</f>
        <v>oanhle.31261570507@st.ueh.edu.vn</v>
      </c>
      <c r="R55" t="str">
        <f>IFERROR(VLOOKUP(AF55,'DS TAO MAIL'!$A$3:$M$1120,11,0),"")</f>
        <v>54582631</v>
      </c>
      <c r="S55">
        <v>71.81</v>
      </c>
      <c r="U55">
        <v>70.14</v>
      </c>
      <c r="V55" t="str">
        <f>IFERROR(IF(VLOOKUP(B55,'DANH SACH UEH'!$A$3:$FE$2228,27,0)="Không có","",IF(VLOOKUP(B55,'DANH SACH UEH'!$A$3:$FE$2228,29,0)&lt;"6","",(VLOOKUP(B55,'DANH SACH UEH'!$A$3:$FE$2228,27,0)))),"")</f>
        <v/>
      </c>
      <c r="W55" t="str">
        <f>IFERROR(IF(VLOOKUP(B55,'DANH SACH UEH'!$A$3:$FE$2228,29,0)&lt;"6","",VLOOKUP(B55,'DANH SACH UEH'!$A$3:$FE$2228,29,0)),"")</f>
        <v/>
      </c>
      <c r="X55" t="str">
        <f>IFERROR(IF(V55="","",VLOOKUP(B55,'DANH SACH UEH'!$A$3:$FE$2228,28,0)&amp;""),"")</f>
        <v/>
      </c>
      <c r="Z55" t="str">
        <f>VLOOKUP(B55,'DANH SACH UEH'!$A$3:$FE$2228,44,0)</f>
        <v>8.18</v>
      </c>
      <c r="AA55" t="str">
        <f>VLOOKUP(B55,'DANH SACH UEH'!$A$3:$FE$2228,45,0)</f>
        <v>8.09</v>
      </c>
      <c r="AB55" t="str">
        <f>VLOOKUP(B55,'DANH SACH UEH'!$A$3:$FE$2228,46,0)</f>
        <v>8.53</v>
      </c>
      <c r="AE55" t="str">
        <f>VLOOKUP(B55,'DANH SACH UEH'!$A$3:$I$2229,4,0)</f>
        <v>LÊ THỊ KIỀU OANH</v>
      </c>
      <c r="AF55" t="str">
        <f>VLOOKUP(B55,'DANH SACH UEH'!$A$3:$I$2229,8,0)</f>
        <v>0395944701</v>
      </c>
    </row>
    <row r="56" spans="1:32" x14ac:dyDescent="0.25">
      <c r="A56">
        <v>55</v>
      </c>
      <c r="B56" t="s">
        <v>83</v>
      </c>
      <c r="C56" t="str">
        <f>VLOOKUP(B56,'DANH SACH UEH'!$A$3:$FE$2228,2,0)</f>
        <v>KSVBS2643155</v>
      </c>
      <c r="D56" t="str">
        <f>IFERROR(VLOOKUP(B56,'DS NGHIEP VU BO'!$A$3:$BX$148,6,0),"")</f>
        <v>82020884</v>
      </c>
      <c r="E56" t="str">
        <f>VLOOKUP(B56,'DS NGHIEP VU BO'!$A$3:$BX$148,45,0)</f>
        <v>Đồng Tháp</v>
      </c>
      <c r="F56" t="str">
        <f t="shared" si="0"/>
        <v/>
      </c>
      <c r="G56" t="str">
        <f>IFERROR(IF(VLOOKUP(B56,'DANH SACH UEH'!$A$3:$FE$2228,18,0)="Không có","",VLOOKUP(B56,'DANH SACH UEH'!$A$3:$FE$2228,18,0)),"")</f>
        <v/>
      </c>
      <c r="H56" t="str">
        <f>IFERROR(IF(VLOOKUP(B56,'DANH SACH UEH'!$A$3:$FE$2228,20,0)="Không có","",VLOOKUP(B56,'DANH SACH UEH'!$A$3:$FE$2228,20,0)),"")</f>
        <v/>
      </c>
      <c r="I56" t="str">
        <f>IFERROR(IF(VLOOKUP(B56,'DANH SACH UEH'!$A$3:$FE$2228,19,0)="Không có","",VLOOKUP(B56,'DANH SACH UEH'!$A$3:$FE$2228,19,0)),"")</f>
        <v/>
      </c>
      <c r="J56" t="str">
        <f>VLOOKUP(B56,'DANH SACH UEH'!$A$3:$FE$2228,6,0)</f>
        <v>28/01/2008</v>
      </c>
      <c r="K56" t="str">
        <f>IF(VLOOKUP(B56,'DANH SACH UEH'!$A$3:$FE$2228,5,0)="1","Nữ","Nam")</f>
        <v>Nữ</v>
      </c>
      <c r="L56" t="str">
        <f>VLOOKUP(B56,'DANH SACH UEH'!$A$3:$FE$2228,14,0)</f>
        <v>Kinh</v>
      </c>
      <c r="M56" t="str">
        <f>VLOOKUP(B56,'DANH SACH UEH'!$A$3:$FE$2228,7,0)</f>
        <v>and503295@gmail.com</v>
      </c>
      <c r="N56" t="str">
        <f>VLOOKUP(B56,'DANH SACH UEH'!$A$3:$FE$2228,8,0)</f>
        <v>0334405882</v>
      </c>
      <c r="O56" t="str">
        <f>IFERROR(VLOOKUP(AE56,'DS TAO MAIL'!$D$3:$M$1120,5,0),"")</f>
        <v/>
      </c>
      <c r="P56" t="str">
        <f>IFERROR(VLOOKUP(AE56,'DS TAO MAIL'!$D$3:$M$1120,8,0),"")</f>
        <v/>
      </c>
      <c r="Q56" t="str">
        <f>IFERROR(VLOOKUP(AE56,'DS TAO MAIL'!$D$3:$M$1120,7,0),"")</f>
        <v/>
      </c>
      <c r="R56" t="str">
        <f>IFERROR(VLOOKUP(AE56,'DS TAO MAIL'!$D$3:$M$1120,8,0),"")</f>
        <v/>
      </c>
      <c r="S56">
        <v>87.51</v>
      </c>
      <c r="U56">
        <v>80.28</v>
      </c>
      <c r="V56" t="str">
        <f>IFERROR(IF(VLOOKUP(B56,'DANH SACH UEH'!$A$3:$FE$2228,27,0)="Không có","",IF(VLOOKUP(B56,'DANH SACH UEH'!$A$3:$FE$2228,29,0)&lt;"6","",(VLOOKUP(B56,'DANH SACH UEH'!$A$3:$FE$2228,27,0)))),"")</f>
        <v/>
      </c>
      <c r="W56" t="str">
        <f>IFERROR(IF(VLOOKUP(B56,'DANH SACH UEH'!$A$3:$FE$2228,29,0)&lt;"6","",VLOOKUP(B56,'DANH SACH UEH'!$A$3:$FE$2228,29,0)),"")</f>
        <v/>
      </c>
      <c r="X56" t="str">
        <f>IFERROR(IF(V56="","",VLOOKUP(B56,'DANH SACH UEH'!$A$3:$FE$2228,28,0)&amp;""),"")</f>
        <v/>
      </c>
      <c r="Z56" t="str">
        <f>VLOOKUP(B56,'DANH SACH UEH'!$A$3:$FE$2228,44,0)</f>
        <v>7.90</v>
      </c>
      <c r="AA56" t="str">
        <f>VLOOKUP(B56,'DANH SACH UEH'!$A$3:$FE$2228,45,0)</f>
        <v>8.57</v>
      </c>
      <c r="AB56" t="str">
        <f>VLOOKUP(B56,'DANH SACH UEH'!$A$3:$FE$2228,46,0)</f>
        <v>8.98</v>
      </c>
      <c r="AE56" t="str">
        <f>VLOOKUP(B56,'DANH SACH UEH'!$A$3:$I$2229,4,0)</f>
        <v>ĐỖ NGUYỄN THUÝ AN</v>
      </c>
      <c r="AF56" t="str">
        <f>VLOOKUP(B56,'DANH SACH UEH'!$A$3:$I$2229,8,0)</f>
        <v>0334405882</v>
      </c>
    </row>
    <row r="57" spans="1:32" x14ac:dyDescent="0.25">
      <c r="A57">
        <v>56</v>
      </c>
      <c r="B57" t="s">
        <v>82</v>
      </c>
      <c r="C57" t="str">
        <f>VLOOKUP(B57,'DANH SACH UEH'!$A$3:$FE$2228,2,0)</f>
        <v>KSVBS2615007</v>
      </c>
      <c r="D57" t="str">
        <f>IFERROR(VLOOKUP(B57,'DS NGHIEP VU BO'!$A$3:$BX$148,6,0),"")</f>
        <v>86006228</v>
      </c>
      <c r="E57" t="str">
        <f>VLOOKUP(B57,'DS NGHIEP VU BO'!$A$3:$BX$148,45,0)</f>
        <v>Vĩnh Long</v>
      </c>
      <c r="F57" t="str">
        <f t="shared" si="0"/>
        <v/>
      </c>
      <c r="G57" t="str">
        <f>IFERROR(IF(VLOOKUP(B57,'DANH SACH UEH'!$A$3:$FE$2228,18,0)="Không có","",VLOOKUP(B57,'DANH SACH UEH'!$A$3:$FE$2228,18,0)),"")</f>
        <v/>
      </c>
      <c r="H57" t="str">
        <f>IFERROR(IF(VLOOKUP(B57,'DANH SACH UEH'!$A$3:$FE$2228,20,0)="Không có","",VLOOKUP(B57,'DANH SACH UEH'!$A$3:$FE$2228,20,0)),"")</f>
        <v/>
      </c>
      <c r="I57" t="str">
        <f>IFERROR(IF(VLOOKUP(B57,'DANH SACH UEH'!$A$3:$FE$2228,19,0)="Không có","",VLOOKUP(B57,'DANH SACH UEH'!$A$3:$FE$2228,19,0)),"")</f>
        <v/>
      </c>
      <c r="J57" t="str">
        <f>VLOOKUP(B57,'DANH SACH UEH'!$A$3:$FE$2228,6,0)</f>
        <v>30/03/2008</v>
      </c>
      <c r="K57" t="str">
        <f>IF(VLOOKUP(B57,'DANH SACH UEH'!$A$3:$FE$2228,5,0)="1","Nữ","Nam")</f>
        <v>Nam</v>
      </c>
      <c r="L57" t="str">
        <f>VLOOKUP(B57,'DANH SACH UEH'!$A$3:$FE$2228,14,0)</f>
        <v>Kinh</v>
      </c>
      <c r="M57" t="str">
        <f>VLOOKUP(B57,'DANH SACH UEH'!$A$3:$FE$2228,7,0)</f>
        <v>nguyendithanhh77223@gmail.com</v>
      </c>
      <c r="N57" t="str">
        <f>VLOOKUP(B57,'DANH SACH UEH'!$A$3:$FE$2228,8,0)</f>
        <v>0962287654</v>
      </c>
      <c r="O57" t="str">
        <f>IFERROR(VLOOKUP(AE57,'DS TAO MAIL'!$D$3:$M$1120,5,0),"")</f>
        <v>31261570482</v>
      </c>
      <c r="P57" t="str">
        <f>IFERROR(VLOOKUP(AE57,'DS TAO MAIL'!$D$3:$M$1120,8,0),"")</f>
        <v>92851272</v>
      </c>
      <c r="Q57" t="str">
        <f>IFERROR(VLOOKUP(AE57,'DS TAO MAIL'!$D$3:$M$1120,7,0),"")</f>
        <v>thanhnguyen.31261570482@st.ueh.edu.vn</v>
      </c>
      <c r="R57" t="str">
        <f>IFERROR(VLOOKUP(AE57,'DS TAO MAIL'!$D$3:$M$1120,8,0),"")</f>
        <v>92851272</v>
      </c>
      <c r="S57">
        <v>70.3</v>
      </c>
      <c r="U57">
        <v>67.8</v>
      </c>
      <c r="V57" t="str">
        <f>IFERROR(IF(VLOOKUP(B57,'DANH SACH UEH'!$A$3:$FE$2228,27,0)="Không có","",IF(VLOOKUP(B57,'DANH SACH UEH'!$A$3:$FE$2228,29,0)&lt;"6","",(VLOOKUP(B57,'DANH SACH UEH'!$A$3:$FE$2228,27,0)))),"")</f>
        <v/>
      </c>
      <c r="W57" t="str">
        <f>IFERROR(IF(VLOOKUP(B57,'DANH SACH UEH'!$A$3:$FE$2228,29,0)&lt;"6","",VLOOKUP(B57,'DANH SACH UEH'!$A$3:$FE$2228,29,0)),"")</f>
        <v/>
      </c>
      <c r="X57" t="str">
        <f>IFERROR(IF(V57="","",VLOOKUP(B57,'DANH SACH UEH'!$A$3:$FE$2228,28,0)&amp;""),"")</f>
        <v/>
      </c>
      <c r="Z57" t="str">
        <f>VLOOKUP(B57,'DANH SACH UEH'!$A$3:$FE$2228,44,0)</f>
        <v>9.29</v>
      </c>
      <c r="AA57" t="str">
        <f>VLOOKUP(B57,'DANH SACH UEH'!$A$3:$FE$2228,45,0)</f>
        <v>9.14</v>
      </c>
      <c r="AB57" t="str">
        <f>VLOOKUP(B57,'DANH SACH UEH'!$A$3:$FE$2228,46,0)</f>
        <v>9.31</v>
      </c>
      <c r="AE57" t="str">
        <f>VLOOKUP(B57,'DANH SACH UEH'!$A$3:$I$2229,4,0)</f>
        <v>NGUYỄN DUY THANH</v>
      </c>
      <c r="AF57" t="str">
        <f>VLOOKUP(B57,'DANH SACH UEH'!$A$3:$I$2229,8,0)</f>
        <v>0962287654</v>
      </c>
    </row>
    <row r="58" spans="1:32" x14ac:dyDescent="0.25">
      <c r="A58">
        <v>57</v>
      </c>
      <c r="B58" t="s">
        <v>81</v>
      </c>
      <c r="C58" t="str">
        <f>VLOOKUP(B58,'DANH SACH UEH'!$A$3:$FE$2228,2,0)</f>
        <v>KSVBS2605434</v>
      </c>
      <c r="D58" t="str">
        <f>IFERROR(VLOOKUP(B58,'DS NGHIEP VU BO'!$A$3:$BX$148,6,0),"")</f>
        <v>86001609</v>
      </c>
      <c r="E58" t="str">
        <f>VLOOKUP(B58,'DS NGHIEP VU BO'!$A$3:$BX$148,45,0)</f>
        <v>Vĩnh Long</v>
      </c>
      <c r="F58" t="str">
        <f t="shared" si="0"/>
        <v/>
      </c>
      <c r="G58" t="str">
        <f>IFERROR(IF(VLOOKUP(B58,'DANH SACH UEH'!$A$3:$FE$2228,18,0)="Không có","",VLOOKUP(B58,'DANH SACH UEH'!$A$3:$FE$2228,18,0)),"")</f>
        <v/>
      </c>
      <c r="H58" t="str">
        <f>IFERROR(IF(VLOOKUP(B58,'DANH SACH UEH'!$A$3:$FE$2228,20,0)="Không có","",VLOOKUP(B58,'DANH SACH UEH'!$A$3:$FE$2228,20,0)),"")</f>
        <v/>
      </c>
      <c r="I58" t="str">
        <f>IFERROR(IF(VLOOKUP(B58,'DANH SACH UEH'!$A$3:$FE$2228,19,0)="Không có","",VLOOKUP(B58,'DANH SACH UEH'!$A$3:$FE$2228,19,0)),"")</f>
        <v/>
      </c>
      <c r="J58" t="str">
        <f>VLOOKUP(B58,'DANH SACH UEH'!$A$3:$FE$2228,6,0)</f>
        <v>19/12/2008</v>
      </c>
      <c r="K58" t="str">
        <f>IF(VLOOKUP(B58,'DANH SACH UEH'!$A$3:$FE$2228,5,0)="1","Nữ","Nam")</f>
        <v>Nam</v>
      </c>
      <c r="L58" t="str">
        <f>VLOOKUP(B58,'DANH SACH UEH'!$A$3:$FE$2228,14,0)</f>
        <v>Kinh</v>
      </c>
      <c r="M58" t="str">
        <f>VLOOKUP(B58,'DANH SACH UEH'!$A$3:$FE$2228,7,0)</f>
        <v>phuctruong.31261570440@st.ueh.edu.vn</v>
      </c>
      <c r="N58" t="str">
        <f>VLOOKUP(B58,'DANH SACH UEH'!$A$3:$FE$2228,8,0)</f>
        <v>0395625080</v>
      </c>
      <c r="O58" t="str">
        <f>IFERROR(VLOOKUP(AE58,'DS TAO MAIL'!$D$3:$M$1120,5,0),"")</f>
        <v>31261570440</v>
      </c>
      <c r="P58" t="str">
        <f>IFERROR(VLOOKUP(AE58,'DS TAO MAIL'!$D$3:$M$1120,8,0),"")</f>
        <v>74466552</v>
      </c>
      <c r="Q58" t="str">
        <f>IFERROR(VLOOKUP(AE58,'DS TAO MAIL'!$D$3:$M$1120,7,0),"")</f>
        <v>phuctruong.31261570440@st.ueh.edu.vn</v>
      </c>
      <c r="R58" t="str">
        <f>IFERROR(VLOOKUP(AE58,'DS TAO MAIL'!$D$3:$M$1120,8,0),"")</f>
        <v>74466552</v>
      </c>
      <c r="S58">
        <v>80.66</v>
      </c>
      <c r="U58">
        <v>80</v>
      </c>
      <c r="V58" t="str">
        <f>IFERROR(IF(VLOOKUP(B58,'DANH SACH UEH'!$A$3:$FE$2228,27,0)="Không có","",IF(VLOOKUP(B58,'DANH SACH UEH'!$A$3:$FE$2228,29,0)&lt;"6","",(VLOOKUP(B58,'DANH SACH UEH'!$A$3:$FE$2228,27,0)))),"")</f>
        <v/>
      </c>
      <c r="W58" t="str">
        <f>IFERROR(IF(VLOOKUP(B58,'DANH SACH UEH'!$A$3:$FE$2228,29,0)&lt;"6","",VLOOKUP(B58,'DANH SACH UEH'!$A$3:$FE$2228,29,0)),"")</f>
        <v/>
      </c>
      <c r="X58" t="str">
        <f>IFERROR(IF(V58="","",VLOOKUP(B58,'DANH SACH UEH'!$A$3:$FE$2228,28,0)&amp;""),"")</f>
        <v/>
      </c>
      <c r="Z58" t="str">
        <f>VLOOKUP(B58,'DANH SACH UEH'!$A$3:$FE$2228,44,0)</f>
        <v>7.44</v>
      </c>
      <c r="AA58" t="str">
        <f>VLOOKUP(B58,'DANH SACH UEH'!$A$3:$FE$2228,45,0)</f>
        <v>7.87</v>
      </c>
      <c r="AB58" t="str">
        <f>VLOOKUP(B58,'DANH SACH UEH'!$A$3:$FE$2228,46,0)</f>
        <v>8.16</v>
      </c>
      <c r="AE58" t="str">
        <f>VLOOKUP(B58,'DANH SACH UEH'!$A$3:$I$2229,4,0)</f>
        <v>TRƯƠNG NGUYÊN PHÚC</v>
      </c>
      <c r="AF58" t="str">
        <f>VLOOKUP(B58,'DANH SACH UEH'!$A$3:$I$2229,8,0)</f>
        <v>0395625080</v>
      </c>
    </row>
    <row r="59" spans="1:32" x14ac:dyDescent="0.25">
      <c r="A59">
        <v>58</v>
      </c>
      <c r="B59" t="s">
        <v>80</v>
      </c>
      <c r="C59" t="str">
        <f>VLOOKUP(B59,'DANH SACH UEH'!$A$3:$FE$2228,2,0)</f>
        <v>KSVBS2641837</v>
      </c>
      <c r="D59" t="str">
        <f>IFERROR(VLOOKUP(B59,'DS NGHIEP VU BO'!$A$3:$BX$148,6,0),"")</f>
        <v>86001255</v>
      </c>
      <c r="E59" t="str">
        <f>VLOOKUP(B59,'DS NGHIEP VU BO'!$A$3:$BX$148,45,0)</f>
        <v>Vĩnh Long</v>
      </c>
      <c r="F59" t="str">
        <f t="shared" si="0"/>
        <v/>
      </c>
      <c r="G59" t="str">
        <f>IFERROR(IF(VLOOKUP(B59,'DANH SACH UEH'!$A$3:$FE$2228,18,0)="Không có","",VLOOKUP(B59,'DANH SACH UEH'!$A$3:$FE$2228,18,0)),"")</f>
        <v/>
      </c>
      <c r="H59" t="str">
        <f>IFERROR(IF(VLOOKUP(B59,'DANH SACH UEH'!$A$3:$FE$2228,20,0)="Không có","",VLOOKUP(B59,'DANH SACH UEH'!$A$3:$FE$2228,20,0)),"")</f>
        <v/>
      </c>
      <c r="I59" t="str">
        <f>IFERROR(IF(VLOOKUP(B59,'DANH SACH UEH'!$A$3:$FE$2228,19,0)="Không có","",VLOOKUP(B59,'DANH SACH UEH'!$A$3:$FE$2228,19,0)),"")</f>
        <v/>
      </c>
      <c r="J59" t="str">
        <f>VLOOKUP(B59,'DANH SACH UEH'!$A$3:$FE$2228,6,0)</f>
        <v>01/03/2008</v>
      </c>
      <c r="K59" t="str">
        <f>IF(VLOOKUP(B59,'DANH SACH UEH'!$A$3:$FE$2228,5,0)="1","Nữ","Nam")</f>
        <v>Nữ</v>
      </c>
      <c r="L59" t="str">
        <f>VLOOKUP(B59,'DANH SACH UEH'!$A$3:$FE$2228,14,0)</f>
        <v>Kinh</v>
      </c>
      <c r="M59" t="str">
        <f>VLOOKUP(B59,'DANH SACH UEH'!$A$3:$FE$2228,7,0)</f>
        <v>tranxuanbinh.ss03@gmail.com</v>
      </c>
      <c r="N59" t="str">
        <f>VLOOKUP(B59,'DANH SACH UEH'!$A$3:$FE$2228,8,0)</f>
        <v>0377413356</v>
      </c>
      <c r="O59" t="str">
        <f>IFERROR(VLOOKUP(AE59,'DS TAO MAIL'!$D$3:$M$1120,5,0),"")</f>
        <v>31261570462</v>
      </c>
      <c r="P59" t="str">
        <f>IFERROR(VLOOKUP(AE59,'DS TAO MAIL'!$D$3:$M$1120,8,0),"")</f>
        <v>75769615</v>
      </c>
      <c r="Q59" t="str">
        <f>IFERROR(VLOOKUP(AE59,'DS TAO MAIL'!$D$3:$M$1120,7,0),"")</f>
        <v>binhtran.31261570462@st.ueh.edu.vn</v>
      </c>
      <c r="R59" t="str">
        <f>IFERROR(VLOOKUP(AE59,'DS TAO MAIL'!$D$3:$M$1120,8,0),"")</f>
        <v>75769615</v>
      </c>
      <c r="S59">
        <v>65.77</v>
      </c>
      <c r="U59">
        <v>64.099999999999994</v>
      </c>
      <c r="V59" t="str">
        <f>IFERROR(IF(VLOOKUP(B59,'DANH SACH UEH'!$A$3:$FE$2228,27,0)="Không có","",IF(VLOOKUP(B59,'DANH SACH UEH'!$A$3:$FE$2228,29,0)&lt;"6","",(VLOOKUP(B59,'DANH SACH UEH'!$A$3:$FE$2228,27,0)))),"")</f>
        <v/>
      </c>
      <c r="W59" t="str">
        <f>IFERROR(IF(VLOOKUP(B59,'DANH SACH UEH'!$A$3:$FE$2228,29,0)&lt;"6","",VLOOKUP(B59,'DANH SACH UEH'!$A$3:$FE$2228,29,0)),"")</f>
        <v/>
      </c>
      <c r="X59" t="str">
        <f>IFERROR(IF(V59="","",VLOOKUP(B59,'DANH SACH UEH'!$A$3:$FE$2228,28,0)&amp;""),"")</f>
        <v/>
      </c>
      <c r="Z59" t="str">
        <f>VLOOKUP(B59,'DANH SACH UEH'!$A$3:$FE$2228,44,0)</f>
        <v>7.91</v>
      </c>
      <c r="AA59" t="str">
        <f>VLOOKUP(B59,'DANH SACH UEH'!$A$3:$FE$2228,45,0)</f>
        <v>8.06</v>
      </c>
      <c r="AB59" t="str">
        <f>VLOOKUP(B59,'DANH SACH UEH'!$A$3:$FE$2228,46,0)</f>
        <v>8.84</v>
      </c>
      <c r="AE59" t="str">
        <f>VLOOKUP(B59,'DANH SACH UEH'!$A$3:$I$2229,4,0)</f>
        <v>TRẦN XUÂN BÌNH</v>
      </c>
      <c r="AF59" t="str">
        <f>VLOOKUP(B59,'DANH SACH UEH'!$A$3:$I$2229,8,0)</f>
        <v>0377413356</v>
      </c>
    </row>
    <row r="60" spans="1:32" x14ac:dyDescent="0.25">
      <c r="A60">
        <v>59</v>
      </c>
      <c r="B60" t="s">
        <v>79</v>
      </c>
      <c r="C60" t="str">
        <f>VLOOKUP(B60,'DANH SACH UEH'!$A$3:$FE$2228,2,0)</f>
        <v>KSVBS2646296</v>
      </c>
      <c r="D60" t="str">
        <f>IFERROR(VLOOKUP(B60,'DS NGHIEP VU BO'!$A$3:$BX$148,6,0),"")</f>
        <v>86004120</v>
      </c>
      <c r="E60" t="str">
        <f>VLOOKUP(B60,'DS NGHIEP VU BO'!$A$3:$BX$148,45,0)</f>
        <v>Vĩnh Long</v>
      </c>
      <c r="F60" t="str">
        <f t="shared" si="0"/>
        <v/>
      </c>
      <c r="G60" t="str">
        <f>IFERROR(IF(VLOOKUP(B60,'DANH SACH UEH'!$A$3:$FE$2228,18,0)="Không có","",VLOOKUP(B60,'DANH SACH UEH'!$A$3:$FE$2228,18,0)),"")</f>
        <v/>
      </c>
      <c r="H60" t="str">
        <f>IFERROR(IF(VLOOKUP(B60,'DANH SACH UEH'!$A$3:$FE$2228,20,0)="Không có","",VLOOKUP(B60,'DANH SACH UEH'!$A$3:$FE$2228,20,0)),"")</f>
        <v/>
      </c>
      <c r="I60" t="str">
        <f>IFERROR(IF(VLOOKUP(B60,'DANH SACH UEH'!$A$3:$FE$2228,19,0)="Không có","",VLOOKUP(B60,'DANH SACH UEH'!$A$3:$FE$2228,19,0)),"")</f>
        <v/>
      </c>
      <c r="J60" t="str">
        <f>VLOOKUP(B60,'DANH SACH UEH'!$A$3:$FE$2228,6,0)</f>
        <v>05/09/2008</v>
      </c>
      <c r="K60" t="str">
        <f>IF(VLOOKUP(B60,'DANH SACH UEH'!$A$3:$FE$2228,5,0)="1","Nữ","Nam")</f>
        <v>Nữ</v>
      </c>
      <c r="L60" t="str">
        <f>VLOOKUP(B60,'DANH SACH UEH'!$A$3:$FE$2228,14,0)</f>
        <v>Kinh</v>
      </c>
      <c r="M60" t="str">
        <f>VLOOKUP(B60,'DANH SACH UEH'!$A$3:$FE$2228,7,0)</f>
        <v>kimngan022209@gmail.com</v>
      </c>
      <c r="N60" t="str">
        <f>VLOOKUP(B60,'DANH SACH UEH'!$A$3:$FE$2228,8,0)</f>
        <v>0335022209</v>
      </c>
      <c r="O60" t="str">
        <f>IFERROR(VLOOKUP(AE60,'DS TAO MAIL'!$D$3:$M$1120,5,0),"")</f>
        <v>31261570411</v>
      </c>
      <c r="P60" t="str">
        <f>IFERROR(VLOOKUP(AE60,'DS TAO MAIL'!$D$3:$M$1120,8,0),"")</f>
        <v>33382342</v>
      </c>
      <c r="Q60" t="str">
        <f>IFERROR(VLOOKUP(AE60,'DS TAO MAIL'!$D$3:$M$1120,7,0),"")</f>
        <v>ngannguyen.31261570411@st.ueh.edu.vn</v>
      </c>
      <c r="R60" t="str">
        <f>IFERROR(VLOOKUP(AE60,'DS TAO MAIL'!$D$3:$M$1120,8,0),"")</f>
        <v>33382342</v>
      </c>
      <c r="S60">
        <v>78.34</v>
      </c>
      <c r="U60">
        <v>77.599999999999994</v>
      </c>
      <c r="V60" t="str">
        <f>IFERROR(IF(VLOOKUP(B60,'DANH SACH UEH'!$A$3:$FE$2228,27,0)="Không có","",IF(VLOOKUP(B60,'DANH SACH UEH'!$A$3:$FE$2228,29,0)&lt;"6","",(VLOOKUP(B60,'DANH SACH UEH'!$A$3:$FE$2228,27,0)))),"")</f>
        <v/>
      </c>
      <c r="W60" t="str">
        <f>IFERROR(IF(VLOOKUP(B60,'DANH SACH UEH'!$A$3:$FE$2228,29,0)&lt;"6","",VLOOKUP(B60,'DANH SACH UEH'!$A$3:$FE$2228,29,0)),"")</f>
        <v/>
      </c>
      <c r="X60" t="str">
        <f>IFERROR(IF(V60="","",VLOOKUP(B60,'DANH SACH UEH'!$A$3:$FE$2228,28,0)&amp;""),"")</f>
        <v/>
      </c>
      <c r="Z60" t="str">
        <f>VLOOKUP(B60,'DANH SACH UEH'!$A$3:$FE$2228,44,0)</f>
        <v>9.07</v>
      </c>
      <c r="AA60" t="str">
        <f>VLOOKUP(B60,'DANH SACH UEH'!$A$3:$FE$2228,45,0)</f>
        <v>9.32</v>
      </c>
      <c r="AB60" t="str">
        <f>VLOOKUP(B60,'DANH SACH UEH'!$A$3:$FE$2228,46,0)</f>
        <v>9.54</v>
      </c>
      <c r="AE60" t="str">
        <f>VLOOKUP(B60,'DANH SACH UEH'!$A$3:$I$2229,4,0)</f>
        <v>NGUYỄN THỊ KIM NGÂN</v>
      </c>
      <c r="AF60" t="str">
        <f>VLOOKUP(B60,'DANH SACH UEH'!$A$3:$I$2229,8,0)</f>
        <v>0335022209</v>
      </c>
    </row>
    <row r="61" spans="1:32" x14ac:dyDescent="0.25">
      <c r="A61">
        <v>60</v>
      </c>
      <c r="B61" t="s">
        <v>76</v>
      </c>
      <c r="C61" t="str">
        <f>VLOOKUP(B61,'DANH SACH UEH'!$A$3:$FE$2228,2,0)</f>
        <v>KSVBS2643272</v>
      </c>
      <c r="D61" t="str">
        <f>IFERROR(VLOOKUP(B61,'DS NGHIEP VU BO'!$A$3:$BX$148,6,0),"")</f>
        <v>86004464</v>
      </c>
      <c r="E61" t="str">
        <f>VLOOKUP(B61,'DS NGHIEP VU BO'!$A$3:$BX$148,45,0)</f>
        <v>Vĩnh Long</v>
      </c>
      <c r="F61" t="str">
        <f t="shared" si="0"/>
        <v/>
      </c>
      <c r="G61" t="str">
        <f>IFERROR(IF(VLOOKUP(B61,'DANH SACH UEH'!$A$3:$FE$2228,18,0)="Không có","",VLOOKUP(B61,'DANH SACH UEH'!$A$3:$FE$2228,18,0)),"")</f>
        <v/>
      </c>
      <c r="H61" t="str">
        <f>IFERROR(IF(VLOOKUP(B61,'DANH SACH UEH'!$A$3:$FE$2228,20,0)="Không có","",VLOOKUP(B61,'DANH SACH UEH'!$A$3:$FE$2228,20,0)),"")</f>
        <v/>
      </c>
      <c r="I61" t="str">
        <f>IFERROR(IF(VLOOKUP(B61,'DANH SACH UEH'!$A$3:$FE$2228,19,0)="Không có","",VLOOKUP(B61,'DANH SACH UEH'!$A$3:$FE$2228,19,0)),"")</f>
        <v/>
      </c>
      <c r="J61" t="str">
        <f>VLOOKUP(B61,'DANH SACH UEH'!$A$3:$FE$2228,6,0)</f>
        <v>01/01/2008</v>
      </c>
      <c r="K61" t="str">
        <f>IF(VLOOKUP(B61,'DANH SACH UEH'!$A$3:$FE$2228,5,0)="1","Nữ","Nam")</f>
        <v>Nữ</v>
      </c>
      <c r="L61" t="str">
        <f>VLOOKUP(B61,'DANH SACH UEH'!$A$3:$FE$2228,14,0)</f>
        <v>Kinh</v>
      </c>
      <c r="M61" t="str">
        <f>VLOOKUP(B61,'DANH SACH UEH'!$A$3:$FE$2228,7,0)</f>
        <v>lengochan010108@gmail.com</v>
      </c>
      <c r="N61" t="str">
        <f>VLOOKUP(B61,'DANH SACH UEH'!$A$3:$FE$2228,8,0)</f>
        <v>0325243150</v>
      </c>
      <c r="O61" t="str">
        <f>IFERROR(VLOOKUP(AF61,'DS TAO MAIL'!$A$3:$M$1120,8,0),"")</f>
        <v>31261570437</v>
      </c>
      <c r="P61" t="str">
        <f>IFERROR(VLOOKUP(AF61,'DS TAO MAIL'!$A$3:$M$1120,11,0),"")</f>
        <v>52858401</v>
      </c>
      <c r="Q61" t="str">
        <f>IFERROR(VLOOKUP(AF61,'DS TAO MAIL'!$A$3:$M$1120,10,0),"")</f>
        <v>hanle.31261570437@st.ueh.edu.vn</v>
      </c>
      <c r="R61" t="str">
        <f>IFERROR(VLOOKUP(AF61,'DS TAO MAIL'!$A$3:$M$1120,11,0),"")</f>
        <v>52858401</v>
      </c>
      <c r="S61">
        <v>80.12</v>
      </c>
      <c r="U61">
        <v>79.44</v>
      </c>
      <c r="V61" t="str">
        <f>IFERROR(IF(VLOOKUP(B61,'DANH SACH UEH'!$A$3:$FE$2228,27,0)="Không có","",IF(VLOOKUP(B61,'DANH SACH UEH'!$A$3:$FE$2228,29,0)&lt;"6","",(VLOOKUP(B61,'DANH SACH UEH'!$A$3:$FE$2228,27,0)))),"")</f>
        <v/>
      </c>
      <c r="W61" t="str">
        <f>IFERROR(IF(VLOOKUP(B61,'DANH SACH UEH'!$A$3:$FE$2228,29,0)&lt;"6","",VLOOKUP(B61,'DANH SACH UEH'!$A$3:$FE$2228,29,0)),"")</f>
        <v/>
      </c>
      <c r="X61" t="str">
        <f>IFERROR(IF(V61="","",VLOOKUP(B61,'DANH SACH UEH'!$A$3:$FE$2228,28,0)&amp;""),"")</f>
        <v/>
      </c>
      <c r="Z61" t="str">
        <f>VLOOKUP(B61,'DANH SACH UEH'!$A$3:$FE$2228,44,0)</f>
        <v>7.41</v>
      </c>
      <c r="AA61" t="str">
        <f>VLOOKUP(B61,'DANH SACH UEH'!$A$3:$FE$2228,45,0)</f>
        <v>8.59</v>
      </c>
      <c r="AB61" t="str">
        <f>VLOOKUP(B61,'DANH SACH UEH'!$A$3:$FE$2228,46,0)</f>
        <v>9.02</v>
      </c>
      <c r="AE61" t="str">
        <f>VLOOKUP(B61,'DANH SACH UEH'!$A$3:$I$2229,4,0)</f>
        <v>LÊ NGỌC HÂN</v>
      </c>
      <c r="AF61" t="str">
        <f>VLOOKUP(B61,'DANH SACH UEH'!$A$3:$I$2229,8,0)</f>
        <v>0325243150</v>
      </c>
    </row>
    <row r="62" spans="1:32" x14ac:dyDescent="0.25">
      <c r="A62">
        <v>61</v>
      </c>
      <c r="B62" t="s">
        <v>74</v>
      </c>
      <c r="C62" t="str">
        <f>VLOOKUP(B62,'DANH SACH UEH'!$A$3:$FE$2228,2,0)</f>
        <v>KSVBS2603131</v>
      </c>
      <c r="D62" t="str">
        <f>IFERROR(VLOOKUP(B62,'DS NGHIEP VU BO'!$A$3:$BX$148,6,0),"")</f>
        <v>86029154</v>
      </c>
      <c r="E62" t="str">
        <f>VLOOKUP(B62,'DS NGHIEP VU BO'!$A$3:$BX$148,45,0)</f>
        <v>Vĩnh Long</v>
      </c>
      <c r="F62" t="str">
        <f t="shared" si="0"/>
        <v/>
      </c>
      <c r="G62" t="str">
        <f>IFERROR(IF(VLOOKUP(B62,'DANH SACH UEH'!$A$3:$FE$2228,18,0)="Không có","",VLOOKUP(B62,'DANH SACH UEH'!$A$3:$FE$2228,18,0)),"")</f>
        <v/>
      </c>
      <c r="H62" t="str">
        <f>IFERROR(IF(VLOOKUP(B62,'DANH SACH UEH'!$A$3:$FE$2228,20,0)="Không có","",VLOOKUP(B62,'DANH SACH UEH'!$A$3:$FE$2228,20,0)),"")</f>
        <v/>
      </c>
      <c r="I62" t="str">
        <f>IFERROR(IF(VLOOKUP(B62,'DANH SACH UEH'!$A$3:$FE$2228,19,0)="Không có","",VLOOKUP(B62,'DANH SACH UEH'!$A$3:$FE$2228,19,0)),"")</f>
        <v/>
      </c>
      <c r="J62" t="str">
        <f>VLOOKUP(B62,'DANH SACH UEH'!$A$3:$FE$2228,6,0)</f>
        <v>23/12/2008</v>
      </c>
      <c r="K62" t="str">
        <f>IF(VLOOKUP(B62,'DANH SACH UEH'!$A$3:$FE$2228,5,0)="1","Nữ","Nam")</f>
        <v>Nữ</v>
      </c>
      <c r="L62" t="str">
        <f>VLOOKUP(B62,'DANH SACH UEH'!$A$3:$FE$2228,14,0)</f>
        <v>Khơ Me</v>
      </c>
      <c r="M62" t="str">
        <f>VLOOKUP(B62,'DANH SACH UEH'!$A$3:$FE$2228,7,0)</f>
        <v>huynhbangtram.hbt@gmail.com</v>
      </c>
      <c r="N62" t="str">
        <f>VLOOKUP(B62,'DANH SACH UEH'!$A$3:$FE$2228,8,0)</f>
        <v>0846226400</v>
      </c>
      <c r="O62" t="str">
        <f>IFERROR(VLOOKUP(AE62,'DS TAO MAIL'!$D$3:$M$1120,5,0),"")</f>
        <v>31261570465</v>
      </c>
      <c r="P62" t="str">
        <f>IFERROR(VLOOKUP(AE62,'DS TAO MAIL'!$D$3:$M$1120,8,0),"")</f>
        <v>27104215</v>
      </c>
      <c r="Q62" t="str">
        <f>IFERROR(VLOOKUP(AE62,'DS TAO MAIL'!$D$3:$M$1120,7,0),"")</f>
        <v>tramhuynh.31261570465@st.ueh.edu.vn</v>
      </c>
      <c r="R62" t="str">
        <f>IFERROR(VLOOKUP(AE62,'DS TAO MAIL'!$D$3:$M$1120,8,0),"")</f>
        <v>27104215</v>
      </c>
      <c r="S62">
        <v>76.16</v>
      </c>
      <c r="U62">
        <v>76.16</v>
      </c>
      <c r="V62" t="str">
        <f>IFERROR(IF(VLOOKUP(B62,'DANH SACH UEH'!$A$3:$FE$2228,27,0)="Không có","",IF(VLOOKUP(B62,'DANH SACH UEH'!$A$3:$FE$2228,29,0)&lt;"6","",(VLOOKUP(B62,'DANH SACH UEH'!$A$3:$FE$2228,27,0)))),"")</f>
        <v/>
      </c>
      <c r="W62" t="str">
        <f>IFERROR(IF(VLOOKUP(B62,'DANH SACH UEH'!$A$3:$FE$2228,29,0)&lt;"6","",VLOOKUP(B62,'DANH SACH UEH'!$A$3:$FE$2228,29,0)),"")</f>
        <v/>
      </c>
      <c r="X62" t="str">
        <f>IFERROR(IF(V62="","",VLOOKUP(B62,'DANH SACH UEH'!$A$3:$FE$2228,28,0)&amp;""),"")</f>
        <v/>
      </c>
      <c r="Z62" t="str">
        <f>VLOOKUP(B62,'DANH SACH UEH'!$A$3:$FE$2228,44,0)</f>
        <v>8.74</v>
      </c>
      <c r="AA62" t="str">
        <f>VLOOKUP(B62,'DANH SACH UEH'!$A$3:$FE$2228,45,0)</f>
        <v>9.02</v>
      </c>
      <c r="AB62" t="str">
        <f>VLOOKUP(B62,'DANH SACH UEH'!$A$3:$FE$2228,46,0)</f>
        <v>9.11</v>
      </c>
      <c r="AE62" t="str">
        <f>VLOOKUP(B62,'DANH SACH UEH'!$A$3:$I$2229,4,0)</f>
        <v>HUỲNH BĂNG TRÂM</v>
      </c>
      <c r="AF62" t="str">
        <f>VLOOKUP(B62,'DANH SACH UEH'!$A$3:$I$2229,8,0)</f>
        <v>0846226400</v>
      </c>
    </row>
    <row r="63" spans="1:32" x14ac:dyDescent="0.25">
      <c r="A63">
        <v>62</v>
      </c>
      <c r="B63" t="s">
        <v>73</v>
      </c>
      <c r="C63" t="str">
        <f>VLOOKUP(B63,'DANH SACH UEH'!$A$3:$FE$2228,2,0)</f>
        <v>KSVBS2600593</v>
      </c>
      <c r="D63" t="str">
        <f>IFERROR(VLOOKUP(B63,'DS NGHIEP VU BO'!$A$3:$BX$148,6,0),"")</f>
        <v>86035965</v>
      </c>
      <c r="E63" t="str">
        <f>VLOOKUP(B63,'DS NGHIEP VU BO'!$A$3:$BX$148,45,0)</f>
        <v>Vĩnh Long</v>
      </c>
      <c r="F63" t="str">
        <f t="shared" si="0"/>
        <v/>
      </c>
      <c r="G63" t="str">
        <f>IFERROR(IF(VLOOKUP(B63,'DANH SACH UEH'!$A$3:$FE$2228,18,0)="Không có","",VLOOKUP(B63,'DANH SACH UEH'!$A$3:$FE$2228,18,0)),"")</f>
        <v/>
      </c>
      <c r="H63" t="str">
        <f>IFERROR(IF(VLOOKUP(B63,'DANH SACH UEH'!$A$3:$FE$2228,20,0)="Không có","",VLOOKUP(B63,'DANH SACH UEH'!$A$3:$FE$2228,20,0)),"")</f>
        <v/>
      </c>
      <c r="I63" t="str">
        <f>IFERROR(IF(VLOOKUP(B63,'DANH SACH UEH'!$A$3:$FE$2228,19,0)="Không có","",VLOOKUP(B63,'DANH SACH UEH'!$A$3:$FE$2228,19,0)),"")</f>
        <v/>
      </c>
      <c r="J63" t="str">
        <f>VLOOKUP(B63,'DANH SACH UEH'!$A$3:$FE$2228,6,0)</f>
        <v>23/11/2008</v>
      </c>
      <c r="K63" t="str">
        <f>IF(VLOOKUP(B63,'DANH SACH UEH'!$A$3:$FE$2228,5,0)="1","Nữ","Nam")</f>
        <v>Nữ</v>
      </c>
      <c r="L63" t="str">
        <f>VLOOKUP(B63,'DANH SACH UEH'!$A$3:$FE$2228,14,0)</f>
        <v>Kinh</v>
      </c>
      <c r="M63" t="str">
        <f>VLOOKUP(B63,'DANH SACH UEH'!$A$3:$FE$2228,7,0)</f>
        <v>queanhd77@gmail.com</v>
      </c>
      <c r="N63" t="str">
        <f>VLOOKUP(B63,'DANH SACH UEH'!$A$3:$FE$2228,8,0)</f>
        <v>0813218460</v>
      </c>
      <c r="O63" t="str">
        <f>IFERROR(VLOOKUP(AE63,'DS TAO MAIL'!$D$3:$M$1120,5,0),"")</f>
        <v>31261570427</v>
      </c>
      <c r="P63" t="str">
        <f>IFERROR(VLOOKUP(AE63,'DS TAO MAIL'!$D$3:$M$1120,8,0),"")</f>
        <v>15021555</v>
      </c>
      <c r="Q63" t="str">
        <f>IFERROR(VLOOKUP(AE63,'DS TAO MAIL'!$D$3:$M$1120,7,0),"")</f>
        <v>anhdinh.31261570427@st.ueh.edu.vn</v>
      </c>
      <c r="R63" t="str">
        <f>IFERROR(VLOOKUP(AE63,'DS TAO MAIL'!$D$3:$M$1120,8,0),"")</f>
        <v>15021555</v>
      </c>
      <c r="S63">
        <v>73.86</v>
      </c>
      <c r="U63">
        <v>71.36</v>
      </c>
      <c r="V63" t="str">
        <f>IFERROR(IF(VLOOKUP(B63,'DANH SACH UEH'!$A$3:$FE$2228,27,0)="Không có","",IF(VLOOKUP(B63,'DANH SACH UEH'!$A$3:$FE$2228,29,0)&lt;"6","",(VLOOKUP(B63,'DANH SACH UEH'!$A$3:$FE$2228,27,0)))),"")</f>
        <v/>
      </c>
      <c r="W63" t="str">
        <f>IFERROR(IF(VLOOKUP(B63,'DANH SACH UEH'!$A$3:$FE$2228,29,0)&lt;"6","",VLOOKUP(B63,'DANH SACH UEH'!$A$3:$FE$2228,29,0)),"")</f>
        <v/>
      </c>
      <c r="X63" t="str">
        <f>IFERROR(IF(V63="","",VLOOKUP(B63,'DANH SACH UEH'!$A$3:$FE$2228,28,0)&amp;""),"")</f>
        <v/>
      </c>
      <c r="Z63" t="str">
        <f>VLOOKUP(B63,'DANH SACH UEH'!$A$3:$FE$2228,44,0)</f>
        <v>8.44</v>
      </c>
      <c r="AA63" t="str">
        <f>VLOOKUP(B63,'DANH SACH UEH'!$A$3:$FE$2228,45,0)</f>
        <v>8.39</v>
      </c>
      <c r="AB63" t="str">
        <f>VLOOKUP(B63,'DANH SACH UEH'!$A$3:$FE$2228,46,0)</f>
        <v>8.72</v>
      </c>
      <c r="AE63" t="str">
        <f>VLOOKUP(B63,'DANH SACH UEH'!$A$3:$I$2229,4,0)</f>
        <v>ĐINH THỊ QUẾ ANH</v>
      </c>
      <c r="AF63" t="str">
        <f>VLOOKUP(B63,'DANH SACH UEH'!$A$3:$I$2229,8,0)</f>
        <v>0813218460</v>
      </c>
    </row>
    <row r="64" spans="1:32" x14ac:dyDescent="0.25">
      <c r="A64">
        <v>63</v>
      </c>
      <c r="B64" t="s">
        <v>71</v>
      </c>
      <c r="C64" t="str">
        <f>VLOOKUP(B64,'DANH SACH UEH'!$A$3:$FE$2228,2,0)</f>
        <v>KSVBS2627907</v>
      </c>
      <c r="D64" t="str">
        <f>IFERROR(VLOOKUP(B64,'DS NGHIEP VU BO'!$A$3:$BX$148,6,0),"")</f>
        <v>86014873</v>
      </c>
      <c r="E64" t="str">
        <f>VLOOKUP(B64,'DS NGHIEP VU BO'!$A$3:$BX$148,45,0)</f>
        <v>Vĩnh Long</v>
      </c>
      <c r="F64" t="str">
        <f t="shared" si="0"/>
        <v/>
      </c>
      <c r="G64" t="str">
        <f>IFERROR(IF(VLOOKUP(B64,'DANH SACH UEH'!$A$3:$FE$2228,18,0)="Không có","",VLOOKUP(B64,'DANH SACH UEH'!$A$3:$FE$2228,18,0)),"")</f>
        <v/>
      </c>
      <c r="H64" t="str">
        <f>IFERROR(IF(VLOOKUP(B64,'DANH SACH UEH'!$A$3:$FE$2228,20,0)="Không có","",VLOOKUP(B64,'DANH SACH UEH'!$A$3:$FE$2228,20,0)),"")</f>
        <v/>
      </c>
      <c r="I64" t="str">
        <f>IFERROR(IF(VLOOKUP(B64,'DANH SACH UEH'!$A$3:$FE$2228,19,0)="Không có","",VLOOKUP(B64,'DANH SACH UEH'!$A$3:$FE$2228,19,0)),"")</f>
        <v/>
      </c>
      <c r="J64" t="str">
        <f>VLOOKUP(B64,'DANH SACH UEH'!$A$3:$FE$2228,6,0)</f>
        <v>26/08/2008</v>
      </c>
      <c r="K64" t="str">
        <f>IF(VLOOKUP(B64,'DANH SACH UEH'!$A$3:$FE$2228,5,0)="1","Nữ","Nam")</f>
        <v>Nam</v>
      </c>
      <c r="L64" t="str">
        <f>VLOOKUP(B64,'DANH SACH UEH'!$A$3:$FE$2228,14,0)</f>
        <v>Kinh</v>
      </c>
      <c r="M64" t="str">
        <f>VLOOKUP(B64,'DANH SACH UEH'!$A$3:$FE$2228,7,0)</f>
        <v>trungnhan260808@gmail.com</v>
      </c>
      <c r="N64" t="str">
        <f>VLOOKUP(B64,'DANH SACH UEH'!$A$3:$FE$2228,8,0)</f>
        <v>0793872436</v>
      </c>
      <c r="O64" t="str">
        <f>IFERROR(VLOOKUP(AF64,'DS TAO MAIL'!$A$3:$M$1120,8,0),"")</f>
        <v>31261570516</v>
      </c>
      <c r="P64" t="str">
        <f>IFERROR(VLOOKUP(AF64,'DS TAO MAIL'!$A$3:$M$1120,11,0),"")</f>
        <v>32721196</v>
      </c>
      <c r="Q64" t="str">
        <f>IFERROR(VLOOKUP(AF64,'DS TAO MAIL'!$A$3:$M$1120,10,0),"")</f>
        <v>nhan.31261570516@st.ueh.edu.vn</v>
      </c>
      <c r="R64" t="str">
        <f>IFERROR(VLOOKUP(AF64,'DS TAO MAIL'!$A$3:$M$1120,11,0),"")</f>
        <v>32721196</v>
      </c>
      <c r="S64">
        <v>70.430000000000007</v>
      </c>
      <c r="U64">
        <v>69.599999999999994</v>
      </c>
      <c r="V64" t="str">
        <f>IFERROR(IF(VLOOKUP(B64,'DANH SACH UEH'!$A$3:$FE$2228,27,0)="Không có","",IF(VLOOKUP(B64,'DANH SACH UEH'!$A$3:$FE$2228,29,0)&lt;"6","",(VLOOKUP(B64,'DANH SACH UEH'!$A$3:$FE$2228,27,0)))),"")</f>
        <v/>
      </c>
      <c r="W64" t="str">
        <f>IFERROR(IF(VLOOKUP(B64,'DANH SACH UEH'!$A$3:$FE$2228,29,0)&lt;"6","",VLOOKUP(B64,'DANH SACH UEH'!$A$3:$FE$2228,29,0)),"")</f>
        <v/>
      </c>
      <c r="X64" t="str">
        <f>IFERROR(IF(V64="","",VLOOKUP(B64,'DANH SACH UEH'!$A$3:$FE$2228,28,0)&amp;""),"")</f>
        <v/>
      </c>
      <c r="Z64" t="str">
        <f>VLOOKUP(B64,'DANH SACH UEH'!$A$3:$FE$2228,44,0)</f>
        <v>8.61</v>
      </c>
      <c r="AA64" t="str">
        <f>VLOOKUP(B64,'DANH SACH UEH'!$A$3:$FE$2228,45,0)</f>
        <v>8.60</v>
      </c>
      <c r="AB64" t="str">
        <f>VLOOKUP(B64,'DANH SACH UEH'!$A$3:$FE$2228,46,0)</f>
        <v>8.40</v>
      </c>
      <c r="AE64" t="str">
        <f>VLOOKUP(B64,'DANH SACH UEH'!$A$3:$I$2229,4,0)</f>
        <v>TRẦN TRUNG NHÂN</v>
      </c>
      <c r="AF64" t="str">
        <f>VLOOKUP(B64,'DANH SACH UEH'!$A$3:$I$2229,8,0)</f>
        <v>0793872436</v>
      </c>
    </row>
    <row r="65" spans="1:32" x14ac:dyDescent="0.25">
      <c r="A65">
        <v>64</v>
      </c>
      <c r="B65" t="s">
        <v>70</v>
      </c>
      <c r="C65" t="str">
        <f>VLOOKUP(B65,'DANH SACH UEH'!$A$3:$FE$2228,2,0)</f>
        <v>KSVBS2649001</v>
      </c>
      <c r="D65" t="str">
        <f>IFERROR(VLOOKUP(B65,'DS NGHIEP VU BO'!$A$3:$BX$148,6,0),"")</f>
        <v>86018407</v>
      </c>
      <c r="E65" t="str">
        <f>VLOOKUP(B65,'DS NGHIEP VU BO'!$A$3:$BX$148,45,0)</f>
        <v>Vĩnh Long</v>
      </c>
      <c r="F65" t="str">
        <f t="shared" si="0"/>
        <v/>
      </c>
      <c r="G65" t="str">
        <f>IFERROR(IF(VLOOKUP(B65,'DANH SACH UEH'!$A$3:$FE$2228,18,0)="Không có","",VLOOKUP(B65,'DANH SACH UEH'!$A$3:$FE$2228,18,0)),"")</f>
        <v/>
      </c>
      <c r="H65" t="str">
        <f>IFERROR(IF(VLOOKUP(B65,'DANH SACH UEH'!$A$3:$FE$2228,20,0)="Không có","",VLOOKUP(B65,'DANH SACH UEH'!$A$3:$FE$2228,20,0)),"")</f>
        <v/>
      </c>
      <c r="I65" t="str">
        <f>IFERROR(IF(VLOOKUP(B65,'DANH SACH UEH'!$A$3:$FE$2228,19,0)="Không có","",VLOOKUP(B65,'DANH SACH UEH'!$A$3:$FE$2228,19,0)),"")</f>
        <v/>
      </c>
      <c r="J65" t="str">
        <f>VLOOKUP(B65,'DANH SACH UEH'!$A$3:$FE$2228,6,0)</f>
        <v>10/03/2008</v>
      </c>
      <c r="K65" t="str">
        <f>IF(VLOOKUP(B65,'DANH SACH UEH'!$A$3:$FE$2228,5,0)="1","Nữ","Nam")</f>
        <v>Nam</v>
      </c>
      <c r="L65" t="str">
        <f>VLOOKUP(B65,'DANH SACH UEH'!$A$3:$FE$2228,14,0)</f>
        <v>Kinh</v>
      </c>
      <c r="M65" t="str">
        <f>VLOOKUP(B65,'DANH SACH UEH'!$A$3:$FE$2228,7,0)</f>
        <v>namanht028@gmail.com</v>
      </c>
      <c r="N65" t="str">
        <f>VLOOKUP(B65,'DANH SACH UEH'!$A$3:$FE$2228,8,0)</f>
        <v>0766963034</v>
      </c>
      <c r="O65" t="str">
        <f>IFERROR(VLOOKUP(AF65,'DS TAO MAIL'!$A$3:$M$1120,8,0),"")</f>
        <v>31261570407</v>
      </c>
      <c r="P65" t="str">
        <f>IFERROR(VLOOKUP(AF65,'DS TAO MAIL'!$A$3:$M$1120,11,0),"")</f>
        <v>38363905</v>
      </c>
      <c r="Q65" t="str">
        <f>IFERROR(VLOOKUP(AF65,'DS TAO MAIL'!$A$3:$M$1120,10,0),"")</f>
        <v>anhnguyen.31261570407@st.ueh.edu.vn</v>
      </c>
      <c r="R65" t="str">
        <f>IFERROR(VLOOKUP(AF65,'DS TAO MAIL'!$A$3:$M$1120,11,0),"")</f>
        <v>38363905</v>
      </c>
      <c r="S65">
        <v>72.63</v>
      </c>
      <c r="U65">
        <v>71.8</v>
      </c>
      <c r="V65" t="str">
        <f>IFERROR(IF(VLOOKUP(B65,'DANH SACH UEH'!$A$3:$FE$2228,27,0)="Không có","",IF(VLOOKUP(B65,'DANH SACH UEH'!$A$3:$FE$2228,29,0)&lt;"6","",(VLOOKUP(B65,'DANH SACH UEH'!$A$3:$FE$2228,27,0)))),"")</f>
        <v/>
      </c>
      <c r="W65" t="str">
        <f>IFERROR(IF(VLOOKUP(B65,'DANH SACH UEH'!$A$3:$FE$2228,29,0)&lt;"6","",VLOOKUP(B65,'DANH SACH UEH'!$A$3:$FE$2228,29,0)),"")</f>
        <v/>
      </c>
      <c r="X65" t="str">
        <f>IFERROR(IF(V65="","",VLOOKUP(B65,'DANH SACH UEH'!$A$3:$FE$2228,28,0)&amp;""),"")</f>
        <v/>
      </c>
      <c r="Z65" t="str">
        <f>VLOOKUP(B65,'DANH SACH UEH'!$A$3:$FE$2228,44,0)</f>
        <v>7.93</v>
      </c>
      <c r="AA65" t="str">
        <f>VLOOKUP(B65,'DANH SACH UEH'!$A$3:$FE$2228,45,0)</f>
        <v>7.99</v>
      </c>
      <c r="AB65" t="str">
        <f>VLOOKUP(B65,'DANH SACH UEH'!$A$3:$FE$2228,46,0)</f>
        <v>8.33</v>
      </c>
      <c r="AE65" t="str">
        <f>VLOOKUP(B65,'DANH SACH UEH'!$A$3:$I$2229,4,0)</f>
        <v>NGUYỄN NAM ANH</v>
      </c>
      <c r="AF65" t="str">
        <f>VLOOKUP(B65,'DANH SACH UEH'!$A$3:$I$2229,8,0)</f>
        <v>0766963034</v>
      </c>
    </row>
    <row r="66" spans="1:32" x14ac:dyDescent="0.25">
      <c r="A66">
        <v>65</v>
      </c>
      <c r="B66" t="s">
        <v>68</v>
      </c>
      <c r="C66" t="str">
        <f>VLOOKUP(B66,'DANH SACH UEH'!$A$3:$FE$2228,2,0)</f>
        <v>KSVBS2646022</v>
      </c>
      <c r="D66" t="str">
        <f>IFERROR(VLOOKUP(B66,'DS NGHIEP VU BO'!$A$3:$BX$148,6,0),"")</f>
        <v>86013669</v>
      </c>
      <c r="E66" t="str">
        <f>VLOOKUP(B66,'DS NGHIEP VU BO'!$A$3:$BX$148,45,0)</f>
        <v>Vĩnh Long</v>
      </c>
      <c r="F66" t="str">
        <f t="shared" si="0"/>
        <v/>
      </c>
      <c r="G66" t="str">
        <f>IFERROR(IF(VLOOKUP(B66,'DANH SACH UEH'!$A$3:$FE$2228,18,0)="Không có","",VLOOKUP(B66,'DANH SACH UEH'!$A$3:$FE$2228,18,0)),"")</f>
        <v/>
      </c>
      <c r="H66" t="str">
        <f>IFERROR(IF(VLOOKUP(B66,'DANH SACH UEH'!$A$3:$FE$2228,20,0)="Không có","",VLOOKUP(B66,'DANH SACH UEH'!$A$3:$FE$2228,20,0)),"")</f>
        <v/>
      </c>
      <c r="I66" t="str">
        <f>IFERROR(IF(VLOOKUP(B66,'DANH SACH UEH'!$A$3:$FE$2228,19,0)="Không có","",VLOOKUP(B66,'DANH SACH UEH'!$A$3:$FE$2228,19,0)),"")</f>
        <v/>
      </c>
      <c r="J66" t="str">
        <f>VLOOKUP(B66,'DANH SACH UEH'!$A$3:$FE$2228,6,0)</f>
        <v>07/06/2008</v>
      </c>
      <c r="K66" t="str">
        <f>IF(VLOOKUP(B66,'DANH SACH UEH'!$A$3:$FE$2228,5,0)="1","Nữ","Nam")</f>
        <v>Nam</v>
      </c>
      <c r="L66" t="str">
        <f>VLOOKUP(B66,'DANH SACH UEH'!$A$3:$FE$2228,14,0)</f>
        <v>Kinh</v>
      </c>
      <c r="M66" t="str">
        <f>VLOOKUP(B66,'DANH SACH UEH'!$A$3:$FE$2228,7,0)</f>
        <v>minhtao.31261570463@st.ueh.edu.vn</v>
      </c>
      <c r="N66" t="str">
        <f>VLOOKUP(B66,'DANH SACH UEH'!$A$3:$FE$2228,8,0)</f>
        <v>0822760225</v>
      </c>
      <c r="O66" t="str">
        <f>IFERROR(VLOOKUP(AE66,'DS TAO MAIL'!$D$3:$M$1120,5,0),"")</f>
        <v>31261570463</v>
      </c>
      <c r="P66" t="str">
        <f>IFERROR(VLOOKUP(AE66,'DS TAO MAIL'!$D$3:$M$1120,8,0),"")</f>
        <v>74297819</v>
      </c>
      <c r="Q66" t="str">
        <f>IFERROR(VLOOKUP(AE66,'DS TAO MAIL'!$D$3:$M$1120,7,0),"")</f>
        <v>minhtao.31261570463@st.ueh.edu.vn</v>
      </c>
      <c r="R66" t="str">
        <f>IFERROR(VLOOKUP(AE66,'DS TAO MAIL'!$D$3:$M$1120,8,0),"")</f>
        <v>74297819</v>
      </c>
      <c r="S66">
        <v>77.510000000000005</v>
      </c>
      <c r="U66">
        <v>75.900000000000006</v>
      </c>
      <c r="V66" t="str">
        <f>IFERROR(IF(VLOOKUP(B66,'DANH SACH UEH'!$A$3:$FE$2228,27,0)="Không có","",IF(VLOOKUP(B66,'DANH SACH UEH'!$A$3:$FE$2228,29,0)&lt;"6","",(VLOOKUP(B66,'DANH SACH UEH'!$A$3:$FE$2228,27,0)))),"")</f>
        <v/>
      </c>
      <c r="W66" t="str">
        <f>IFERROR(IF(VLOOKUP(B66,'DANH SACH UEH'!$A$3:$FE$2228,29,0)&lt;"6","",VLOOKUP(B66,'DANH SACH UEH'!$A$3:$FE$2228,29,0)),"")</f>
        <v/>
      </c>
      <c r="X66" t="str">
        <f>IFERROR(IF(V66="","",VLOOKUP(B66,'DANH SACH UEH'!$A$3:$FE$2228,28,0)&amp;""),"")</f>
        <v/>
      </c>
      <c r="Z66" t="str">
        <f>VLOOKUP(B66,'DANH SACH UEH'!$A$3:$FE$2228,44,0)</f>
        <v>7.98</v>
      </c>
      <c r="AA66" t="str">
        <f>VLOOKUP(B66,'DANH SACH UEH'!$A$3:$FE$2228,45,0)</f>
        <v>8.32</v>
      </c>
      <c r="AB66" t="str">
        <f>VLOOKUP(B66,'DANH SACH UEH'!$A$3:$FE$2228,46,0)</f>
        <v>8.56</v>
      </c>
      <c r="AE66" t="str">
        <f>VLOOKUP(B66,'DANH SACH UEH'!$A$3:$I$2229,4,0)</f>
        <v>TÀO HOÀNG MINH</v>
      </c>
      <c r="AF66" t="str">
        <f>VLOOKUP(B66,'DANH SACH UEH'!$A$3:$I$2229,8,0)</f>
        <v>0822760225</v>
      </c>
    </row>
    <row r="67" spans="1:32" x14ac:dyDescent="0.25">
      <c r="A67">
        <v>66</v>
      </c>
      <c r="B67" t="s">
        <v>67</v>
      </c>
      <c r="C67" t="str">
        <f>VLOOKUP(B67,'DANH SACH UEH'!$A$3:$FE$2228,2,0)</f>
        <v>KSVBS2639187</v>
      </c>
      <c r="D67" t="str">
        <f>IFERROR(VLOOKUP(B67,'DS NGHIEP VU BO'!$A$3:$BX$148,6,0),"")</f>
        <v>86015559</v>
      </c>
      <c r="E67" t="str">
        <f>VLOOKUP(B67,'DS NGHIEP VU BO'!$A$3:$BX$148,45,0)</f>
        <v>Vĩnh Long</v>
      </c>
      <c r="F67" t="str">
        <f t="shared" ref="F67:F109" si="1">IF(G67&lt;&gt;"","Giải thưởng kỳ thi chọn học sinh giỏi cấp tỉnh/TP:","")</f>
        <v/>
      </c>
      <c r="G67" t="str">
        <f>IFERROR(IF(VLOOKUP(B67,'DANH SACH UEH'!$A$3:$FE$2228,18,0)="Không có","",VLOOKUP(B67,'DANH SACH UEH'!$A$3:$FE$2228,18,0)),"")</f>
        <v/>
      </c>
      <c r="H67" t="str">
        <f>IFERROR(IF(VLOOKUP(B67,'DANH SACH UEH'!$A$3:$FE$2228,20,0)="Không có","",VLOOKUP(B67,'DANH SACH UEH'!$A$3:$FE$2228,20,0)),"")</f>
        <v/>
      </c>
      <c r="I67" t="str">
        <f>IFERROR(IF(VLOOKUP(B67,'DANH SACH UEH'!$A$3:$FE$2228,19,0)="Không có","",VLOOKUP(B67,'DANH SACH UEH'!$A$3:$FE$2228,19,0)),"")</f>
        <v/>
      </c>
      <c r="J67" t="str">
        <f>VLOOKUP(B67,'DANH SACH UEH'!$A$3:$FE$2228,6,0)</f>
        <v>14/01/2008</v>
      </c>
      <c r="K67" t="str">
        <f>IF(VLOOKUP(B67,'DANH SACH UEH'!$A$3:$FE$2228,5,0)="1","Nữ","Nam")</f>
        <v>Nam</v>
      </c>
      <c r="L67" t="str">
        <f>VLOOKUP(B67,'DANH SACH UEH'!$A$3:$FE$2228,14,0)</f>
        <v>Kinh</v>
      </c>
      <c r="M67" t="str">
        <f>VLOOKUP(B67,'DANH SACH UEH'!$A$3:$FE$2228,7,0)</f>
        <v>phphong1401@gmail.com</v>
      </c>
      <c r="N67" t="str">
        <f>VLOOKUP(B67,'DANH SACH UEH'!$A$3:$FE$2228,8,0)</f>
        <v>0363644359</v>
      </c>
      <c r="O67" t="str">
        <f>IFERROR(VLOOKUP(AE67,'DS TAO MAIL'!$D$3:$M$1120,5,0),"")</f>
        <v/>
      </c>
      <c r="P67" t="str">
        <f>IFERROR(VLOOKUP(AE67,'DS TAO MAIL'!$D$3:$M$1120,8,0),"")</f>
        <v/>
      </c>
      <c r="Q67" t="str">
        <f>IFERROR(VLOOKUP(AE67,'DS TAO MAIL'!$D$3:$M$1120,7,0),"")</f>
        <v/>
      </c>
      <c r="R67" t="str">
        <f>IFERROR(VLOOKUP(AE67,'DS TAO MAIL'!$D$3:$M$1120,8,0),"")</f>
        <v/>
      </c>
      <c r="S67">
        <v>76</v>
      </c>
      <c r="U67">
        <v>75.180000000000007</v>
      </c>
      <c r="V67" t="str">
        <f>IFERROR(IF(VLOOKUP(B67,'DANH SACH UEH'!$A$3:$FE$2228,27,0)="Không có","",IF(VLOOKUP(B67,'DANH SACH UEH'!$A$3:$FE$2228,29,0)&lt;"6","",(VLOOKUP(B67,'DANH SACH UEH'!$A$3:$FE$2228,27,0)))),"")</f>
        <v/>
      </c>
      <c r="W67" t="str">
        <f>IFERROR(IF(VLOOKUP(B67,'DANH SACH UEH'!$A$3:$FE$2228,29,0)&lt;"6","",VLOOKUP(B67,'DANH SACH UEH'!$A$3:$FE$2228,29,0)),"")</f>
        <v/>
      </c>
      <c r="X67" t="str">
        <f>IFERROR(IF(V67="","",VLOOKUP(B67,'DANH SACH UEH'!$A$3:$FE$2228,28,0)&amp;""),"")</f>
        <v/>
      </c>
      <c r="Z67" t="str">
        <f>VLOOKUP(B67,'DANH SACH UEH'!$A$3:$FE$2228,44,0)</f>
        <v>8.70</v>
      </c>
      <c r="AA67" t="str">
        <f>VLOOKUP(B67,'DANH SACH UEH'!$A$3:$FE$2228,45,0)</f>
        <v>8.60</v>
      </c>
      <c r="AB67" t="str">
        <f>VLOOKUP(B67,'DANH SACH UEH'!$A$3:$FE$2228,46,0)</f>
        <v>8.43</v>
      </c>
      <c r="AE67" t="str">
        <f>VLOOKUP(B67,'DANH SACH UEH'!$A$3:$I$2229,4,0)</f>
        <v>PHẠM HOÀNG PHONG</v>
      </c>
      <c r="AF67" t="str">
        <f>VLOOKUP(B67,'DANH SACH UEH'!$A$3:$I$2229,8,0)</f>
        <v>0363644359</v>
      </c>
    </row>
    <row r="68" spans="1:32" x14ac:dyDescent="0.25">
      <c r="A68">
        <v>67</v>
      </c>
      <c r="B68" t="s">
        <v>66</v>
      </c>
      <c r="C68" t="str">
        <f>VLOOKUP(B68,'DANH SACH UEH'!$A$3:$FE$2228,2,0)</f>
        <v>KSVBS2647175</v>
      </c>
      <c r="D68" t="str">
        <f>IFERROR(VLOOKUP(B68,'DS NGHIEP VU BO'!$A$3:$BX$148,6,0),"")</f>
        <v>79045946</v>
      </c>
      <c r="E68" t="str">
        <f>VLOOKUP(B68,'DS NGHIEP VU BO'!$A$3:$BX$148,45,0)</f>
        <v>Tp. Hồ Chí Minh</v>
      </c>
      <c r="F68" t="str">
        <f t="shared" si="1"/>
        <v/>
      </c>
      <c r="G68" t="str">
        <f>IFERROR(IF(VLOOKUP(B68,'DANH SACH UEH'!$A$3:$FE$2228,18,0)="Không có","",VLOOKUP(B68,'DANH SACH UEH'!$A$3:$FE$2228,18,0)),"")</f>
        <v/>
      </c>
      <c r="H68" t="str">
        <f>IFERROR(IF(VLOOKUP(B68,'DANH SACH UEH'!$A$3:$FE$2228,20,0)="Không có","",VLOOKUP(B68,'DANH SACH UEH'!$A$3:$FE$2228,20,0)),"")</f>
        <v/>
      </c>
      <c r="I68" t="str">
        <f>IFERROR(IF(VLOOKUP(B68,'DANH SACH UEH'!$A$3:$FE$2228,19,0)="Không có","",VLOOKUP(B68,'DANH SACH UEH'!$A$3:$FE$2228,19,0)),"")</f>
        <v/>
      </c>
      <c r="J68" t="str">
        <f>VLOOKUP(B68,'DANH SACH UEH'!$A$3:$FE$2228,6,0)</f>
        <v>19/05/2008</v>
      </c>
      <c r="K68" t="str">
        <f>IF(VLOOKUP(B68,'DANH SACH UEH'!$A$3:$FE$2228,5,0)="1","Nữ","Nam")</f>
        <v>Nam</v>
      </c>
      <c r="L68" t="str">
        <f>VLOOKUP(B68,'DANH SACH UEH'!$A$3:$FE$2228,14,0)</f>
        <v>Kinh</v>
      </c>
      <c r="M68" t="str">
        <f>VLOOKUP(B68,'DANH SACH UEH'!$A$3:$FE$2228,7,0)</f>
        <v>epixgoes@gmail.com</v>
      </c>
      <c r="N68" t="str">
        <f>VLOOKUP(B68,'DANH SACH UEH'!$A$3:$FE$2228,8,0)</f>
        <v>0769712280</v>
      </c>
      <c r="O68" t="str">
        <f>IFERROR(VLOOKUP(AE68,'DS TAO MAIL'!$D$3:$M$1120,5,0),"")</f>
        <v>31261570504</v>
      </c>
      <c r="P68" t="str">
        <f>IFERROR(VLOOKUP(AE68,'DS TAO MAIL'!$D$3:$M$1120,8,0),"")</f>
        <v>10400186</v>
      </c>
      <c r="Q68" t="str">
        <f>IFERROR(VLOOKUP(AE68,'DS TAO MAIL'!$D$3:$M$1120,7,0),"")</f>
        <v>taimai.31261570504@st.ueh.edu.vn</v>
      </c>
      <c r="R68" t="str">
        <f>IFERROR(VLOOKUP(AE68,'DS TAO MAIL'!$D$3:$M$1120,8,0),"")</f>
        <v>10400186</v>
      </c>
      <c r="S68">
        <v>74.09</v>
      </c>
      <c r="U68">
        <v>72.42</v>
      </c>
      <c r="V68" t="str">
        <f>IFERROR(IF(VLOOKUP(B68,'DANH SACH UEH'!$A$3:$FE$2228,27,0)="Không có","",IF(VLOOKUP(B68,'DANH SACH UEH'!$A$3:$FE$2228,29,0)&lt;"6","",(VLOOKUP(B68,'DANH SACH UEH'!$A$3:$FE$2228,27,0)))),"")</f>
        <v/>
      </c>
      <c r="W68" t="str">
        <f>IFERROR(IF(VLOOKUP(B68,'DANH SACH UEH'!$A$3:$FE$2228,29,0)&lt;"6","",VLOOKUP(B68,'DANH SACH UEH'!$A$3:$FE$2228,29,0)),"")</f>
        <v/>
      </c>
      <c r="X68" t="str">
        <f>IFERROR(IF(V68="","",VLOOKUP(B68,'DANH SACH UEH'!$A$3:$FE$2228,28,0)&amp;""),"")</f>
        <v/>
      </c>
      <c r="Z68" t="str">
        <f>VLOOKUP(B68,'DANH SACH UEH'!$A$3:$FE$2228,44,0)</f>
        <v>6.87</v>
      </c>
      <c r="AA68" t="str">
        <f>VLOOKUP(B68,'DANH SACH UEH'!$A$3:$FE$2228,45,0)</f>
        <v>7.21</v>
      </c>
      <c r="AB68" t="str">
        <f>VLOOKUP(B68,'DANH SACH UEH'!$A$3:$FE$2228,46,0)</f>
        <v>7.78</v>
      </c>
      <c r="AE68" t="str">
        <f>VLOOKUP(B68,'DANH SACH UEH'!$A$3:$I$2229,4,0)</f>
        <v>MAI HỮU TÀI</v>
      </c>
      <c r="AF68" t="str">
        <f>VLOOKUP(B68,'DANH SACH UEH'!$A$3:$I$2229,8,0)</f>
        <v>0769712280</v>
      </c>
    </row>
    <row r="69" spans="1:32" x14ac:dyDescent="0.25">
      <c r="A69">
        <v>68</v>
      </c>
      <c r="B69" t="s">
        <v>65</v>
      </c>
      <c r="C69" t="str">
        <f>VLOOKUP(B69,'DANH SACH UEH'!$A$3:$FE$2228,2,0)</f>
        <v>KSVBS2624950</v>
      </c>
      <c r="D69" t="str">
        <f>IFERROR(VLOOKUP(B69,'DS NGHIEP VU BO'!$A$3:$BX$148,6,0),"")</f>
        <v>86022472</v>
      </c>
      <c r="E69" t="str">
        <f>VLOOKUP(B69,'DS NGHIEP VU BO'!$A$3:$BX$148,45,0)</f>
        <v>Vĩnh Long</v>
      </c>
      <c r="F69" t="str">
        <f t="shared" si="1"/>
        <v/>
      </c>
      <c r="G69" t="str">
        <f>IFERROR(IF(VLOOKUP(B69,'DANH SACH UEH'!$A$3:$FE$2228,18,0)="Không có","",VLOOKUP(B69,'DANH SACH UEH'!$A$3:$FE$2228,18,0)),"")</f>
        <v/>
      </c>
      <c r="H69" t="str">
        <f>IFERROR(IF(VLOOKUP(B69,'DANH SACH UEH'!$A$3:$FE$2228,20,0)="Không có","",VLOOKUP(B69,'DANH SACH UEH'!$A$3:$FE$2228,20,0)),"")</f>
        <v/>
      </c>
      <c r="I69" t="str">
        <f>IFERROR(IF(VLOOKUP(B69,'DANH SACH UEH'!$A$3:$FE$2228,19,0)="Không có","",VLOOKUP(B69,'DANH SACH UEH'!$A$3:$FE$2228,19,0)),"")</f>
        <v/>
      </c>
      <c r="J69" t="str">
        <f>VLOOKUP(B69,'DANH SACH UEH'!$A$3:$FE$2228,6,0)</f>
        <v>21/10/2008</v>
      </c>
      <c r="K69" t="str">
        <f>IF(VLOOKUP(B69,'DANH SACH UEH'!$A$3:$FE$2228,5,0)="1","Nữ","Nam")</f>
        <v>Nam</v>
      </c>
      <c r="L69" t="str">
        <f>VLOOKUP(B69,'DANH SACH UEH'!$A$3:$FE$2228,14,0)</f>
        <v>Kinh</v>
      </c>
      <c r="M69" t="str">
        <f>VLOOKUP(B69,'DANH SACH UEH'!$A$3:$FE$2228,7,0)</f>
        <v>phuckhanh2110@gmail.com</v>
      </c>
      <c r="N69" t="str">
        <f>VLOOKUP(B69,'DANH SACH UEH'!$A$3:$FE$2228,8,0)</f>
        <v>0765945936</v>
      </c>
      <c r="O69" t="str">
        <f>IFERROR(VLOOKUP(AE69,'DS TAO MAIL'!$D$3:$M$1120,5,0),"")</f>
        <v>31261570470</v>
      </c>
      <c r="P69" t="str">
        <f>IFERROR(VLOOKUP(AE69,'DS TAO MAIL'!$D$3:$M$1120,8,0),"")</f>
        <v>88076560</v>
      </c>
      <c r="Q69" t="str">
        <f>IFERROR(VLOOKUP(AE69,'DS TAO MAIL'!$D$3:$M$1120,7,0),"")</f>
        <v>khanhnguyen.31261570470@st.ueh.edu.vn</v>
      </c>
      <c r="R69" t="str">
        <f>IFERROR(VLOOKUP(AE69,'DS TAO MAIL'!$D$3:$M$1120,8,0),"")</f>
        <v>88076560</v>
      </c>
      <c r="S69">
        <v>80.66</v>
      </c>
      <c r="U69">
        <v>80</v>
      </c>
      <c r="V69" t="str">
        <f>IFERROR(IF(VLOOKUP(B69,'DANH SACH UEH'!$A$3:$FE$2228,27,0)="Không có","",IF(VLOOKUP(B69,'DANH SACH UEH'!$A$3:$FE$2228,29,0)&lt;"6","",(VLOOKUP(B69,'DANH SACH UEH'!$A$3:$FE$2228,27,0)))),"")</f>
        <v/>
      </c>
      <c r="W69" t="str">
        <f>IFERROR(IF(VLOOKUP(B69,'DANH SACH UEH'!$A$3:$FE$2228,29,0)&lt;"6","",VLOOKUP(B69,'DANH SACH UEH'!$A$3:$FE$2228,29,0)),"")</f>
        <v/>
      </c>
      <c r="X69" t="str">
        <f>IFERROR(IF(V69="","",VLOOKUP(B69,'DANH SACH UEH'!$A$3:$FE$2228,28,0)&amp;""),"")</f>
        <v/>
      </c>
      <c r="Z69" t="str">
        <f>VLOOKUP(B69,'DANH SACH UEH'!$A$3:$FE$2228,44,0)</f>
        <v>8.17</v>
      </c>
      <c r="AA69" t="str">
        <f>VLOOKUP(B69,'DANH SACH UEH'!$A$3:$FE$2228,45,0)</f>
        <v>7.87</v>
      </c>
      <c r="AB69" t="str">
        <f>VLOOKUP(B69,'DANH SACH UEH'!$A$3:$FE$2228,46,0)</f>
        <v>8.61</v>
      </c>
      <c r="AE69" t="str">
        <f>VLOOKUP(B69,'DANH SACH UEH'!$A$3:$I$2229,4,0)</f>
        <v>NGUYỄN PHÚC KHÁNH</v>
      </c>
      <c r="AF69" t="str">
        <f>VLOOKUP(B69,'DANH SACH UEH'!$A$3:$I$2229,8,0)</f>
        <v>0765945936</v>
      </c>
    </row>
    <row r="70" spans="1:32" x14ac:dyDescent="0.25">
      <c r="A70">
        <v>69</v>
      </c>
      <c r="B70" t="s">
        <v>64</v>
      </c>
      <c r="C70" t="str">
        <f>VLOOKUP(B70,'DANH SACH UEH'!$A$3:$FE$2228,2,0)</f>
        <v>KSVBS2608906</v>
      </c>
      <c r="D70">
        <f>IFERROR(VLOOKUP(B70,'DS NGHIEP VU BO'!$A$3:$BX$148,6,0),"")</f>
        <v>0</v>
      </c>
      <c r="E70" t="str">
        <f>VLOOKUP(B70,'DS NGHIEP VU BO'!$A$3:$BX$148,45,0)</f>
        <v>Vĩnh Long</v>
      </c>
      <c r="F70" t="str">
        <f t="shared" si="1"/>
        <v/>
      </c>
      <c r="G70" t="str">
        <f>IFERROR(IF(VLOOKUP(B70,'DANH SACH UEH'!$A$3:$FE$2228,18,0)="Không có","",VLOOKUP(B70,'DANH SACH UEH'!$A$3:$FE$2228,18,0)),"")</f>
        <v/>
      </c>
      <c r="H70" t="str">
        <f>IFERROR(IF(VLOOKUP(B70,'DANH SACH UEH'!$A$3:$FE$2228,20,0)="Không có","",VLOOKUP(B70,'DANH SACH UEH'!$A$3:$FE$2228,20,0)),"")</f>
        <v/>
      </c>
      <c r="I70" t="str">
        <f>IFERROR(IF(VLOOKUP(B70,'DANH SACH UEH'!$A$3:$FE$2228,19,0)="Không có","",VLOOKUP(B70,'DANH SACH UEH'!$A$3:$FE$2228,19,0)),"")</f>
        <v/>
      </c>
      <c r="J70" t="str">
        <f>VLOOKUP(B70,'DANH SACH UEH'!$A$3:$FE$2228,6,0)</f>
        <v>04/10/2007</v>
      </c>
      <c r="K70" t="str">
        <f>IF(VLOOKUP(B70,'DANH SACH UEH'!$A$3:$FE$2228,5,0)="1","Nữ","Nam")</f>
        <v>Nữ</v>
      </c>
      <c r="L70" t="str">
        <f>VLOOKUP(B70,'DANH SACH UEH'!$A$3:$FE$2228,14,0)</f>
        <v>Kinh</v>
      </c>
      <c r="M70" t="str">
        <f>VLOOKUP(B70,'DANH SACH UEH'!$A$3:$FE$2228,7,0)</f>
        <v>chaudiepngoctuoi@gmail.com</v>
      </c>
      <c r="N70" t="str">
        <f>VLOOKUP(B70,'DANH SACH UEH'!$A$3:$FE$2228,8,0)</f>
        <v>0907507776</v>
      </c>
      <c r="O70" t="str">
        <f>IFERROR(VLOOKUP(AF70,'DS TAO MAIL'!$A$3:$M$1120,8,0),"")</f>
        <v/>
      </c>
      <c r="P70" t="str">
        <f>IFERROR(VLOOKUP(AF70,'DS TAO MAIL'!$A$3:$M$1120,11,0),"")</f>
        <v/>
      </c>
      <c r="Q70" t="str">
        <f>IFERROR(VLOOKUP(AF70,'DS TAO MAIL'!$A$3:$M$1120,10,0),"")</f>
        <v/>
      </c>
      <c r="R70" t="str">
        <f>IFERROR(VLOOKUP(AF70,'DS TAO MAIL'!$A$3:$M$1120,11,0),"")</f>
        <v/>
      </c>
      <c r="S70">
        <v>66.510000000000005</v>
      </c>
      <c r="U70">
        <v>64.84</v>
      </c>
      <c r="V70" t="str">
        <f>IFERROR(IF(VLOOKUP(B70,'DANH SACH UEH'!$A$3:$FE$2228,27,0)="Không có","",IF(VLOOKUP(B70,'DANH SACH UEH'!$A$3:$FE$2228,29,0)&lt;"6","",(VLOOKUP(B70,'DANH SACH UEH'!$A$3:$FE$2228,27,0)))),"")</f>
        <v/>
      </c>
      <c r="W70" t="str">
        <f>IFERROR(IF(VLOOKUP(B70,'DANH SACH UEH'!$A$3:$FE$2228,29,0)&lt;"6","",VLOOKUP(B70,'DANH SACH UEH'!$A$3:$FE$2228,29,0)),"")</f>
        <v/>
      </c>
      <c r="X70" t="str">
        <f>IFERROR(IF(V70="","",VLOOKUP(B70,'DANH SACH UEH'!$A$3:$FE$2228,28,0)&amp;""),"")</f>
        <v/>
      </c>
      <c r="Z70" t="str">
        <f>VLOOKUP(B70,'DANH SACH UEH'!$A$3:$FE$2228,44,0)</f>
        <v>8.43</v>
      </c>
      <c r="AA70" t="str">
        <f>VLOOKUP(B70,'DANH SACH UEH'!$A$3:$FE$2228,45,0)</f>
        <v>8.46</v>
      </c>
      <c r="AB70" t="str">
        <f>VLOOKUP(B70,'DANH SACH UEH'!$A$3:$FE$2228,46,0)</f>
        <v>8.03</v>
      </c>
      <c r="AE70" t="str">
        <f>VLOOKUP(B70,'DANH SACH UEH'!$A$3:$I$2229,4,0)</f>
        <v>CHÂU DIỆP NGỌC TƯƠI</v>
      </c>
      <c r="AF70" t="str">
        <f>VLOOKUP(B70,'DANH SACH UEH'!$A$3:$I$2229,8,0)</f>
        <v>0907507776</v>
      </c>
    </row>
    <row r="71" spans="1:32" x14ac:dyDescent="0.25">
      <c r="A71">
        <v>70</v>
      </c>
      <c r="B71" t="s">
        <v>63</v>
      </c>
      <c r="C71" t="str">
        <f>VLOOKUP(B71,'DANH SACH UEH'!$A$3:$FE$2228,2,0)</f>
        <v>KSVBS2611886</v>
      </c>
      <c r="D71" t="str">
        <f>IFERROR(VLOOKUP(B71,'DS NGHIEP VU BO'!$A$3:$BX$148,6,0),"")</f>
        <v>91022174</v>
      </c>
      <c r="E71" t="str">
        <f>VLOOKUP(B71,'DS NGHIEP VU BO'!$A$3:$BX$148,45,0)</f>
        <v>An Giang</v>
      </c>
      <c r="F71" t="str">
        <f t="shared" si="1"/>
        <v/>
      </c>
      <c r="G71" t="str">
        <f>IFERROR(IF(VLOOKUP(B71,'DANH SACH UEH'!$A$3:$FE$2228,18,0)="Không có","",VLOOKUP(B71,'DANH SACH UEH'!$A$3:$FE$2228,18,0)),"")</f>
        <v/>
      </c>
      <c r="H71" t="str">
        <f>IFERROR(IF(VLOOKUP(B71,'DANH SACH UEH'!$A$3:$FE$2228,20,0)="Không có","",VLOOKUP(B71,'DANH SACH UEH'!$A$3:$FE$2228,20,0)),"")</f>
        <v/>
      </c>
      <c r="I71" t="str">
        <f>IFERROR(IF(VLOOKUP(B71,'DANH SACH UEH'!$A$3:$FE$2228,19,0)="Không có","",VLOOKUP(B71,'DANH SACH UEH'!$A$3:$FE$2228,19,0)),"")</f>
        <v/>
      </c>
      <c r="J71" t="str">
        <f>VLOOKUP(B71,'DANH SACH UEH'!$A$3:$FE$2228,6,0)</f>
        <v>01/01/2008</v>
      </c>
      <c r="K71" t="str">
        <f>IF(VLOOKUP(B71,'DANH SACH UEH'!$A$3:$FE$2228,5,0)="1","Nữ","Nam")</f>
        <v>Nữ</v>
      </c>
      <c r="L71" t="str">
        <f>VLOOKUP(B71,'DANH SACH UEH'!$A$3:$FE$2228,14,0)</f>
        <v>Kinh</v>
      </c>
      <c r="M71" t="str">
        <f>VLOOKUP(B71,'DANH SACH UEH'!$A$3:$FE$2228,7,0)</f>
        <v>dophuongvyag2008@gmail.com</v>
      </c>
      <c r="N71" t="str">
        <f>VLOOKUP(B71,'DANH SACH UEH'!$A$3:$FE$2228,8,0)</f>
        <v>0974510157</v>
      </c>
      <c r="O71" t="str">
        <f>IFERROR(VLOOKUP(AE71,'DS TAO MAIL'!$D$3:$M$1120,5,0),"")</f>
        <v/>
      </c>
      <c r="P71" t="str">
        <f>IFERROR(VLOOKUP(AE71,'DS TAO MAIL'!$D$3:$M$1120,8,0),"")</f>
        <v/>
      </c>
      <c r="Q71" t="str">
        <f>IFERROR(VLOOKUP(AE71,'DS TAO MAIL'!$D$3:$M$1120,7,0),"")</f>
        <v/>
      </c>
      <c r="R71" t="str">
        <f>IFERROR(VLOOKUP(AE71,'DS TAO MAIL'!$D$3:$M$1120,8,0),"")</f>
        <v/>
      </c>
      <c r="S71">
        <v>73.05</v>
      </c>
      <c r="U71">
        <v>71.38</v>
      </c>
      <c r="V71" t="str">
        <f>IFERROR(IF(VLOOKUP(B71,'DANH SACH UEH'!$A$3:$FE$2228,27,0)="Không có","",IF(VLOOKUP(B71,'DANH SACH UEH'!$A$3:$FE$2228,29,0)&lt;"6","",(VLOOKUP(B71,'DANH SACH UEH'!$A$3:$FE$2228,27,0)))),"")</f>
        <v/>
      </c>
      <c r="W71" t="str">
        <f>IFERROR(IF(VLOOKUP(B71,'DANH SACH UEH'!$A$3:$FE$2228,29,0)&lt;"6","",VLOOKUP(B71,'DANH SACH UEH'!$A$3:$FE$2228,29,0)),"")</f>
        <v/>
      </c>
      <c r="X71" t="str">
        <f>IFERROR(IF(V71="","",VLOOKUP(B71,'DANH SACH UEH'!$A$3:$FE$2228,28,0)&amp;""),"")</f>
        <v/>
      </c>
      <c r="Z71" t="str">
        <f>VLOOKUP(B71,'DANH SACH UEH'!$A$3:$FE$2228,44,0)</f>
        <v>7.81</v>
      </c>
      <c r="AA71" t="str">
        <f>VLOOKUP(B71,'DANH SACH UEH'!$A$3:$FE$2228,45,0)</f>
        <v>7.57</v>
      </c>
      <c r="AB71" t="str">
        <f>VLOOKUP(B71,'DANH SACH UEH'!$A$3:$FE$2228,46,0)</f>
        <v>7.16</v>
      </c>
      <c r="AE71" t="str">
        <f>VLOOKUP(B71,'DANH SACH UEH'!$A$3:$I$2229,4,0)</f>
        <v>ĐỖ PHƯƠNG VY</v>
      </c>
      <c r="AF71" t="str">
        <f>VLOOKUP(B71,'DANH SACH UEH'!$A$3:$I$2229,8,0)</f>
        <v>0974510157</v>
      </c>
    </row>
    <row r="72" spans="1:32" x14ac:dyDescent="0.25">
      <c r="A72">
        <v>71</v>
      </c>
      <c r="B72" t="s">
        <v>62</v>
      </c>
      <c r="C72" t="str">
        <f>VLOOKUP(B72,'DANH SACH UEH'!$A$3:$FE$2228,2,0)</f>
        <v>KSVBS2638358</v>
      </c>
      <c r="D72" t="str">
        <f>IFERROR(VLOOKUP(B72,'DS NGHIEP VU BO'!$A$3:$BX$148,6,0),"")</f>
        <v>86022886</v>
      </c>
      <c r="E72" t="str">
        <f>VLOOKUP(B72,'DS NGHIEP VU BO'!$A$3:$BX$148,45,0)</f>
        <v>Vĩnh Long</v>
      </c>
      <c r="F72" t="str">
        <f t="shared" si="1"/>
        <v/>
      </c>
      <c r="G72" t="str">
        <f>IFERROR(IF(VLOOKUP(B72,'DANH SACH UEH'!$A$3:$FE$2228,18,0)="Không có","",VLOOKUP(B72,'DANH SACH UEH'!$A$3:$FE$2228,18,0)),"")</f>
        <v/>
      </c>
      <c r="H72" t="str">
        <f>IFERROR(IF(VLOOKUP(B72,'DANH SACH UEH'!$A$3:$FE$2228,20,0)="Không có","",VLOOKUP(B72,'DANH SACH UEH'!$A$3:$FE$2228,20,0)),"")</f>
        <v/>
      </c>
      <c r="I72" t="str">
        <f>IFERROR(IF(VLOOKUP(B72,'DANH SACH UEH'!$A$3:$FE$2228,19,0)="Không có","",VLOOKUP(B72,'DANH SACH UEH'!$A$3:$FE$2228,19,0)),"")</f>
        <v/>
      </c>
      <c r="J72" t="str">
        <f>VLOOKUP(B72,'DANH SACH UEH'!$A$3:$FE$2228,6,0)</f>
        <v>19/10/2008</v>
      </c>
      <c r="K72" t="str">
        <f>IF(VLOOKUP(B72,'DANH SACH UEH'!$A$3:$FE$2228,5,0)="1","Nữ","Nam")</f>
        <v>Nữ</v>
      </c>
      <c r="L72" t="str">
        <f>VLOOKUP(B72,'DANH SACH UEH'!$A$3:$FE$2228,14,0)</f>
        <v>Kinh</v>
      </c>
      <c r="M72" t="str">
        <f>VLOOKUP(B72,'DANH SACH UEH'!$A$3:$FE$2228,7,0)</f>
        <v>ptruc1967@gmail.com</v>
      </c>
      <c r="N72" t="str">
        <f>VLOOKUP(B72,'DANH SACH UEH'!$A$3:$FE$2228,8,0)</f>
        <v>0919969394</v>
      </c>
      <c r="O72" t="str">
        <f>IFERROR(VLOOKUP(AE72,'DS TAO MAIL'!$D$3:$M$1120,5,0),"")</f>
        <v>31261570475</v>
      </c>
      <c r="P72" t="str">
        <f>IFERROR(VLOOKUP(AE72,'DS TAO MAIL'!$D$3:$M$1120,8,0),"")</f>
        <v>35496455</v>
      </c>
      <c r="Q72" t="str">
        <f>IFERROR(VLOOKUP(AE72,'DS TAO MAIL'!$D$3:$M$1120,7,0),"")</f>
        <v>phuongdang.31261570475@st.ueh.edu.vn</v>
      </c>
      <c r="R72" t="str">
        <f>IFERROR(VLOOKUP(AE72,'DS TAO MAIL'!$D$3:$M$1120,8,0),"")</f>
        <v>35496455</v>
      </c>
      <c r="S72">
        <v>68.25</v>
      </c>
      <c r="U72">
        <v>66.58</v>
      </c>
      <c r="V72" t="str">
        <f>IFERROR(IF(VLOOKUP(B72,'DANH SACH UEH'!$A$3:$FE$2228,27,0)="Không có","",IF(VLOOKUP(B72,'DANH SACH UEH'!$A$3:$FE$2228,29,0)&lt;"6","",(VLOOKUP(B72,'DANH SACH UEH'!$A$3:$FE$2228,27,0)))),"")</f>
        <v/>
      </c>
      <c r="W72" t="str">
        <f>IFERROR(IF(VLOOKUP(B72,'DANH SACH UEH'!$A$3:$FE$2228,29,0)&lt;"6","",VLOOKUP(B72,'DANH SACH UEH'!$A$3:$FE$2228,29,0)),"")</f>
        <v/>
      </c>
      <c r="X72" t="str">
        <f>IFERROR(IF(V72="","",VLOOKUP(B72,'DANH SACH UEH'!$A$3:$FE$2228,28,0)&amp;""),"")</f>
        <v/>
      </c>
      <c r="Z72" t="str">
        <f>VLOOKUP(B72,'DANH SACH UEH'!$A$3:$FE$2228,44,0)</f>
        <v>8.17</v>
      </c>
      <c r="AA72" t="str">
        <f>VLOOKUP(B72,'DANH SACH UEH'!$A$3:$FE$2228,45,0)</f>
        <v>8.98</v>
      </c>
      <c r="AB72" t="str">
        <f>VLOOKUP(B72,'DANH SACH UEH'!$A$3:$FE$2228,46,0)</f>
        <v>9.12</v>
      </c>
      <c r="AE72" t="str">
        <f>VLOOKUP(B72,'DANH SACH UEH'!$A$3:$I$2229,4,0)</f>
        <v>ĐẶNG HUỲNH TRÚC PHƯƠNG</v>
      </c>
      <c r="AF72" t="str">
        <f>VLOOKUP(B72,'DANH SACH UEH'!$A$3:$I$2229,8,0)</f>
        <v>0919969394</v>
      </c>
    </row>
    <row r="73" spans="1:32" x14ac:dyDescent="0.25">
      <c r="A73">
        <v>72</v>
      </c>
      <c r="B73" t="s">
        <v>61</v>
      </c>
      <c r="C73" t="str">
        <f>VLOOKUP(B73,'DANH SACH UEH'!$A$3:$FE$2228,2,0)</f>
        <v>KSVBS2609596</v>
      </c>
      <c r="D73" t="str">
        <f>IFERROR(VLOOKUP(B73,'DS NGHIEP VU BO'!$A$3:$BX$148,6,0),"")</f>
        <v>86013991</v>
      </c>
      <c r="E73" t="str">
        <f>VLOOKUP(B73,'DS NGHIEP VU BO'!$A$3:$BX$148,45,0)</f>
        <v>Vĩnh Long</v>
      </c>
      <c r="F73" t="str">
        <f t="shared" si="1"/>
        <v/>
      </c>
      <c r="G73" t="str">
        <f>IFERROR(IF(VLOOKUP(B73,'DANH SACH UEH'!$A$3:$FE$2228,18,0)="Không có","",VLOOKUP(B73,'DANH SACH UEH'!$A$3:$FE$2228,18,0)),"")</f>
        <v/>
      </c>
      <c r="H73" t="str">
        <f>IFERROR(IF(VLOOKUP(B73,'DANH SACH UEH'!$A$3:$FE$2228,20,0)="Không có","",VLOOKUP(B73,'DANH SACH UEH'!$A$3:$FE$2228,20,0)),"")</f>
        <v/>
      </c>
      <c r="I73" t="str">
        <f>IFERROR(IF(VLOOKUP(B73,'DANH SACH UEH'!$A$3:$FE$2228,19,0)="Không có","",VLOOKUP(B73,'DANH SACH UEH'!$A$3:$FE$2228,19,0)),"")</f>
        <v/>
      </c>
      <c r="J73" t="str">
        <f>VLOOKUP(B73,'DANH SACH UEH'!$A$3:$FE$2228,6,0)</f>
        <v>10/04/2008</v>
      </c>
      <c r="K73" t="str">
        <f>IF(VLOOKUP(B73,'DANH SACH UEH'!$A$3:$FE$2228,5,0)="1","Nữ","Nam")</f>
        <v>Nữ</v>
      </c>
      <c r="L73" t="str">
        <f>VLOOKUP(B73,'DANH SACH UEH'!$A$3:$FE$2228,14,0)</f>
        <v>Kinh</v>
      </c>
      <c r="M73" t="str">
        <f>VLOOKUP(B73,'DANH SACH UEH'!$A$3:$FE$2228,7,0)</f>
        <v>thluu0410@gmail.com</v>
      </c>
      <c r="N73" t="str">
        <f>VLOOKUP(B73,'DANH SACH UEH'!$A$3:$FE$2228,8,0)</f>
        <v>0772168769</v>
      </c>
      <c r="O73" t="str">
        <f>IFERROR(VLOOKUP(AE73,'DS TAO MAIL'!$D$3:$M$1120,5,0),"")</f>
        <v>31261570472</v>
      </c>
      <c r="P73" t="str">
        <f>IFERROR(VLOOKUP(AE73,'DS TAO MAIL'!$D$3:$M$1120,8,0),"")</f>
        <v>29592287</v>
      </c>
      <c r="Q73" t="str">
        <f>IFERROR(VLOOKUP(AE73,'DS TAO MAIL'!$D$3:$M$1120,7,0),"")</f>
        <v>thuluu.31261570472@st.ueh.edu.vn</v>
      </c>
      <c r="R73" t="str">
        <f>IFERROR(VLOOKUP(AE73,'DS TAO MAIL'!$D$3:$M$1120,8,0),"")</f>
        <v>29592287</v>
      </c>
      <c r="S73">
        <v>66.709999999999994</v>
      </c>
      <c r="U73">
        <v>65.040000000000006</v>
      </c>
      <c r="V73" t="str">
        <f>IFERROR(IF(VLOOKUP(B73,'DANH SACH UEH'!$A$3:$FE$2228,27,0)="Không có","",IF(VLOOKUP(B73,'DANH SACH UEH'!$A$3:$FE$2228,29,0)&lt;"6","",(VLOOKUP(B73,'DANH SACH UEH'!$A$3:$FE$2228,27,0)))),"")</f>
        <v/>
      </c>
      <c r="W73" t="str">
        <f>IFERROR(IF(VLOOKUP(B73,'DANH SACH UEH'!$A$3:$FE$2228,29,0)&lt;"6","",VLOOKUP(B73,'DANH SACH UEH'!$A$3:$FE$2228,29,0)),"")</f>
        <v/>
      </c>
      <c r="X73" t="str">
        <f>IFERROR(IF(V73="","",VLOOKUP(B73,'DANH SACH UEH'!$A$3:$FE$2228,28,0)&amp;""),"")</f>
        <v/>
      </c>
      <c r="Z73" t="str">
        <f>VLOOKUP(B73,'DANH SACH UEH'!$A$3:$FE$2228,44,0)</f>
        <v>8.47</v>
      </c>
      <c r="AA73" t="str">
        <f>VLOOKUP(B73,'DANH SACH UEH'!$A$3:$FE$2228,45,0)</f>
        <v>8.87</v>
      </c>
      <c r="AB73" t="str">
        <f>VLOOKUP(B73,'DANH SACH UEH'!$A$3:$FE$2228,46,0)</f>
        <v>9.01</v>
      </c>
      <c r="AE73" t="str">
        <f>VLOOKUP(B73,'DANH SACH UEH'!$A$3:$I$2229,4,0)</f>
        <v>LƯU ANH THƯ</v>
      </c>
      <c r="AF73" t="str">
        <f>VLOOKUP(B73,'DANH SACH UEH'!$A$3:$I$2229,8,0)</f>
        <v>0772168769</v>
      </c>
    </row>
    <row r="74" spans="1:32" x14ac:dyDescent="0.25">
      <c r="A74">
        <v>73</v>
      </c>
      <c r="B74" t="s">
        <v>60</v>
      </c>
      <c r="C74" t="str">
        <f>VLOOKUP(B74,'DANH SACH UEH'!$A$3:$FE$2228,2,0)</f>
        <v>KSVBS2620480</v>
      </c>
      <c r="D74" t="str">
        <f>IFERROR(VLOOKUP(B74,'DS NGHIEP VU BO'!$A$3:$BX$148,6,0),"")</f>
        <v>86022658</v>
      </c>
      <c r="E74" t="str">
        <f>VLOOKUP(B74,'DS NGHIEP VU BO'!$A$3:$BX$148,45,0)</f>
        <v>Vĩnh Long</v>
      </c>
      <c r="F74" t="str">
        <f t="shared" si="1"/>
        <v/>
      </c>
      <c r="G74" t="str">
        <f>IFERROR(IF(VLOOKUP(B74,'DANH SACH UEH'!$A$3:$FE$2228,18,0)="Không có","",VLOOKUP(B74,'DANH SACH UEH'!$A$3:$FE$2228,18,0)),"")</f>
        <v/>
      </c>
      <c r="H74" t="str">
        <f>IFERROR(IF(VLOOKUP(B74,'DANH SACH UEH'!$A$3:$FE$2228,20,0)="Không có","",VLOOKUP(B74,'DANH SACH UEH'!$A$3:$FE$2228,20,0)),"")</f>
        <v/>
      </c>
      <c r="I74" t="str">
        <f>IFERROR(IF(VLOOKUP(B74,'DANH SACH UEH'!$A$3:$FE$2228,19,0)="Không có","",VLOOKUP(B74,'DANH SACH UEH'!$A$3:$FE$2228,19,0)),"")</f>
        <v/>
      </c>
      <c r="J74" t="str">
        <f>VLOOKUP(B74,'DANH SACH UEH'!$A$3:$FE$2228,6,0)</f>
        <v>06/12/2008</v>
      </c>
      <c r="K74" t="str">
        <f>IF(VLOOKUP(B74,'DANH SACH UEH'!$A$3:$FE$2228,5,0)="1","Nữ","Nam")</f>
        <v>Nữ</v>
      </c>
      <c r="L74" t="str">
        <f>VLOOKUP(B74,'DANH SACH UEH'!$A$3:$FE$2228,14,0)</f>
        <v>Kinh</v>
      </c>
      <c r="M74" t="str">
        <f>VLOOKUP(B74,'DANH SACH UEH'!$A$3:$FE$2228,7,0)</f>
        <v>ait47748@gmail.com</v>
      </c>
      <c r="N74" t="str">
        <f>VLOOKUP(B74,'DANH SACH UEH'!$A$3:$FE$2228,8,0)</f>
        <v>0795926478</v>
      </c>
      <c r="O74" t="str">
        <f>IFERROR(VLOOKUP(AE74,'DS TAO MAIL'!$D$3:$M$1120,5,0),"")</f>
        <v>31261570479</v>
      </c>
      <c r="P74" t="str">
        <f>IFERROR(VLOOKUP(AE74,'DS TAO MAIL'!$D$3:$M$1120,8,0),"")</f>
        <v>29239557</v>
      </c>
      <c r="Q74" t="str">
        <f>IFERROR(VLOOKUP(AE74,'DS TAO MAIL'!$D$3:$M$1120,7,0),"")</f>
        <v>anhle.31261570479@st.ueh.edu.vn</v>
      </c>
      <c r="R74" t="str">
        <f>IFERROR(VLOOKUP(AE74,'DS TAO MAIL'!$D$3:$M$1120,8,0),"")</f>
        <v>29239557</v>
      </c>
      <c r="S74">
        <v>69.75</v>
      </c>
      <c r="U74">
        <v>68.92</v>
      </c>
      <c r="V74" t="str">
        <f>IFERROR(IF(VLOOKUP(B74,'DANH SACH UEH'!$A$3:$FE$2228,27,0)="Không có","",IF(VLOOKUP(B74,'DANH SACH UEH'!$A$3:$FE$2228,29,0)&lt;"6","",(VLOOKUP(B74,'DANH SACH UEH'!$A$3:$FE$2228,27,0)))),"")</f>
        <v/>
      </c>
      <c r="W74" t="str">
        <f>IFERROR(IF(VLOOKUP(B74,'DANH SACH UEH'!$A$3:$FE$2228,29,0)&lt;"6","",VLOOKUP(B74,'DANH SACH UEH'!$A$3:$FE$2228,29,0)),"")</f>
        <v/>
      </c>
      <c r="X74" t="str">
        <f>IFERROR(IF(V74="","",VLOOKUP(B74,'DANH SACH UEH'!$A$3:$FE$2228,28,0)&amp;""),"")</f>
        <v/>
      </c>
      <c r="Z74" t="str">
        <f>VLOOKUP(B74,'DANH SACH UEH'!$A$3:$FE$2228,44,0)</f>
        <v>8.36</v>
      </c>
      <c r="AA74" t="str">
        <f>VLOOKUP(B74,'DANH SACH UEH'!$A$3:$FE$2228,45,0)</f>
        <v>8.65</v>
      </c>
      <c r="AB74" t="str">
        <f>VLOOKUP(B74,'DANH SACH UEH'!$A$3:$FE$2228,46,0)</f>
        <v>8.80</v>
      </c>
      <c r="AE74" t="str">
        <f>VLOOKUP(B74,'DANH SACH UEH'!$A$3:$I$2229,4,0)</f>
        <v>LÊ THỊ NGỌC ÁNH</v>
      </c>
      <c r="AF74" t="str">
        <f>VLOOKUP(B74,'DANH SACH UEH'!$A$3:$I$2229,8,0)</f>
        <v>0795926478</v>
      </c>
    </row>
    <row r="75" spans="1:32" x14ac:dyDescent="0.25">
      <c r="A75">
        <v>74</v>
      </c>
      <c r="B75" t="s">
        <v>59</v>
      </c>
      <c r="C75" t="str">
        <f>VLOOKUP(B75,'DANH SACH UEH'!$A$3:$FE$2228,2,0)</f>
        <v>KSVBS2638777</v>
      </c>
      <c r="D75" t="str">
        <f>IFERROR(VLOOKUP(B75,'DS NGHIEP VU BO'!$A$3:$BX$148,6,0),"")</f>
        <v>86013671</v>
      </c>
      <c r="E75" t="str">
        <f>VLOOKUP(B75,'DS NGHIEP VU BO'!$A$3:$BX$148,45,0)</f>
        <v>Vĩnh Long</v>
      </c>
      <c r="F75" t="str">
        <f t="shared" si="1"/>
        <v/>
      </c>
      <c r="G75" t="str">
        <f>IFERROR(IF(VLOOKUP(B75,'DANH SACH UEH'!$A$3:$FE$2228,18,0)="Không có","",VLOOKUP(B75,'DANH SACH UEH'!$A$3:$FE$2228,18,0)),"")</f>
        <v/>
      </c>
      <c r="H75" t="str">
        <f>IFERROR(IF(VLOOKUP(B75,'DANH SACH UEH'!$A$3:$FE$2228,20,0)="Không có","",VLOOKUP(B75,'DANH SACH UEH'!$A$3:$FE$2228,20,0)),"")</f>
        <v/>
      </c>
      <c r="I75" t="str">
        <f>IFERROR(IF(VLOOKUP(B75,'DANH SACH UEH'!$A$3:$FE$2228,19,0)="Không có","",VLOOKUP(B75,'DANH SACH UEH'!$A$3:$FE$2228,19,0)),"")</f>
        <v/>
      </c>
      <c r="J75" t="str">
        <f>VLOOKUP(B75,'DANH SACH UEH'!$A$3:$FE$2228,6,0)</f>
        <v>23/04/2008</v>
      </c>
      <c r="K75" t="str">
        <f>IF(VLOOKUP(B75,'DANH SACH UEH'!$A$3:$FE$2228,5,0)="1","Nữ","Nam")</f>
        <v>Nữ</v>
      </c>
      <c r="L75" t="str">
        <f>VLOOKUP(B75,'DANH SACH UEH'!$A$3:$FE$2228,14,0)</f>
        <v>Kinh</v>
      </c>
      <c r="M75" t="str">
        <f>VLOOKUP(B75,'DANH SACH UEH'!$A$3:$FE$2228,7,0)</f>
        <v>lemy123vl@gmail.com</v>
      </c>
      <c r="N75" t="str">
        <f>VLOOKUP(B75,'DANH SACH UEH'!$A$3:$FE$2228,8,0)</f>
        <v>0939889906</v>
      </c>
      <c r="O75" t="str">
        <f>IFERROR(VLOOKUP(AE75,'DS TAO MAIL'!$D$3:$M$1120,5,0),"")</f>
        <v>31261570492</v>
      </c>
      <c r="P75" t="str">
        <f>IFERROR(VLOOKUP(AE75,'DS TAO MAIL'!$D$3:$M$1120,8,0),"")</f>
        <v>47956323</v>
      </c>
      <c r="Q75" t="str">
        <f>IFERROR(VLOOKUP(AE75,'DS TAO MAIL'!$D$3:$M$1120,7,0),"")</f>
        <v>myle.31261570492@st.ueh.edu.vn</v>
      </c>
      <c r="R75" t="str">
        <f>IFERROR(VLOOKUP(AE75,'DS TAO MAIL'!$D$3:$M$1120,8,0),"")</f>
        <v>47956323</v>
      </c>
      <c r="S75">
        <v>72.13</v>
      </c>
      <c r="U75">
        <v>71.3</v>
      </c>
      <c r="V75" t="str">
        <f>IFERROR(IF(VLOOKUP(B75,'DANH SACH UEH'!$A$3:$FE$2228,27,0)="Không có","",IF(VLOOKUP(B75,'DANH SACH UEH'!$A$3:$FE$2228,29,0)&lt;"6","",(VLOOKUP(B75,'DANH SACH UEH'!$A$3:$FE$2228,27,0)))),"")</f>
        <v/>
      </c>
      <c r="W75" t="str">
        <f>IFERROR(IF(VLOOKUP(B75,'DANH SACH UEH'!$A$3:$FE$2228,29,0)&lt;"6","",VLOOKUP(B75,'DANH SACH UEH'!$A$3:$FE$2228,29,0)),"")</f>
        <v/>
      </c>
      <c r="X75" t="str">
        <f>IFERROR(IF(V75="","",VLOOKUP(B75,'DANH SACH UEH'!$A$3:$FE$2228,28,0)&amp;""),"")</f>
        <v/>
      </c>
      <c r="Z75" t="str">
        <f>VLOOKUP(B75,'DANH SACH UEH'!$A$3:$FE$2228,44,0)</f>
        <v>8.81</v>
      </c>
      <c r="AA75" t="str">
        <f>VLOOKUP(B75,'DANH SACH UEH'!$A$3:$FE$2228,45,0)</f>
        <v>8.73</v>
      </c>
      <c r="AB75" t="str">
        <f>VLOOKUP(B75,'DANH SACH UEH'!$A$3:$FE$2228,46,0)</f>
        <v>8.74</v>
      </c>
      <c r="AE75" t="str">
        <f>VLOOKUP(B75,'DANH SACH UEH'!$A$3:$I$2229,4,0)</f>
        <v>LÊ NGỌC HÀ MY</v>
      </c>
      <c r="AF75" t="str">
        <f>VLOOKUP(B75,'DANH SACH UEH'!$A$3:$I$2229,8,0)</f>
        <v>0939889906</v>
      </c>
    </row>
    <row r="76" spans="1:32" x14ac:dyDescent="0.25">
      <c r="A76">
        <v>75</v>
      </c>
      <c r="B76" t="s">
        <v>57</v>
      </c>
      <c r="C76" t="str">
        <f>VLOOKUP(B76,'DANH SACH UEH'!$A$3:$FE$2228,2,0)</f>
        <v>KSVBS2605793</v>
      </c>
      <c r="D76" t="str">
        <f>IFERROR(VLOOKUP(B76,'DS NGHIEP VU BO'!$A$3:$BX$148,6,0),"")</f>
        <v>86024812</v>
      </c>
      <c r="E76" t="str">
        <f>VLOOKUP(B76,'DS NGHIEP VU BO'!$A$3:$BX$148,45,0)</f>
        <v>Vĩnh Long</v>
      </c>
      <c r="F76" t="str">
        <f t="shared" si="1"/>
        <v/>
      </c>
      <c r="G76" t="str">
        <f>IFERROR(IF(VLOOKUP(B76,'DANH SACH UEH'!$A$3:$FE$2228,18,0)="Không có","",VLOOKUP(B76,'DANH SACH UEH'!$A$3:$FE$2228,18,0)),"")</f>
        <v/>
      </c>
      <c r="H76" t="str">
        <f>IFERROR(IF(VLOOKUP(B76,'DANH SACH UEH'!$A$3:$FE$2228,20,0)="Không có","",VLOOKUP(B76,'DANH SACH UEH'!$A$3:$FE$2228,20,0)),"")</f>
        <v/>
      </c>
      <c r="I76" t="str">
        <f>IFERROR(IF(VLOOKUP(B76,'DANH SACH UEH'!$A$3:$FE$2228,19,0)="Không có","",VLOOKUP(B76,'DANH SACH UEH'!$A$3:$FE$2228,19,0)),"")</f>
        <v/>
      </c>
      <c r="J76" t="str">
        <f>VLOOKUP(B76,'DANH SACH UEH'!$A$3:$FE$2228,6,0)</f>
        <v>25/06/2008</v>
      </c>
      <c r="K76" t="str">
        <f>IF(VLOOKUP(B76,'DANH SACH UEH'!$A$3:$FE$2228,5,0)="1","Nữ","Nam")</f>
        <v>Nữ</v>
      </c>
      <c r="L76" t="str">
        <f>VLOOKUP(B76,'DANH SACH UEH'!$A$3:$FE$2228,14,0)</f>
        <v>Kinh</v>
      </c>
      <c r="M76" t="str">
        <f>VLOOKUP(B76,'DANH SACH UEH'!$A$3:$FE$2228,7,0)</f>
        <v>panh07787@gmail.com</v>
      </c>
      <c r="N76" t="str">
        <f>VLOOKUP(B76,'DANH SACH UEH'!$A$3:$FE$2228,8,0)</f>
        <v>0369562288</v>
      </c>
      <c r="O76" t="str">
        <f>IFERROR(VLOOKUP(AE76,'DS TAO MAIL'!$D$3:$M$1120,5,0),"")</f>
        <v/>
      </c>
      <c r="P76" t="str">
        <f>IFERROR(VLOOKUP(AE76,'DS TAO MAIL'!$D$3:$M$1120,8,0),"")</f>
        <v/>
      </c>
      <c r="Q76" t="str">
        <f>IFERROR(VLOOKUP(AE76,'DS TAO MAIL'!$D$3:$M$1120,7,0),"")</f>
        <v/>
      </c>
      <c r="R76" t="str">
        <f>IFERROR(VLOOKUP(AE76,'DS TAO MAIL'!$D$3:$M$1120,8,0),"")</f>
        <v/>
      </c>
      <c r="S76">
        <v>72.31</v>
      </c>
      <c r="U76">
        <v>70.64</v>
      </c>
      <c r="V76" t="str">
        <f>IFERROR(IF(VLOOKUP(B76,'DANH SACH UEH'!$A$3:$FE$2228,27,0)="Không có","",IF(VLOOKUP(B76,'DANH SACH UEH'!$A$3:$FE$2228,29,0)&lt;"6","",(VLOOKUP(B76,'DANH SACH UEH'!$A$3:$FE$2228,27,0)))),"")</f>
        <v/>
      </c>
      <c r="W76" t="str">
        <f>IFERROR(IF(VLOOKUP(B76,'DANH SACH UEH'!$A$3:$FE$2228,29,0)&lt;"6","",VLOOKUP(B76,'DANH SACH UEH'!$A$3:$FE$2228,29,0)),"")</f>
        <v/>
      </c>
      <c r="X76" t="str">
        <f>IFERROR(IF(V76="","",VLOOKUP(B76,'DANH SACH UEH'!$A$3:$FE$2228,28,0)&amp;""),"")</f>
        <v/>
      </c>
      <c r="Z76" t="str">
        <f>VLOOKUP(B76,'DANH SACH UEH'!$A$3:$FE$2228,44,0)</f>
        <v>7.58</v>
      </c>
      <c r="AA76" t="str">
        <f>VLOOKUP(B76,'DANH SACH UEH'!$A$3:$FE$2228,45,0)</f>
        <v>7.88</v>
      </c>
      <c r="AB76" t="str">
        <f>VLOOKUP(B76,'DANH SACH UEH'!$A$3:$FE$2228,46,0)</f>
        <v>8.53</v>
      </c>
      <c r="AE76" t="str">
        <f>VLOOKUP(B76,'DANH SACH UEH'!$A$3:$I$2229,4,0)</f>
        <v>NGÔ THỊ ANH THƯ</v>
      </c>
      <c r="AF76" t="str">
        <f>VLOOKUP(B76,'DANH SACH UEH'!$A$3:$I$2229,8,0)</f>
        <v>0369562288</v>
      </c>
    </row>
    <row r="77" spans="1:32" x14ac:dyDescent="0.25">
      <c r="A77">
        <v>76</v>
      </c>
      <c r="B77" t="s">
        <v>54</v>
      </c>
      <c r="C77" t="str">
        <f>VLOOKUP(B77,'DANH SACH UEH'!$A$3:$FE$2228,2,0)</f>
        <v>KSVBS2618146</v>
      </c>
      <c r="D77" t="str">
        <f>IFERROR(VLOOKUP(B77,'DS NGHIEP VU BO'!$A$3:$BX$148,6,0),"")</f>
        <v>82013305</v>
      </c>
      <c r="E77" t="str">
        <f>VLOOKUP(B77,'DS NGHIEP VU BO'!$A$3:$BX$148,45,0)</f>
        <v>Đồng Tháp</v>
      </c>
      <c r="F77" t="str">
        <f t="shared" si="1"/>
        <v/>
      </c>
      <c r="G77" t="str">
        <f>IFERROR(IF(VLOOKUP(B77,'DANH SACH UEH'!$A$3:$FE$2228,18,0)="Không có","",VLOOKUP(B77,'DANH SACH UEH'!$A$3:$FE$2228,18,0)),"")</f>
        <v/>
      </c>
      <c r="H77" t="str">
        <f>IFERROR(IF(VLOOKUP(B77,'DANH SACH UEH'!$A$3:$FE$2228,20,0)="Không có","",VLOOKUP(B77,'DANH SACH UEH'!$A$3:$FE$2228,20,0)),"")</f>
        <v/>
      </c>
      <c r="I77" t="str">
        <f>IFERROR(IF(VLOOKUP(B77,'DANH SACH UEH'!$A$3:$FE$2228,19,0)="Không có","",VLOOKUP(B77,'DANH SACH UEH'!$A$3:$FE$2228,19,0)),"")</f>
        <v/>
      </c>
      <c r="J77" t="str">
        <f>VLOOKUP(B77,'DANH SACH UEH'!$A$3:$FE$2228,6,0)</f>
        <v>15/04/2008</v>
      </c>
      <c r="K77" t="str">
        <f>IF(VLOOKUP(B77,'DANH SACH UEH'!$A$3:$FE$2228,5,0)="1","Nữ","Nam")</f>
        <v>Nam</v>
      </c>
      <c r="L77" t="str">
        <f>VLOOKUP(B77,'DANH SACH UEH'!$A$3:$FE$2228,14,0)</f>
        <v>Kinh</v>
      </c>
      <c r="M77" t="str">
        <f>VLOOKUP(B77,'DANH SACH UEH'!$A$3:$FE$2228,7,0)</f>
        <v>nguyennguyen.31261570481@st.ueh.edu.vn</v>
      </c>
      <c r="N77" t="str">
        <f>VLOOKUP(B77,'DANH SACH UEH'!$A$3:$FE$2228,8,0)</f>
        <v>0859677669</v>
      </c>
      <c r="O77" t="str">
        <f>IFERROR(VLOOKUP(AE77,'DS TAO MAIL'!$D$3:$M$1120,5,0),"")</f>
        <v>31261570481</v>
      </c>
      <c r="P77" t="str">
        <f>IFERROR(VLOOKUP(AE77,'DS TAO MAIL'!$D$3:$M$1120,8,0),"")</f>
        <v>52609637</v>
      </c>
      <c r="Q77" t="str">
        <f>IFERROR(VLOOKUP(AE77,'DS TAO MAIL'!$D$3:$M$1120,7,0),"")</f>
        <v>nguyennguyen.31261570481@st.ueh.edu.vn</v>
      </c>
      <c r="R77" t="str">
        <f>IFERROR(VLOOKUP(AE77,'DS TAO MAIL'!$D$3:$M$1120,8,0),"")</f>
        <v>52609637</v>
      </c>
      <c r="S77">
        <v>73.569999999999993</v>
      </c>
      <c r="U77">
        <v>71.900000000000006</v>
      </c>
      <c r="V77" t="str">
        <f>IFERROR(IF(VLOOKUP(B77,'DANH SACH UEH'!$A$3:$FE$2228,27,0)="Không có","",IF(VLOOKUP(B77,'DANH SACH UEH'!$A$3:$FE$2228,29,0)&lt;"6","",(VLOOKUP(B77,'DANH SACH UEH'!$A$3:$FE$2228,27,0)))),"")</f>
        <v/>
      </c>
      <c r="W77" t="str">
        <f>IFERROR(IF(VLOOKUP(B77,'DANH SACH UEH'!$A$3:$FE$2228,29,0)&lt;"6","",VLOOKUP(B77,'DANH SACH UEH'!$A$3:$FE$2228,29,0)),"")</f>
        <v/>
      </c>
      <c r="X77" t="str">
        <f>IFERROR(IF(V77="","",VLOOKUP(B77,'DANH SACH UEH'!$A$3:$FE$2228,28,0)&amp;""),"")</f>
        <v/>
      </c>
      <c r="Z77" t="str">
        <f>VLOOKUP(B77,'DANH SACH UEH'!$A$3:$FE$2228,44,0)</f>
        <v>8.01</v>
      </c>
      <c r="AA77" t="str">
        <f>VLOOKUP(B77,'DANH SACH UEH'!$A$3:$FE$2228,45,0)</f>
        <v>7.89</v>
      </c>
      <c r="AB77" t="str">
        <f>VLOOKUP(B77,'DANH SACH UEH'!$A$3:$FE$2228,46,0)</f>
        <v>8.50</v>
      </c>
      <c r="AE77" t="str">
        <f>VLOOKUP(B77,'DANH SACH UEH'!$A$3:$I$2229,4,0)</f>
        <v>NGUYỄN PHÚC NGUYÊN</v>
      </c>
      <c r="AF77" t="str">
        <f>VLOOKUP(B77,'DANH SACH UEH'!$A$3:$I$2229,8,0)</f>
        <v>0859677669</v>
      </c>
    </row>
    <row r="78" spans="1:32" x14ac:dyDescent="0.25">
      <c r="A78">
        <v>77</v>
      </c>
      <c r="B78" t="s">
        <v>53</v>
      </c>
      <c r="C78" t="str">
        <f>VLOOKUP(B78,'DANH SACH UEH'!$A$3:$FE$2228,2,0)</f>
        <v>KSVBS2639007</v>
      </c>
      <c r="D78" t="str">
        <f>IFERROR(VLOOKUP(B78,'DS NGHIEP VU BO'!$A$3:$BX$148,6,0),"")</f>
        <v>82018666</v>
      </c>
      <c r="E78" t="str">
        <f>VLOOKUP(B78,'DS NGHIEP VU BO'!$A$3:$BX$148,45,0)</f>
        <v>Đồng Tháp</v>
      </c>
      <c r="F78" t="str">
        <f t="shared" si="1"/>
        <v/>
      </c>
      <c r="G78" t="str">
        <f>IFERROR(IF(VLOOKUP(B78,'DANH SACH UEH'!$A$3:$FE$2228,18,0)="Không có","",VLOOKUP(B78,'DANH SACH UEH'!$A$3:$FE$2228,18,0)),"")</f>
        <v/>
      </c>
      <c r="H78" t="str">
        <f>IFERROR(IF(VLOOKUP(B78,'DANH SACH UEH'!$A$3:$FE$2228,20,0)="Không có","",VLOOKUP(B78,'DANH SACH UEH'!$A$3:$FE$2228,20,0)),"")</f>
        <v/>
      </c>
      <c r="I78" t="str">
        <f>IFERROR(IF(VLOOKUP(B78,'DANH SACH UEH'!$A$3:$FE$2228,19,0)="Không có","",VLOOKUP(B78,'DANH SACH UEH'!$A$3:$FE$2228,19,0)),"")</f>
        <v/>
      </c>
      <c r="J78" t="str">
        <f>VLOOKUP(B78,'DANH SACH UEH'!$A$3:$FE$2228,6,0)</f>
        <v>07/12/2008</v>
      </c>
      <c r="K78" t="str">
        <f>IF(VLOOKUP(B78,'DANH SACH UEH'!$A$3:$FE$2228,5,0)="1","Nữ","Nam")</f>
        <v>Nam</v>
      </c>
      <c r="L78" t="str">
        <f>VLOOKUP(B78,'DANH SACH UEH'!$A$3:$FE$2228,14,0)</f>
        <v>Kinh</v>
      </c>
      <c r="M78" t="str">
        <f>VLOOKUP(B78,'DANH SACH UEH'!$A$3:$FE$2228,7,0)</f>
        <v>chuankhoa08@gmail.com</v>
      </c>
      <c r="N78" t="str">
        <f>VLOOKUP(B78,'DANH SACH UEH'!$A$3:$FE$2228,8,0)</f>
        <v>0829639129</v>
      </c>
      <c r="O78" t="str">
        <f>IFERROR(VLOOKUP(AE78,'DS TAO MAIL'!$D$3:$M$1120,5,0),"")</f>
        <v>31261570497</v>
      </c>
      <c r="P78" t="str">
        <f>IFERROR(VLOOKUP(AE78,'DS TAO MAIL'!$D$3:$M$1120,8,0),"")</f>
        <v>38372031</v>
      </c>
      <c r="Q78" t="str">
        <f>IFERROR(VLOOKUP(AE78,'DS TAO MAIL'!$D$3:$M$1120,7,0),"")</f>
        <v>khoanguyen.31261570497@st.ueh.edu.vn</v>
      </c>
      <c r="R78" t="str">
        <f>IFERROR(VLOOKUP(AE78,'DS TAO MAIL'!$D$3:$M$1120,8,0),"")</f>
        <v>38372031</v>
      </c>
      <c r="S78">
        <v>79.430000000000007</v>
      </c>
      <c r="U78">
        <v>78.72</v>
      </c>
      <c r="V78" t="str">
        <f>IFERROR(IF(VLOOKUP(B78,'DANH SACH UEH'!$A$3:$FE$2228,27,0)="Không có","",IF(VLOOKUP(B78,'DANH SACH UEH'!$A$3:$FE$2228,29,0)&lt;"6","",(VLOOKUP(B78,'DANH SACH UEH'!$A$3:$FE$2228,27,0)))),"")</f>
        <v/>
      </c>
      <c r="W78" t="str">
        <f>IFERROR(IF(VLOOKUP(B78,'DANH SACH UEH'!$A$3:$FE$2228,29,0)&lt;"6","",VLOOKUP(B78,'DANH SACH UEH'!$A$3:$FE$2228,29,0)),"")</f>
        <v/>
      </c>
      <c r="X78" t="str">
        <f>IFERROR(IF(V78="","",VLOOKUP(B78,'DANH SACH UEH'!$A$3:$FE$2228,28,0)&amp;""),"")</f>
        <v/>
      </c>
      <c r="Z78" t="str">
        <f>VLOOKUP(B78,'DANH SACH UEH'!$A$3:$FE$2228,44,0)</f>
        <v>8.03</v>
      </c>
      <c r="AA78" t="str">
        <f>VLOOKUP(B78,'DANH SACH UEH'!$A$3:$FE$2228,45,0)</f>
        <v>7.67</v>
      </c>
      <c r="AB78" t="str">
        <f>VLOOKUP(B78,'DANH SACH UEH'!$A$3:$FE$2228,46,0)</f>
        <v>7.82</v>
      </c>
      <c r="AE78" t="str">
        <f>VLOOKUP(B78,'DANH SACH UEH'!$A$3:$I$2229,4,0)</f>
        <v>NGUYỄN HỮU CHUẨN KHOA</v>
      </c>
      <c r="AF78" t="str">
        <f>VLOOKUP(B78,'DANH SACH UEH'!$A$3:$I$2229,8,0)</f>
        <v>0829639129</v>
      </c>
    </row>
    <row r="79" spans="1:32" x14ac:dyDescent="0.25">
      <c r="A79">
        <v>78</v>
      </c>
      <c r="B79" t="s">
        <v>51</v>
      </c>
      <c r="C79" t="str">
        <f>VLOOKUP(B79,'DANH SACH UEH'!$A$3:$FE$2228,2,0)</f>
        <v>KSVBS2646087</v>
      </c>
      <c r="D79" t="str">
        <f>IFERROR(VLOOKUP(B79,'DS NGHIEP VU BO'!$A$3:$BX$148,6,0),"")</f>
        <v>82017359</v>
      </c>
      <c r="E79" t="str">
        <f>VLOOKUP(B79,'DS NGHIEP VU BO'!$A$3:$BX$148,45,0)</f>
        <v>Đồng Tháp</v>
      </c>
      <c r="F79" t="str">
        <f t="shared" si="1"/>
        <v/>
      </c>
      <c r="G79" t="str">
        <f>IFERROR(IF(VLOOKUP(B79,'DANH SACH UEH'!$A$3:$FE$2228,18,0)="Không có","",VLOOKUP(B79,'DANH SACH UEH'!$A$3:$FE$2228,18,0)),"")</f>
        <v/>
      </c>
      <c r="H79" t="str">
        <f>IFERROR(IF(VLOOKUP(B79,'DANH SACH UEH'!$A$3:$FE$2228,20,0)="Không có","",VLOOKUP(B79,'DANH SACH UEH'!$A$3:$FE$2228,20,0)),"")</f>
        <v/>
      </c>
      <c r="I79" t="str">
        <f>IFERROR(IF(VLOOKUP(B79,'DANH SACH UEH'!$A$3:$FE$2228,19,0)="Không có","",VLOOKUP(B79,'DANH SACH UEH'!$A$3:$FE$2228,19,0)),"")</f>
        <v/>
      </c>
      <c r="J79" t="str">
        <f>VLOOKUP(B79,'DANH SACH UEH'!$A$3:$FE$2228,6,0)</f>
        <v>02/01/2008</v>
      </c>
      <c r="K79" t="str">
        <f>IF(VLOOKUP(B79,'DANH SACH UEH'!$A$3:$FE$2228,5,0)="1","Nữ","Nam")</f>
        <v>Nữ</v>
      </c>
      <c r="L79" t="str">
        <f>VLOOKUP(B79,'DANH SACH UEH'!$A$3:$FE$2228,14,0)</f>
        <v>Kinh</v>
      </c>
      <c r="M79" t="str">
        <f>VLOOKUP(B79,'DANH SACH UEH'!$A$3:$FE$2228,7,0)</f>
        <v>tranngocminhtam412@gmail.com</v>
      </c>
      <c r="N79" t="str">
        <f>VLOOKUP(B79,'DANH SACH UEH'!$A$3:$FE$2228,8,0)</f>
        <v>0332670210</v>
      </c>
      <c r="O79" t="str">
        <f>IFERROR(VLOOKUP(AE79,'DS TAO MAIL'!$D$3:$M$1120,5,0),"")</f>
        <v>31261570448</v>
      </c>
      <c r="P79" t="str">
        <f>IFERROR(VLOOKUP(AE79,'DS TAO MAIL'!$D$3:$M$1120,8,0),"")</f>
        <v>32508150</v>
      </c>
      <c r="Q79" t="str">
        <f>IFERROR(VLOOKUP(AE79,'DS TAO MAIL'!$D$3:$M$1120,7,0),"")</f>
        <v>tamtran.31261570448@st.ueh.edu.vn</v>
      </c>
      <c r="R79" t="str">
        <f>IFERROR(VLOOKUP(AE79,'DS TAO MAIL'!$D$3:$M$1120,8,0),"")</f>
        <v>32508150</v>
      </c>
      <c r="S79">
        <v>69.17</v>
      </c>
      <c r="U79">
        <v>67.5</v>
      </c>
      <c r="V79" t="str">
        <f>IFERROR(IF(VLOOKUP(B79,'DANH SACH UEH'!$A$3:$FE$2228,27,0)="Không có","",IF(VLOOKUP(B79,'DANH SACH UEH'!$A$3:$FE$2228,29,0)&lt;"6","",(VLOOKUP(B79,'DANH SACH UEH'!$A$3:$FE$2228,27,0)))),"")</f>
        <v/>
      </c>
      <c r="W79" t="str">
        <f>IFERROR(IF(VLOOKUP(B79,'DANH SACH UEH'!$A$3:$FE$2228,29,0)&lt;"6","",VLOOKUP(B79,'DANH SACH UEH'!$A$3:$FE$2228,29,0)),"")</f>
        <v/>
      </c>
      <c r="X79" t="str">
        <f>IFERROR(IF(V79="","",VLOOKUP(B79,'DANH SACH UEH'!$A$3:$FE$2228,28,0)&amp;""),"")</f>
        <v/>
      </c>
      <c r="Z79" t="str">
        <f>VLOOKUP(B79,'DANH SACH UEH'!$A$3:$FE$2228,44,0)</f>
        <v>8.38</v>
      </c>
      <c r="AA79" t="str">
        <f>VLOOKUP(B79,'DANH SACH UEH'!$A$3:$FE$2228,45,0)</f>
        <v>8.44</v>
      </c>
      <c r="AB79" t="str">
        <f>VLOOKUP(B79,'DANH SACH UEH'!$A$3:$FE$2228,46,0)</f>
        <v>8.51</v>
      </c>
      <c r="AE79" t="str">
        <f>VLOOKUP(B79,'DANH SACH UEH'!$A$3:$I$2229,4,0)</f>
        <v>TRẦN NGỌC MINH TÂM</v>
      </c>
      <c r="AF79" t="str">
        <f>VLOOKUP(B79,'DANH SACH UEH'!$A$3:$I$2229,8,0)</f>
        <v>0332670210</v>
      </c>
    </row>
    <row r="80" spans="1:32" x14ac:dyDescent="0.25">
      <c r="A80">
        <v>79</v>
      </c>
      <c r="B80" t="s">
        <v>50</v>
      </c>
      <c r="C80" t="str">
        <f>VLOOKUP(B80,'DANH SACH UEH'!$A$3:$FE$2228,2,0)</f>
        <v>KSVBS2641380</v>
      </c>
      <c r="D80" t="str">
        <f>IFERROR(VLOOKUP(B80,'DS NGHIEP VU BO'!$A$3:$BX$148,6,0),"")</f>
        <v>82008371</v>
      </c>
      <c r="E80" t="str">
        <f>VLOOKUP(B80,'DS NGHIEP VU BO'!$A$3:$BX$148,45,0)</f>
        <v>Đồng Tháp</v>
      </c>
      <c r="F80" t="str">
        <f t="shared" si="1"/>
        <v/>
      </c>
      <c r="G80" t="str">
        <f>IFERROR(IF(VLOOKUP(B80,'DANH SACH UEH'!$A$3:$FE$2228,18,0)="Không có","",VLOOKUP(B80,'DANH SACH UEH'!$A$3:$FE$2228,18,0)),"")</f>
        <v/>
      </c>
      <c r="H80" t="str">
        <f>IFERROR(IF(VLOOKUP(B80,'DANH SACH UEH'!$A$3:$FE$2228,20,0)="Không có","",VLOOKUP(B80,'DANH SACH UEH'!$A$3:$FE$2228,20,0)),"")</f>
        <v/>
      </c>
      <c r="I80" t="str">
        <f>IFERROR(IF(VLOOKUP(B80,'DANH SACH UEH'!$A$3:$FE$2228,19,0)="Không có","",VLOOKUP(B80,'DANH SACH UEH'!$A$3:$FE$2228,19,0)),"")</f>
        <v/>
      </c>
      <c r="J80" t="str">
        <f>VLOOKUP(B80,'DANH SACH UEH'!$A$3:$FE$2228,6,0)</f>
        <v>15/05/2008</v>
      </c>
      <c r="K80" t="str">
        <f>IF(VLOOKUP(B80,'DANH SACH UEH'!$A$3:$FE$2228,5,0)="1","Nữ","Nam")</f>
        <v>Nữ</v>
      </c>
      <c r="L80" t="str">
        <f>VLOOKUP(B80,'DANH SACH UEH'!$A$3:$FE$2228,14,0)</f>
        <v>Kinh</v>
      </c>
      <c r="M80" t="str">
        <f>VLOOKUP(B80,'DANH SACH UEH'!$A$3:$FE$2228,7,0)</f>
        <v>nganhuynh.951505@gmail.com</v>
      </c>
      <c r="N80" t="str">
        <f>VLOOKUP(B80,'DANH SACH UEH'!$A$3:$FE$2228,8,0)</f>
        <v>0792518575</v>
      </c>
      <c r="O80" t="str">
        <f>IFERROR(VLOOKUP(AE80,'DS TAO MAIL'!$D$3:$M$1120,5,0),"")</f>
        <v>31261570443</v>
      </c>
      <c r="P80" t="str">
        <f>IFERROR(VLOOKUP(AE80,'DS TAO MAIL'!$D$3:$M$1120,8,0),"")</f>
        <v>54658447</v>
      </c>
      <c r="Q80" t="str">
        <f>IFERROR(VLOOKUP(AE80,'DS TAO MAIL'!$D$3:$M$1120,7,0),"")</f>
        <v>nganhuynh.31261570443@st.ueh.edu.vn</v>
      </c>
      <c r="R80" t="str">
        <f>IFERROR(VLOOKUP(AE80,'DS TAO MAIL'!$D$3:$M$1120,8,0),"")</f>
        <v>54658447</v>
      </c>
      <c r="S80">
        <v>73.66</v>
      </c>
      <c r="U80">
        <v>71.16</v>
      </c>
      <c r="V80" t="str">
        <f>IFERROR(IF(VLOOKUP(B80,'DANH SACH UEH'!$A$3:$FE$2228,27,0)="Không có","",IF(VLOOKUP(B80,'DANH SACH UEH'!$A$3:$FE$2228,29,0)&lt;"6","",(VLOOKUP(B80,'DANH SACH UEH'!$A$3:$FE$2228,27,0)))),"")</f>
        <v/>
      </c>
      <c r="W80" t="str">
        <f>IFERROR(IF(VLOOKUP(B80,'DANH SACH UEH'!$A$3:$FE$2228,29,0)&lt;"6","",VLOOKUP(B80,'DANH SACH UEH'!$A$3:$FE$2228,29,0)),"")</f>
        <v/>
      </c>
      <c r="X80" t="str">
        <f>IFERROR(IF(V80="","",VLOOKUP(B80,'DANH SACH UEH'!$A$3:$FE$2228,28,0)&amp;""),"")</f>
        <v/>
      </c>
      <c r="Z80" t="str">
        <f>VLOOKUP(B80,'DANH SACH UEH'!$A$3:$FE$2228,44,0)</f>
        <v>8.23</v>
      </c>
      <c r="AA80" t="str">
        <f>VLOOKUP(B80,'DANH SACH UEH'!$A$3:$FE$2228,45,0)</f>
        <v>8.51</v>
      </c>
      <c r="AB80" t="str">
        <f>VLOOKUP(B80,'DANH SACH UEH'!$A$3:$FE$2228,46,0)</f>
        <v>8.61</v>
      </c>
      <c r="AE80" t="str">
        <f>VLOOKUP(B80,'DANH SACH UEH'!$A$3:$I$2229,4,0)</f>
        <v>HUỲNH LÊ HỒNG NGÂN</v>
      </c>
      <c r="AF80" t="str">
        <f>VLOOKUP(B80,'DANH SACH UEH'!$A$3:$I$2229,8,0)</f>
        <v>0792518575</v>
      </c>
    </row>
    <row r="81" spans="1:32" x14ac:dyDescent="0.25">
      <c r="A81">
        <v>80</v>
      </c>
      <c r="B81" t="s">
        <v>49</v>
      </c>
      <c r="C81" t="str">
        <f>VLOOKUP(B81,'DANH SACH UEH'!$A$3:$FE$2228,2,0)</f>
        <v>KSVBS2635329</v>
      </c>
      <c r="D81" t="str">
        <f>IFERROR(VLOOKUP(B81,'DS NGHIEP VU BO'!$A$3:$BX$148,6,0),"")</f>
        <v>82014498</v>
      </c>
      <c r="E81" t="str">
        <f>VLOOKUP(B81,'DS NGHIEP VU BO'!$A$3:$BX$148,45,0)</f>
        <v>Đồng Tháp</v>
      </c>
      <c r="F81" t="str">
        <f t="shared" si="1"/>
        <v/>
      </c>
      <c r="G81" t="str">
        <f>IFERROR(IF(VLOOKUP(B81,'DANH SACH UEH'!$A$3:$FE$2228,18,0)="Không có","",VLOOKUP(B81,'DANH SACH UEH'!$A$3:$FE$2228,18,0)),"")</f>
        <v/>
      </c>
      <c r="H81" t="str">
        <f>IFERROR(IF(VLOOKUP(B81,'DANH SACH UEH'!$A$3:$FE$2228,20,0)="Không có","",VLOOKUP(B81,'DANH SACH UEH'!$A$3:$FE$2228,20,0)),"")</f>
        <v/>
      </c>
      <c r="I81" t="str">
        <f>IFERROR(IF(VLOOKUP(B81,'DANH SACH UEH'!$A$3:$FE$2228,19,0)="Không có","",VLOOKUP(B81,'DANH SACH UEH'!$A$3:$FE$2228,19,0)),"")</f>
        <v/>
      </c>
      <c r="J81" t="str">
        <f>VLOOKUP(B81,'DANH SACH UEH'!$A$3:$FE$2228,6,0)</f>
        <v>03/11/2008</v>
      </c>
      <c r="K81" t="str">
        <f>IF(VLOOKUP(B81,'DANH SACH UEH'!$A$3:$FE$2228,5,0)="1","Nữ","Nam")</f>
        <v>Nữ</v>
      </c>
      <c r="L81" t="str">
        <f>VLOOKUP(B81,'DANH SACH UEH'!$A$3:$FE$2228,14,0)</f>
        <v>Kinh</v>
      </c>
      <c r="M81" t="str">
        <f>VLOOKUP(B81,'DANH SACH UEH'!$A$3:$FE$2228,7,0)</f>
        <v>hohophanthituyetphuong@gmail.com</v>
      </c>
      <c r="N81" t="str">
        <f>VLOOKUP(B81,'DANH SACH UEH'!$A$3:$FE$2228,8,0)</f>
        <v>0796644992</v>
      </c>
      <c r="O81" t="str">
        <f>IFERROR(VLOOKUP(AE81,'DS TAO MAIL'!$D$3:$M$1120,5,0),"")</f>
        <v>31261570509</v>
      </c>
      <c r="P81" t="str">
        <f>IFERROR(VLOOKUP(AE81,'DS TAO MAIL'!$D$3:$M$1120,8,0),"")</f>
        <v>51943260</v>
      </c>
      <c r="Q81" t="str">
        <f>IFERROR(VLOOKUP(AE81,'DS TAO MAIL'!$D$3:$M$1120,7,0),"")</f>
        <v>phuongho.31261570509@st.ueh.edu.vn</v>
      </c>
      <c r="R81" t="str">
        <f>IFERROR(VLOOKUP(AE81,'DS TAO MAIL'!$D$3:$M$1120,8,0),"")</f>
        <v>51943260</v>
      </c>
      <c r="S81">
        <v>72.41</v>
      </c>
      <c r="U81">
        <v>70.739999999999995</v>
      </c>
      <c r="V81" t="str">
        <f>IFERROR(IF(VLOOKUP(B81,'DANH SACH UEH'!$A$3:$FE$2228,27,0)="Không có","",IF(VLOOKUP(B81,'DANH SACH UEH'!$A$3:$FE$2228,29,0)&lt;"6","",(VLOOKUP(B81,'DANH SACH UEH'!$A$3:$FE$2228,27,0)))),"")</f>
        <v/>
      </c>
      <c r="W81" t="str">
        <f>IFERROR(IF(VLOOKUP(B81,'DANH SACH UEH'!$A$3:$FE$2228,29,0)&lt;"6","",VLOOKUP(B81,'DANH SACH UEH'!$A$3:$FE$2228,29,0)),"")</f>
        <v/>
      </c>
      <c r="X81" t="str">
        <f>IFERROR(IF(V81="","",VLOOKUP(B81,'DANH SACH UEH'!$A$3:$FE$2228,28,0)&amp;""),"")</f>
        <v/>
      </c>
      <c r="Z81" t="str">
        <f>VLOOKUP(B81,'DANH SACH UEH'!$A$3:$FE$2228,44,0)</f>
        <v>7.90</v>
      </c>
      <c r="AA81" t="str">
        <f>VLOOKUP(B81,'DANH SACH UEH'!$A$3:$FE$2228,45,0)</f>
        <v>8.70</v>
      </c>
      <c r="AB81" t="str">
        <f>VLOOKUP(B81,'DANH SACH UEH'!$A$3:$FE$2228,46,0)</f>
        <v>8.52</v>
      </c>
      <c r="AE81" t="str">
        <f>VLOOKUP(B81,'DANH SACH UEH'!$A$3:$I$2229,4,0)</f>
        <v>HỒ PHAN THỊ TUYẾT PHƯƠNG</v>
      </c>
      <c r="AF81" t="str">
        <f>VLOOKUP(B81,'DANH SACH UEH'!$A$3:$I$2229,8,0)</f>
        <v>0796644992</v>
      </c>
    </row>
    <row r="82" spans="1:32" x14ac:dyDescent="0.25">
      <c r="A82">
        <v>81</v>
      </c>
      <c r="B82" t="s">
        <v>48</v>
      </c>
      <c r="C82" t="str">
        <f>VLOOKUP(B82,'DANH SACH UEH'!$A$3:$FE$2228,2,0)</f>
        <v>KSVBS2636913</v>
      </c>
      <c r="D82" t="str">
        <f>IFERROR(VLOOKUP(B82,'DS NGHIEP VU BO'!$A$3:$BX$148,6,0),"")</f>
        <v>91013419</v>
      </c>
      <c r="E82" t="str">
        <f>VLOOKUP(B82,'DS NGHIEP VU BO'!$A$3:$BX$148,45,0)</f>
        <v>An Giang</v>
      </c>
      <c r="F82" t="str">
        <f t="shared" si="1"/>
        <v/>
      </c>
      <c r="G82" t="str">
        <f>IFERROR(IF(VLOOKUP(B82,'DANH SACH UEH'!$A$3:$FE$2228,18,0)="Không có","",VLOOKUP(B82,'DANH SACH UEH'!$A$3:$FE$2228,18,0)),"")</f>
        <v/>
      </c>
      <c r="H82" t="str">
        <f>IFERROR(IF(VLOOKUP(B82,'DANH SACH UEH'!$A$3:$FE$2228,20,0)="Không có","",VLOOKUP(B82,'DANH SACH UEH'!$A$3:$FE$2228,20,0)),"")</f>
        <v/>
      </c>
      <c r="I82" t="str">
        <f>IFERROR(IF(VLOOKUP(B82,'DANH SACH UEH'!$A$3:$FE$2228,19,0)="Không có","",VLOOKUP(B82,'DANH SACH UEH'!$A$3:$FE$2228,19,0)),"")</f>
        <v/>
      </c>
      <c r="J82" t="str">
        <f>VLOOKUP(B82,'DANH SACH UEH'!$A$3:$FE$2228,6,0)</f>
        <v>17/12/2008</v>
      </c>
      <c r="K82" t="str">
        <f>IF(VLOOKUP(B82,'DANH SACH UEH'!$A$3:$FE$2228,5,0)="1","Nữ","Nam")</f>
        <v>Nam</v>
      </c>
      <c r="L82" t="str">
        <f>VLOOKUP(B82,'DANH SACH UEH'!$A$3:$FE$2228,14,0)</f>
        <v>Kinh</v>
      </c>
      <c r="M82" t="str">
        <f>VLOOKUP(B82,'DANH SACH UEH'!$A$3:$FE$2228,7,0)</f>
        <v>quocbinh17122008@gmail.com</v>
      </c>
      <c r="N82" t="str">
        <f>VLOOKUP(B82,'DANH SACH UEH'!$A$3:$FE$2228,8,0)</f>
        <v>0763307374</v>
      </c>
      <c r="O82" t="str">
        <f>IFERROR(VLOOKUP(AE82,'DS TAO MAIL'!$D$3:$M$1120,5,0),"")</f>
        <v>31261570439</v>
      </c>
      <c r="P82" t="str">
        <f>IFERROR(VLOOKUP(AE82,'DS TAO MAIL'!$D$3:$M$1120,8,0),"")</f>
        <v>88497307</v>
      </c>
      <c r="Q82" t="str">
        <f>IFERROR(VLOOKUP(AE82,'DS TAO MAIL'!$D$3:$M$1120,7,0),"")</f>
        <v>binhho.31261570439@st.ueh.edu.vn</v>
      </c>
      <c r="R82" t="str">
        <f>IFERROR(VLOOKUP(AE82,'DS TAO MAIL'!$D$3:$M$1120,8,0),"")</f>
        <v>88497307</v>
      </c>
      <c r="S82">
        <v>68.81</v>
      </c>
      <c r="U82">
        <v>67.14</v>
      </c>
      <c r="V82" t="str">
        <f>IFERROR(IF(VLOOKUP(B82,'DANH SACH UEH'!$A$3:$FE$2228,27,0)="Không có","",IF(VLOOKUP(B82,'DANH SACH UEH'!$A$3:$FE$2228,29,0)&lt;"6","",(VLOOKUP(B82,'DANH SACH UEH'!$A$3:$FE$2228,27,0)))),"")</f>
        <v/>
      </c>
      <c r="W82" t="str">
        <f>IFERROR(IF(VLOOKUP(B82,'DANH SACH UEH'!$A$3:$FE$2228,29,0)&lt;"6","",VLOOKUP(B82,'DANH SACH UEH'!$A$3:$FE$2228,29,0)),"")</f>
        <v/>
      </c>
      <c r="X82" t="str">
        <f>IFERROR(IF(V82="","",VLOOKUP(B82,'DANH SACH UEH'!$A$3:$FE$2228,28,0)&amp;""),"")</f>
        <v/>
      </c>
      <c r="Z82" t="str">
        <f>VLOOKUP(B82,'DANH SACH UEH'!$A$3:$FE$2228,44,0)</f>
        <v>8.44</v>
      </c>
      <c r="AA82" t="str">
        <f>VLOOKUP(B82,'DANH SACH UEH'!$A$3:$FE$2228,45,0)</f>
        <v>8.63</v>
      </c>
      <c r="AB82" t="str">
        <f>VLOOKUP(B82,'DANH SACH UEH'!$A$3:$FE$2228,46,0)</f>
        <v>9.24</v>
      </c>
      <c r="AE82" t="str">
        <f>VLOOKUP(B82,'DANH SACH UEH'!$A$3:$I$2229,4,0)</f>
        <v>HỒ NGUYỄN QUỐC BÌNH</v>
      </c>
      <c r="AF82" t="str">
        <f>VLOOKUP(B82,'DANH SACH UEH'!$A$3:$I$2229,8,0)</f>
        <v>0763307374</v>
      </c>
    </row>
    <row r="83" spans="1:32" x14ac:dyDescent="0.25">
      <c r="A83">
        <v>82</v>
      </c>
      <c r="B83" t="s">
        <v>45</v>
      </c>
      <c r="C83" t="str">
        <f>VLOOKUP(B83,'DANH SACH UEH'!$A$3:$FE$2228,2,0)</f>
        <v>KSVBS2617831</v>
      </c>
      <c r="D83" t="str">
        <f>IFERROR(VLOOKUP(B83,'DS NGHIEP VU BO'!$A$3:$BX$148,6,0),"")</f>
        <v>91029732</v>
      </c>
      <c r="E83" t="str">
        <f>VLOOKUP(B83,'DS NGHIEP VU BO'!$A$3:$BX$148,45,0)</f>
        <v>An Giang</v>
      </c>
      <c r="F83" t="str">
        <f t="shared" si="1"/>
        <v/>
      </c>
      <c r="G83" t="str">
        <f>IFERROR(IF(VLOOKUP(B83,'DANH SACH UEH'!$A$3:$FE$2228,18,0)="Không có","",VLOOKUP(B83,'DANH SACH UEH'!$A$3:$FE$2228,18,0)),"")</f>
        <v/>
      </c>
      <c r="H83" t="str">
        <f>IFERROR(IF(VLOOKUP(B83,'DANH SACH UEH'!$A$3:$FE$2228,20,0)="Không có","",VLOOKUP(B83,'DANH SACH UEH'!$A$3:$FE$2228,20,0)),"")</f>
        <v/>
      </c>
      <c r="I83" t="str">
        <f>IFERROR(IF(VLOOKUP(B83,'DANH SACH UEH'!$A$3:$FE$2228,19,0)="Không có","",VLOOKUP(B83,'DANH SACH UEH'!$A$3:$FE$2228,19,0)),"")</f>
        <v/>
      </c>
      <c r="J83" t="str">
        <f>VLOOKUP(B83,'DANH SACH UEH'!$A$3:$FE$2228,6,0)</f>
        <v>07/08/2008</v>
      </c>
      <c r="K83" t="str">
        <f>IF(VLOOKUP(B83,'DANH SACH UEH'!$A$3:$FE$2228,5,0)="1","Nữ","Nam")</f>
        <v>Nữ</v>
      </c>
      <c r="L83" t="str">
        <f>VLOOKUP(B83,'DANH SACH UEH'!$A$3:$FE$2228,14,0)</f>
        <v>Kinh</v>
      </c>
      <c r="M83" t="str">
        <f>VLOOKUP(B83,'DANH SACH UEH'!$A$3:$FE$2228,7,0)</f>
        <v>truonghoangkhanhlinh163@gmail.com</v>
      </c>
      <c r="N83" t="str">
        <f>VLOOKUP(B83,'DANH SACH UEH'!$A$3:$FE$2228,8,0)</f>
        <v>0813281882</v>
      </c>
      <c r="O83" t="str">
        <f>IFERROR(VLOOKUP(AE83,'DS TAO MAIL'!$D$3:$M$1120,5,0),"")</f>
        <v>31261570430</v>
      </c>
      <c r="P83" t="str">
        <f>IFERROR(VLOOKUP(AE83,'DS TAO MAIL'!$D$3:$M$1120,8,0),"")</f>
        <v>77060759</v>
      </c>
      <c r="Q83" t="str">
        <f>IFERROR(VLOOKUP(AE83,'DS TAO MAIL'!$D$3:$M$1120,7,0),"")</f>
        <v>linhtruong.31261570430@st.ueh.edu.vn</v>
      </c>
      <c r="R83" t="str">
        <f>IFERROR(VLOOKUP(AE83,'DS TAO MAIL'!$D$3:$M$1120,8,0),"")</f>
        <v>77060759</v>
      </c>
      <c r="S83">
        <v>76.39</v>
      </c>
      <c r="U83">
        <v>74.72</v>
      </c>
      <c r="V83" t="str">
        <f>IFERROR(IF(VLOOKUP(B83,'DANH SACH UEH'!$A$3:$FE$2228,27,0)="Không có","",IF(VLOOKUP(B83,'DANH SACH UEH'!$A$3:$FE$2228,29,0)&lt;"6","",(VLOOKUP(B83,'DANH SACH UEH'!$A$3:$FE$2228,27,0)))),"")</f>
        <v/>
      </c>
      <c r="W83" t="str">
        <f>IFERROR(IF(VLOOKUP(B83,'DANH SACH UEH'!$A$3:$FE$2228,29,0)&lt;"6","",VLOOKUP(B83,'DANH SACH UEH'!$A$3:$FE$2228,29,0)),"")</f>
        <v/>
      </c>
      <c r="X83" t="str">
        <f>IFERROR(IF(V83="","",VLOOKUP(B83,'DANH SACH UEH'!$A$3:$FE$2228,28,0)&amp;""),"")</f>
        <v/>
      </c>
      <c r="Z83" t="str">
        <f>VLOOKUP(B83,'DANH SACH UEH'!$A$3:$FE$2228,44,0)</f>
        <v>8.16</v>
      </c>
      <c r="AA83" t="str">
        <f>VLOOKUP(B83,'DANH SACH UEH'!$A$3:$FE$2228,45,0)</f>
        <v>8.17</v>
      </c>
      <c r="AB83" t="str">
        <f>VLOOKUP(B83,'DANH SACH UEH'!$A$3:$FE$2228,46,0)</f>
        <v>8.24</v>
      </c>
      <c r="AE83" t="str">
        <f>VLOOKUP(B83,'DANH SACH UEH'!$A$3:$I$2229,4,0)</f>
        <v>TRƯƠNG HOÀNG KHÁNH LINH</v>
      </c>
      <c r="AF83" t="str">
        <f>VLOOKUP(B83,'DANH SACH UEH'!$A$3:$I$2229,8,0)</f>
        <v>0813281882</v>
      </c>
    </row>
    <row r="84" spans="1:32" x14ac:dyDescent="0.25">
      <c r="A84">
        <v>83</v>
      </c>
      <c r="B84" t="s">
        <v>44</v>
      </c>
      <c r="C84" t="str">
        <f>VLOOKUP(B84,'DANH SACH UEH'!$A$3:$FE$2228,2,0)</f>
        <v>KSVBS2632732</v>
      </c>
      <c r="D84" t="str">
        <f>IFERROR(VLOOKUP(B84,'DS NGHIEP VU BO'!$A$3:$BX$148,6,0),"")</f>
        <v>91014946</v>
      </c>
      <c r="E84" t="str">
        <f>VLOOKUP(B84,'DS NGHIEP VU BO'!$A$3:$BX$148,45,0)</f>
        <v>An Giang</v>
      </c>
      <c r="F84" t="str">
        <f t="shared" si="1"/>
        <v/>
      </c>
      <c r="G84" t="str">
        <f>IFERROR(IF(VLOOKUP(B84,'DANH SACH UEH'!$A$3:$FE$2228,18,0)="Không có","",VLOOKUP(B84,'DANH SACH UEH'!$A$3:$FE$2228,18,0)),"")</f>
        <v/>
      </c>
      <c r="H84" t="str">
        <f>IFERROR(IF(VLOOKUP(B84,'DANH SACH UEH'!$A$3:$FE$2228,20,0)="Không có","",VLOOKUP(B84,'DANH SACH UEH'!$A$3:$FE$2228,20,0)),"")</f>
        <v/>
      </c>
      <c r="I84" t="str">
        <f>IFERROR(IF(VLOOKUP(B84,'DANH SACH UEH'!$A$3:$FE$2228,19,0)="Không có","",VLOOKUP(B84,'DANH SACH UEH'!$A$3:$FE$2228,19,0)),"")</f>
        <v/>
      </c>
      <c r="J84" t="str">
        <f>VLOOKUP(B84,'DANH SACH UEH'!$A$3:$FE$2228,6,0)</f>
        <v>21/07/2008</v>
      </c>
      <c r="K84" t="str">
        <f>IF(VLOOKUP(B84,'DANH SACH UEH'!$A$3:$FE$2228,5,0)="1","Nữ","Nam")</f>
        <v>Nữ</v>
      </c>
      <c r="L84" t="str">
        <f>VLOOKUP(B84,'DANH SACH UEH'!$A$3:$FE$2228,14,0)</f>
        <v>Kinh</v>
      </c>
      <c r="M84" t="str">
        <f>VLOOKUP(B84,'DANH SACH UEH'!$A$3:$FE$2228,7,0)</f>
        <v>nnthaovi217tt@gmail.com</v>
      </c>
      <c r="N84" t="str">
        <f>VLOOKUP(B84,'DANH SACH UEH'!$A$3:$FE$2228,8,0)</f>
        <v>0818335529</v>
      </c>
      <c r="O84" t="str">
        <f>IFERROR(VLOOKUP(AE84,'DS TAO MAIL'!$D$3:$M$1120,5,0),"")</f>
        <v>31261570420</v>
      </c>
      <c r="P84" t="str">
        <f>IFERROR(VLOOKUP(AE84,'DS TAO MAIL'!$D$3:$M$1120,8,0),"")</f>
        <v>51094847</v>
      </c>
      <c r="Q84" t="str">
        <f>IFERROR(VLOOKUP(AE84,'DS TAO MAIL'!$D$3:$M$1120,7,0),"")</f>
        <v>vinguyen.31261570420@st.ueh.edu.vn</v>
      </c>
      <c r="R84" t="str">
        <f>IFERROR(VLOOKUP(AE84,'DS TAO MAIL'!$D$3:$M$1120,8,0),"")</f>
        <v>51094847</v>
      </c>
      <c r="S84">
        <v>63.81</v>
      </c>
      <c r="U84">
        <v>62.98</v>
      </c>
      <c r="V84" t="str">
        <f>IFERROR(IF(VLOOKUP(B84,'DANH SACH UEH'!$A$3:$FE$2228,27,0)="Không có","",IF(VLOOKUP(B84,'DANH SACH UEH'!$A$3:$FE$2228,29,0)&lt;"6","",(VLOOKUP(B84,'DANH SACH UEH'!$A$3:$FE$2228,27,0)))),"")</f>
        <v/>
      </c>
      <c r="W84" t="str">
        <f>IFERROR(IF(VLOOKUP(B84,'DANH SACH UEH'!$A$3:$FE$2228,29,0)&lt;"6","",VLOOKUP(B84,'DANH SACH UEH'!$A$3:$FE$2228,29,0)),"")</f>
        <v/>
      </c>
      <c r="X84" t="str">
        <f>IFERROR(IF(V84="","",VLOOKUP(B84,'DANH SACH UEH'!$A$3:$FE$2228,28,0)&amp;""),"")</f>
        <v/>
      </c>
      <c r="Z84" t="str">
        <f>VLOOKUP(B84,'DANH SACH UEH'!$A$3:$FE$2228,44,0)</f>
        <v>8.22</v>
      </c>
      <c r="AA84" t="str">
        <f>VLOOKUP(B84,'DANH SACH UEH'!$A$3:$FE$2228,45,0)</f>
        <v>8.02</v>
      </c>
      <c r="AB84" t="str">
        <f>VLOOKUP(B84,'DANH SACH UEH'!$A$3:$FE$2228,46,0)</f>
        <v>8.41</v>
      </c>
      <c r="AE84" t="str">
        <f>VLOOKUP(B84,'DANH SACH UEH'!$A$3:$I$2229,4,0)</f>
        <v>NGUYỄN NGỌC THẢO VI</v>
      </c>
      <c r="AF84" t="str">
        <f>VLOOKUP(B84,'DANH SACH UEH'!$A$3:$I$2229,8,0)</f>
        <v>0818335529</v>
      </c>
    </row>
    <row r="85" spans="1:32" x14ac:dyDescent="0.25">
      <c r="A85">
        <v>84</v>
      </c>
      <c r="B85" t="s">
        <v>42</v>
      </c>
      <c r="C85" t="str">
        <f>VLOOKUP(B85,'DANH SACH UEH'!$A$3:$FE$2228,2,0)</f>
        <v>KSVBS2616527</v>
      </c>
      <c r="D85" t="str">
        <f>IFERROR(VLOOKUP(B85,'DS NGHIEP VU BO'!$A$3:$BX$148,6,0),"")</f>
        <v>91030538</v>
      </c>
      <c r="E85" t="str">
        <f>VLOOKUP(B85,'DS NGHIEP VU BO'!$A$3:$BX$148,45,0)</f>
        <v>An Giang</v>
      </c>
      <c r="F85" t="str">
        <f t="shared" si="1"/>
        <v/>
      </c>
      <c r="G85" t="str">
        <f>IFERROR(IF(VLOOKUP(B85,'DANH SACH UEH'!$A$3:$FE$2228,18,0)="Không có","",VLOOKUP(B85,'DANH SACH UEH'!$A$3:$FE$2228,18,0)),"")</f>
        <v/>
      </c>
      <c r="H85" t="str">
        <f>IFERROR(IF(VLOOKUP(B85,'DANH SACH UEH'!$A$3:$FE$2228,20,0)="Không có","",VLOOKUP(B85,'DANH SACH UEH'!$A$3:$FE$2228,20,0)),"")</f>
        <v/>
      </c>
      <c r="I85" t="str">
        <f>IFERROR(IF(VLOOKUP(B85,'DANH SACH UEH'!$A$3:$FE$2228,19,0)="Không có","",VLOOKUP(B85,'DANH SACH UEH'!$A$3:$FE$2228,19,0)),"")</f>
        <v/>
      </c>
      <c r="J85" t="str">
        <f>VLOOKUP(B85,'DANH SACH UEH'!$A$3:$FE$2228,6,0)</f>
        <v>01/12/2008</v>
      </c>
      <c r="K85" t="str">
        <f>IF(VLOOKUP(B85,'DANH SACH UEH'!$A$3:$FE$2228,5,0)="1","Nữ","Nam")</f>
        <v>Nữ</v>
      </c>
      <c r="L85" t="str">
        <f>VLOOKUP(B85,'DANH SACH UEH'!$A$3:$FE$2228,14,0)</f>
        <v>Kinh</v>
      </c>
      <c r="M85" t="str">
        <f>VLOOKUP(B85,'DANH SACH UEH'!$A$3:$FE$2228,7,0)</f>
        <v>nmyhanh100@gmail.com</v>
      </c>
      <c r="N85" t="str">
        <f>VLOOKUP(B85,'DANH SACH UEH'!$A$3:$FE$2228,8,0)</f>
        <v>0333709867</v>
      </c>
      <c r="O85" t="str">
        <f>IFERROR(VLOOKUP(AE85,'DS TAO MAIL'!$D$3:$M$1120,5,0),"")</f>
        <v>31261570514</v>
      </c>
      <c r="P85" t="str">
        <f>IFERROR(VLOOKUP(AE85,'DS TAO MAIL'!$D$3:$M$1120,8,0),"")</f>
        <v>61788238</v>
      </c>
      <c r="Q85" t="str">
        <f>IFERROR(VLOOKUP(AE85,'DS TAO MAIL'!$D$3:$M$1120,7,0),"")</f>
        <v>hanhnguyen.31261570514@st.ueh.edu.vn</v>
      </c>
      <c r="R85" t="str">
        <f>IFERROR(VLOOKUP(AE85,'DS TAO MAIL'!$D$3:$M$1120,8,0),"")</f>
        <v>61788238</v>
      </c>
      <c r="S85">
        <v>63.67</v>
      </c>
      <c r="U85">
        <v>62.84</v>
      </c>
      <c r="V85" t="str">
        <f>IFERROR(IF(VLOOKUP(B85,'DANH SACH UEH'!$A$3:$FE$2228,27,0)="Không có","",IF(VLOOKUP(B85,'DANH SACH UEH'!$A$3:$FE$2228,29,0)&lt;"6","",(VLOOKUP(B85,'DANH SACH UEH'!$A$3:$FE$2228,27,0)))),"")</f>
        <v/>
      </c>
      <c r="W85" t="str">
        <f>IFERROR(IF(VLOOKUP(B85,'DANH SACH UEH'!$A$3:$FE$2228,29,0)&lt;"6","",VLOOKUP(B85,'DANH SACH UEH'!$A$3:$FE$2228,29,0)),"")</f>
        <v/>
      </c>
      <c r="X85" t="str">
        <f>IFERROR(IF(V85="","",VLOOKUP(B85,'DANH SACH UEH'!$A$3:$FE$2228,28,0)&amp;""),"")</f>
        <v/>
      </c>
      <c r="Z85" t="str">
        <f>VLOOKUP(B85,'DANH SACH UEH'!$A$3:$FE$2228,44,0)</f>
        <v>7.69</v>
      </c>
      <c r="AA85" t="str">
        <f>VLOOKUP(B85,'DANH SACH UEH'!$A$3:$FE$2228,45,0)</f>
        <v>8.12</v>
      </c>
      <c r="AB85" t="str">
        <f>VLOOKUP(B85,'DANH SACH UEH'!$A$3:$FE$2228,46,0)</f>
        <v>8.58</v>
      </c>
      <c r="AE85" t="str">
        <f>VLOOKUP(B85,'DANH SACH UEH'!$A$3:$I$2229,4,0)</f>
        <v>NGUYỄN THỊ MỸ HẠNH</v>
      </c>
      <c r="AF85" t="str">
        <f>VLOOKUP(B85,'DANH SACH UEH'!$A$3:$I$2229,8,0)</f>
        <v>0333709867</v>
      </c>
    </row>
    <row r="86" spans="1:32" x14ac:dyDescent="0.25">
      <c r="A86">
        <v>85</v>
      </c>
      <c r="B86" t="s">
        <v>40</v>
      </c>
      <c r="C86" t="str">
        <f>VLOOKUP(B86,'DANH SACH UEH'!$A$3:$FE$2228,2,0)</f>
        <v>KSVBS2605074</v>
      </c>
      <c r="D86" t="str">
        <f>IFERROR(VLOOKUP(B86,'DS NGHIEP VU BO'!$A$3:$BX$148,6,0),"")</f>
        <v>91020005</v>
      </c>
      <c r="E86" t="str">
        <f>VLOOKUP(B86,'DS NGHIEP VU BO'!$A$3:$BX$148,45,0)</f>
        <v>An Giang</v>
      </c>
      <c r="F86" t="str">
        <f t="shared" si="1"/>
        <v/>
      </c>
      <c r="G86" t="str">
        <f>IFERROR(IF(VLOOKUP(B86,'DANH SACH UEH'!$A$3:$FE$2228,18,0)="Không có","",VLOOKUP(B86,'DANH SACH UEH'!$A$3:$FE$2228,18,0)),"")</f>
        <v/>
      </c>
      <c r="H86" t="str">
        <f>IFERROR(IF(VLOOKUP(B86,'DANH SACH UEH'!$A$3:$FE$2228,20,0)="Không có","",VLOOKUP(B86,'DANH SACH UEH'!$A$3:$FE$2228,20,0)),"")</f>
        <v/>
      </c>
      <c r="I86" t="str">
        <f>IFERROR(IF(VLOOKUP(B86,'DANH SACH UEH'!$A$3:$FE$2228,19,0)="Không có","",VLOOKUP(B86,'DANH SACH UEH'!$A$3:$FE$2228,19,0)),"")</f>
        <v/>
      </c>
      <c r="J86" t="str">
        <f>VLOOKUP(B86,'DANH SACH UEH'!$A$3:$FE$2228,6,0)</f>
        <v>09/04/2007</v>
      </c>
      <c r="K86" t="str">
        <f>IF(VLOOKUP(B86,'DANH SACH UEH'!$A$3:$FE$2228,5,0)="1","Nữ","Nam")</f>
        <v>Nam</v>
      </c>
      <c r="L86" t="str">
        <f>VLOOKUP(B86,'DANH SACH UEH'!$A$3:$FE$2228,14,0)</f>
        <v>Kinh</v>
      </c>
      <c r="M86" t="str">
        <f>VLOOKUP(B86,'DANH SACH UEH'!$A$3:$FE$2228,7,0)</f>
        <v>tdp090407@gmail.com</v>
      </c>
      <c r="N86" t="str">
        <f>VLOOKUP(B86,'DANH SACH UEH'!$A$3:$FE$2228,8,0)</f>
        <v>0949360904</v>
      </c>
      <c r="O86" t="str">
        <f>IFERROR(VLOOKUP(AE86,'DS TAO MAIL'!$D$3:$M$1120,5,0),"")</f>
        <v>31261570431</v>
      </c>
      <c r="P86" t="str">
        <f>IFERROR(VLOOKUP(AE86,'DS TAO MAIL'!$D$3:$M$1120,8,0),"")</f>
        <v>69610183</v>
      </c>
      <c r="Q86" t="str">
        <f>IFERROR(VLOOKUP(AE86,'DS TAO MAIL'!$D$3:$M$1120,7,0),"")</f>
        <v>phutran.31261570431@st.ueh.edu.vn</v>
      </c>
      <c r="R86" t="str">
        <f>IFERROR(VLOOKUP(AE86,'DS TAO MAIL'!$D$3:$M$1120,8,0),"")</f>
        <v>69610183</v>
      </c>
      <c r="S86">
        <v>72.91</v>
      </c>
      <c r="U86">
        <v>71.239999999999995</v>
      </c>
      <c r="V86" t="str">
        <f>IFERROR(IF(VLOOKUP(B86,'DANH SACH UEH'!$A$3:$FE$2228,27,0)="Không có","",IF(VLOOKUP(B86,'DANH SACH UEH'!$A$3:$FE$2228,29,0)&lt;"6","",(VLOOKUP(B86,'DANH SACH UEH'!$A$3:$FE$2228,27,0)))),"")</f>
        <v/>
      </c>
      <c r="W86" t="str">
        <f>IFERROR(IF(VLOOKUP(B86,'DANH SACH UEH'!$A$3:$FE$2228,29,0)&lt;"6","",VLOOKUP(B86,'DANH SACH UEH'!$A$3:$FE$2228,29,0)),"")</f>
        <v/>
      </c>
      <c r="X86" t="str">
        <f>IFERROR(IF(V86="","",VLOOKUP(B86,'DANH SACH UEH'!$A$3:$FE$2228,28,0)&amp;""),"")</f>
        <v/>
      </c>
      <c r="Z86" t="str">
        <f>VLOOKUP(B86,'DANH SACH UEH'!$A$3:$FE$2228,44,0)</f>
        <v>7.08</v>
      </c>
      <c r="AA86" t="str">
        <f>VLOOKUP(B86,'DANH SACH UEH'!$A$3:$FE$2228,45,0)</f>
        <v>8.01</v>
      </c>
      <c r="AB86" t="str">
        <f>VLOOKUP(B86,'DANH SACH UEH'!$A$3:$FE$2228,46,0)</f>
        <v>8.36</v>
      </c>
      <c r="AE86" t="str">
        <f>VLOOKUP(B86,'DANH SACH UEH'!$A$3:$I$2229,4,0)</f>
        <v>TRẦN ĐÔNG PHÚ</v>
      </c>
      <c r="AF86" t="str">
        <f>VLOOKUP(B86,'DANH SACH UEH'!$A$3:$I$2229,8,0)</f>
        <v>0949360904</v>
      </c>
    </row>
    <row r="87" spans="1:32" x14ac:dyDescent="0.25">
      <c r="A87">
        <v>86</v>
      </c>
      <c r="B87" t="s">
        <v>39</v>
      </c>
      <c r="C87" t="str">
        <f>VLOOKUP(B87,'DANH SACH UEH'!$A$3:$FE$2228,2,0)</f>
        <v>KSVBS2612974</v>
      </c>
      <c r="D87" t="str">
        <f>IFERROR(VLOOKUP(B87,'DS NGHIEP VU BO'!$A$3:$BX$148,6,0),"")</f>
        <v>91029245</v>
      </c>
      <c r="E87" t="str">
        <f>VLOOKUP(B87,'DS NGHIEP VU BO'!$A$3:$BX$148,45,0)</f>
        <v>An Giang</v>
      </c>
      <c r="F87" t="str">
        <f t="shared" si="1"/>
        <v/>
      </c>
      <c r="G87" t="str">
        <f>IFERROR(IF(VLOOKUP(B87,'DANH SACH UEH'!$A$3:$FE$2228,18,0)="Không có","",VLOOKUP(B87,'DANH SACH UEH'!$A$3:$FE$2228,18,0)),"")</f>
        <v/>
      </c>
      <c r="H87" t="str">
        <f>IFERROR(IF(VLOOKUP(B87,'DANH SACH UEH'!$A$3:$FE$2228,20,0)="Không có","",VLOOKUP(B87,'DANH SACH UEH'!$A$3:$FE$2228,20,0)),"")</f>
        <v/>
      </c>
      <c r="I87" t="str">
        <f>IFERROR(IF(VLOOKUP(B87,'DANH SACH UEH'!$A$3:$FE$2228,19,0)="Không có","",VLOOKUP(B87,'DANH SACH UEH'!$A$3:$FE$2228,19,0)),"")</f>
        <v/>
      </c>
      <c r="J87" t="str">
        <f>VLOOKUP(B87,'DANH SACH UEH'!$A$3:$FE$2228,6,0)</f>
        <v>10/01/2008</v>
      </c>
      <c r="K87" t="str">
        <f>IF(VLOOKUP(B87,'DANH SACH UEH'!$A$3:$FE$2228,5,0)="1","Nữ","Nam")</f>
        <v>Nam</v>
      </c>
      <c r="L87" t="str">
        <f>VLOOKUP(B87,'DANH SACH UEH'!$A$3:$FE$2228,14,0)</f>
        <v>Kinh</v>
      </c>
      <c r="M87" t="str">
        <f>VLOOKUP(B87,'DANH SACH UEH'!$A$3:$FE$2228,7,0)</f>
        <v>sangnguyenhung532@gmail.com</v>
      </c>
      <c r="N87" t="str">
        <f>VLOOKUP(B87,'DANH SACH UEH'!$A$3:$FE$2228,8,0)</f>
        <v>0919311306</v>
      </c>
      <c r="O87" t="str">
        <f>IFERROR(VLOOKUP(AE87,'DS TAO MAIL'!$D$3:$M$1120,5,0),"")</f>
        <v>31261570434</v>
      </c>
      <c r="P87" t="str">
        <f>IFERROR(VLOOKUP(AE87,'DS TAO MAIL'!$D$3:$M$1120,8,0),"")</f>
        <v>83659997</v>
      </c>
      <c r="Q87" t="str">
        <f>IFERROR(VLOOKUP(AE87,'DS TAO MAIL'!$D$3:$M$1120,7,0),"")</f>
        <v>sangnguyen.31261570434@st.ueh.edu.vn</v>
      </c>
      <c r="R87" t="str">
        <f>IFERROR(VLOOKUP(AE87,'DS TAO MAIL'!$D$3:$M$1120,8,0),"")</f>
        <v>83659997</v>
      </c>
      <c r="S87">
        <v>66.319999999999993</v>
      </c>
      <c r="U87">
        <v>66.319999999999993</v>
      </c>
      <c r="V87" t="str">
        <f>IFERROR(IF(VLOOKUP(B87,'DANH SACH UEH'!$A$3:$FE$2228,27,0)="Không có","",IF(VLOOKUP(B87,'DANH SACH UEH'!$A$3:$FE$2228,29,0)&lt;"6","",(VLOOKUP(B87,'DANH SACH UEH'!$A$3:$FE$2228,27,0)))),"")</f>
        <v/>
      </c>
      <c r="W87" t="str">
        <f>IFERROR(IF(VLOOKUP(B87,'DANH SACH UEH'!$A$3:$FE$2228,29,0)&lt;"6","",VLOOKUP(B87,'DANH SACH UEH'!$A$3:$FE$2228,29,0)),"")</f>
        <v/>
      </c>
      <c r="X87" t="str">
        <f>IFERROR(IF(V87="","",VLOOKUP(B87,'DANH SACH UEH'!$A$3:$FE$2228,28,0)&amp;""),"")</f>
        <v/>
      </c>
      <c r="Z87" t="str">
        <f>VLOOKUP(B87,'DANH SACH UEH'!$A$3:$FE$2228,44,0)</f>
        <v>6.03</v>
      </c>
      <c r="AA87" t="str">
        <f>VLOOKUP(B87,'DANH SACH UEH'!$A$3:$FE$2228,45,0)</f>
        <v>6.56</v>
      </c>
      <c r="AB87" t="str">
        <f>VLOOKUP(B87,'DANH SACH UEH'!$A$3:$FE$2228,46,0)</f>
        <v>7.00</v>
      </c>
      <c r="AE87" t="str">
        <f>VLOOKUP(B87,'DANH SACH UEH'!$A$3:$I$2229,4,0)</f>
        <v>NGUYỄN HÙNG SANG</v>
      </c>
      <c r="AF87" t="str">
        <f>VLOOKUP(B87,'DANH SACH UEH'!$A$3:$I$2229,8,0)</f>
        <v>0919311306</v>
      </c>
    </row>
    <row r="88" spans="1:32" x14ac:dyDescent="0.25">
      <c r="A88">
        <v>87</v>
      </c>
      <c r="B88" t="s">
        <v>38</v>
      </c>
      <c r="C88" t="str">
        <f>VLOOKUP(B88,'DANH SACH UEH'!$A$3:$FE$2228,2,0)</f>
        <v>KSVBS2607081</v>
      </c>
      <c r="D88" t="str">
        <f>IFERROR(VLOOKUP(B88,'DS NGHIEP VU BO'!$A$3:$BX$148,6,0),"")</f>
        <v>91029508</v>
      </c>
      <c r="E88" t="str">
        <f>VLOOKUP(B88,'DS NGHIEP VU BO'!$A$3:$BX$148,45,0)</f>
        <v>An Giang</v>
      </c>
      <c r="F88" t="str">
        <f t="shared" si="1"/>
        <v/>
      </c>
      <c r="G88" t="str">
        <f>IFERROR(IF(VLOOKUP(B88,'DANH SACH UEH'!$A$3:$FE$2228,18,0)="Không có","",VLOOKUP(B88,'DANH SACH UEH'!$A$3:$FE$2228,18,0)),"")</f>
        <v/>
      </c>
      <c r="H88" t="str">
        <f>IFERROR(IF(VLOOKUP(B88,'DANH SACH UEH'!$A$3:$FE$2228,20,0)="Không có","",VLOOKUP(B88,'DANH SACH UEH'!$A$3:$FE$2228,20,0)),"")</f>
        <v/>
      </c>
      <c r="I88" t="str">
        <f>IFERROR(IF(VLOOKUP(B88,'DANH SACH UEH'!$A$3:$FE$2228,19,0)="Không có","",VLOOKUP(B88,'DANH SACH UEH'!$A$3:$FE$2228,19,0)),"")</f>
        <v/>
      </c>
      <c r="J88" t="str">
        <f>VLOOKUP(B88,'DANH SACH UEH'!$A$3:$FE$2228,6,0)</f>
        <v>29/10/2008</v>
      </c>
      <c r="K88" t="str">
        <f>IF(VLOOKUP(B88,'DANH SACH UEH'!$A$3:$FE$2228,5,0)="1","Nữ","Nam")</f>
        <v>Nữ</v>
      </c>
      <c r="L88" t="str">
        <f>VLOOKUP(B88,'DANH SACH UEH'!$A$3:$FE$2228,14,0)</f>
        <v>Kinh</v>
      </c>
      <c r="M88" t="str">
        <f>VLOOKUP(B88,'DANH SACH UEH'!$A$3:$FE$2228,7,0)</f>
        <v>yenvhk208221@gmail.com</v>
      </c>
      <c r="N88" t="str">
        <f>VLOOKUP(B88,'DANH SACH UEH'!$A$3:$FE$2228,8,0)</f>
        <v>0943959098</v>
      </c>
      <c r="O88" t="str">
        <f>IFERROR(VLOOKUP(AF88,'DS TAO MAIL'!$A$3:$M$1120,8,0),"")</f>
        <v/>
      </c>
      <c r="P88" t="str">
        <f>IFERROR(VLOOKUP(AF88,'DS TAO MAIL'!$A$3:$M$1120,11,0),"")</f>
        <v/>
      </c>
      <c r="Q88" t="str">
        <f>IFERROR(VLOOKUP(AF88,'DS TAO MAIL'!$A$3:$M$1120,10,0),"")</f>
        <v/>
      </c>
      <c r="R88" t="str">
        <f>IFERROR(VLOOKUP(AF88,'DS TAO MAIL'!$A$3:$M$1120,11,0),"")</f>
        <v/>
      </c>
      <c r="S88">
        <v>82.42</v>
      </c>
      <c r="U88">
        <v>81.16</v>
      </c>
      <c r="V88" t="str">
        <f>IFERROR(IF(VLOOKUP(B88,'DANH SACH UEH'!$A$3:$FE$2228,27,0)="Không có","",IF(VLOOKUP(B88,'DANH SACH UEH'!$A$3:$FE$2228,29,0)&lt;"6","",(VLOOKUP(B88,'DANH SACH UEH'!$A$3:$FE$2228,27,0)))),"")</f>
        <v/>
      </c>
      <c r="W88" t="str">
        <f>IFERROR(IF(VLOOKUP(B88,'DANH SACH UEH'!$A$3:$FE$2228,29,0)&lt;"6","",VLOOKUP(B88,'DANH SACH UEH'!$A$3:$FE$2228,29,0)),"")</f>
        <v/>
      </c>
      <c r="X88" t="str">
        <f>IFERROR(IF(V88="","",VLOOKUP(B88,'DANH SACH UEH'!$A$3:$FE$2228,28,0)&amp;""),"")</f>
        <v/>
      </c>
      <c r="Z88" t="str">
        <f>VLOOKUP(B88,'DANH SACH UEH'!$A$3:$FE$2228,44,0)</f>
        <v>7.21</v>
      </c>
      <c r="AA88" t="str">
        <f>VLOOKUP(B88,'DANH SACH UEH'!$A$3:$FE$2228,45,0)</f>
        <v>7.78</v>
      </c>
      <c r="AB88" t="str">
        <f>VLOOKUP(B88,'DANH SACH UEH'!$A$3:$FE$2228,46,0)</f>
        <v>7.59</v>
      </c>
      <c r="AE88" t="str">
        <f>VLOOKUP(B88,'DANH SACH UEH'!$A$3:$I$2229,4,0)</f>
        <v>VƯƠNG HOÀNG KIM YẾN</v>
      </c>
      <c r="AF88" t="str">
        <f>VLOOKUP(B88,'DANH SACH UEH'!$A$3:$I$2229,8,0)</f>
        <v>0943959098</v>
      </c>
    </row>
    <row r="89" spans="1:32" x14ac:dyDescent="0.25">
      <c r="A89">
        <v>88</v>
      </c>
      <c r="B89" t="s">
        <v>37</v>
      </c>
      <c r="C89" t="str">
        <f>VLOOKUP(B89,'DANH SACH UEH'!$A$3:$FE$2228,2,0)</f>
        <v>KSVBS2600202</v>
      </c>
      <c r="D89" t="str">
        <f>IFERROR(VLOOKUP(B89,'DS NGHIEP VU BO'!$A$3:$BX$148,6,0),"")</f>
        <v>91018048</v>
      </c>
      <c r="E89" t="str">
        <f>VLOOKUP(B89,'DS NGHIEP VU BO'!$A$3:$BX$148,45,0)</f>
        <v>An Giang</v>
      </c>
      <c r="F89" t="str">
        <f t="shared" si="1"/>
        <v/>
      </c>
      <c r="G89" t="str">
        <f>IFERROR(IF(VLOOKUP(B89,'DANH SACH UEH'!$A$3:$FE$2228,18,0)="Không có","",VLOOKUP(B89,'DANH SACH UEH'!$A$3:$FE$2228,18,0)),"")</f>
        <v/>
      </c>
      <c r="H89" t="str">
        <f>IFERROR(IF(VLOOKUP(B89,'DANH SACH UEH'!$A$3:$FE$2228,20,0)="Không có","",VLOOKUP(B89,'DANH SACH UEH'!$A$3:$FE$2228,20,0)),"")</f>
        <v/>
      </c>
      <c r="I89" t="str">
        <f>IFERROR(IF(VLOOKUP(B89,'DANH SACH UEH'!$A$3:$FE$2228,19,0)="Không có","",VLOOKUP(B89,'DANH SACH UEH'!$A$3:$FE$2228,19,0)),"")</f>
        <v/>
      </c>
      <c r="J89" t="str">
        <f>VLOOKUP(B89,'DANH SACH UEH'!$A$3:$FE$2228,6,0)</f>
        <v>30/04/2008</v>
      </c>
      <c r="K89" t="str">
        <f>IF(VLOOKUP(B89,'DANH SACH UEH'!$A$3:$FE$2228,5,0)="1","Nữ","Nam")</f>
        <v>Nữ</v>
      </c>
      <c r="L89" t="str">
        <f>VLOOKUP(B89,'DANH SACH UEH'!$A$3:$FE$2228,14,0)</f>
        <v>Kinh</v>
      </c>
      <c r="M89" t="str">
        <f>VLOOKUP(B89,'DANH SACH UEH'!$A$3:$FE$2228,7,0)</f>
        <v>giaohg1234@gmail.com</v>
      </c>
      <c r="N89" t="str">
        <f>VLOOKUP(B89,'DANH SACH UEH'!$A$3:$FE$2228,8,0)</f>
        <v>0376435793</v>
      </c>
      <c r="O89" t="str">
        <f>IFERROR(VLOOKUP(AE89,'DS TAO MAIL'!$D$3:$M$1120,5,0),"")</f>
        <v>31261570450</v>
      </c>
      <c r="P89" t="str">
        <f>IFERROR(VLOOKUP(AE89,'DS TAO MAIL'!$D$3:$M$1120,8,0),"")</f>
        <v>84438349</v>
      </c>
      <c r="Q89" t="str">
        <f>IFERROR(VLOOKUP(AE89,'DS TAO MAIL'!$D$3:$M$1120,7,0),"")</f>
        <v>giaohuynh.31261570450@st.ueh.edu.vn</v>
      </c>
      <c r="R89" t="str">
        <f>IFERROR(VLOOKUP(AE89,'DS TAO MAIL'!$D$3:$M$1120,8,0),"")</f>
        <v>84438349</v>
      </c>
      <c r="S89">
        <v>77.790000000000006</v>
      </c>
      <c r="U89">
        <v>75.319999999999993</v>
      </c>
      <c r="V89" t="str">
        <f>IFERROR(IF(VLOOKUP(B89,'DANH SACH UEH'!$A$3:$FE$2228,27,0)="Không có","",IF(VLOOKUP(B89,'DANH SACH UEH'!$A$3:$FE$2228,29,0)&lt;"6","",(VLOOKUP(B89,'DANH SACH UEH'!$A$3:$FE$2228,27,0)))),"")</f>
        <v/>
      </c>
      <c r="W89" t="str">
        <f>IFERROR(IF(VLOOKUP(B89,'DANH SACH UEH'!$A$3:$FE$2228,29,0)&lt;"6","",VLOOKUP(B89,'DANH SACH UEH'!$A$3:$FE$2228,29,0)),"")</f>
        <v/>
      </c>
      <c r="X89" t="str">
        <f>IFERROR(IF(V89="","",VLOOKUP(B89,'DANH SACH UEH'!$A$3:$FE$2228,28,0)&amp;""),"")</f>
        <v/>
      </c>
      <c r="Z89" t="str">
        <f>VLOOKUP(B89,'DANH SACH UEH'!$A$3:$FE$2228,44,0)</f>
        <v>7.51</v>
      </c>
      <c r="AA89" t="str">
        <f>VLOOKUP(B89,'DANH SACH UEH'!$A$3:$FE$2228,45,0)</f>
        <v>7.71</v>
      </c>
      <c r="AB89" t="str">
        <f>VLOOKUP(B89,'DANH SACH UEH'!$A$3:$FE$2228,46,0)</f>
        <v>8.64</v>
      </c>
      <c r="AE89" t="str">
        <f>VLOOKUP(B89,'DANH SACH UEH'!$A$3:$I$2229,4,0)</f>
        <v>HUỲNH NGÂN GIAO</v>
      </c>
      <c r="AF89" t="str">
        <f>VLOOKUP(B89,'DANH SACH UEH'!$A$3:$I$2229,8,0)</f>
        <v>0376435793</v>
      </c>
    </row>
    <row r="90" spans="1:32" x14ac:dyDescent="0.25">
      <c r="A90">
        <v>89</v>
      </c>
      <c r="B90" t="s">
        <v>36</v>
      </c>
      <c r="C90" t="str">
        <f>VLOOKUP(B90,'DANH SACH UEH'!$A$3:$FE$2228,2,0)</f>
        <v>KSVBS2623834</v>
      </c>
      <c r="D90" t="str">
        <f>IFERROR(VLOOKUP(B90,'DS NGHIEP VU BO'!$A$3:$BX$148,6,0),"")</f>
        <v>92010238</v>
      </c>
      <c r="E90" t="str">
        <f>VLOOKUP(B90,'DS NGHIEP VU BO'!$A$3:$BX$148,45,0)</f>
        <v>Cần Thơ</v>
      </c>
      <c r="F90" t="str">
        <f t="shared" si="1"/>
        <v/>
      </c>
      <c r="G90" t="str">
        <f>IFERROR(IF(VLOOKUP(B90,'DANH SACH UEH'!$A$3:$FE$2228,18,0)="Không có","",VLOOKUP(B90,'DANH SACH UEH'!$A$3:$FE$2228,18,0)),"")</f>
        <v/>
      </c>
      <c r="H90" t="str">
        <f>IFERROR(IF(VLOOKUP(B90,'DANH SACH UEH'!$A$3:$FE$2228,20,0)="Không có","",VLOOKUP(B90,'DANH SACH UEH'!$A$3:$FE$2228,20,0)),"")</f>
        <v/>
      </c>
      <c r="I90" t="str">
        <f>IFERROR(IF(VLOOKUP(B90,'DANH SACH UEH'!$A$3:$FE$2228,19,0)="Không có","",VLOOKUP(B90,'DANH SACH UEH'!$A$3:$FE$2228,19,0)),"")</f>
        <v/>
      </c>
      <c r="J90" t="str">
        <f>VLOOKUP(B90,'DANH SACH UEH'!$A$3:$FE$2228,6,0)</f>
        <v>29/05/2008</v>
      </c>
      <c r="K90" t="str">
        <f>IF(VLOOKUP(B90,'DANH SACH UEH'!$A$3:$FE$2228,5,0)="1","Nữ","Nam")</f>
        <v>Nam</v>
      </c>
      <c r="L90" t="str">
        <f>VLOOKUP(B90,'DANH SACH UEH'!$A$3:$FE$2228,14,0)</f>
        <v>Kinh</v>
      </c>
      <c r="M90" t="str">
        <f>VLOOKUP(B90,'DANH SACH UEH'!$A$3:$FE$2228,7,0)</f>
        <v>lekien2958@gmail.com</v>
      </c>
      <c r="N90" t="str">
        <f>VLOOKUP(B90,'DANH SACH UEH'!$A$3:$FE$2228,8,0)</f>
        <v>0388512100</v>
      </c>
      <c r="O90" t="str">
        <f>IFERROR(VLOOKUP(AE90,'DS TAO MAIL'!$D$3:$M$1120,5,0),"")</f>
        <v>31261570460</v>
      </c>
      <c r="P90" t="str">
        <f>IFERROR(VLOOKUP(AE90,'DS TAO MAIL'!$D$3:$M$1120,8,0),"")</f>
        <v>33260398</v>
      </c>
      <c r="Q90" t="str">
        <f>IFERROR(VLOOKUP(AE90,'DS TAO MAIL'!$D$3:$M$1120,7,0),"")</f>
        <v>kienle.31261570460@st.ueh.edu.vn</v>
      </c>
      <c r="R90" t="str">
        <f>IFERROR(VLOOKUP(AE90,'DS TAO MAIL'!$D$3:$M$1120,8,0),"")</f>
        <v>33260398</v>
      </c>
      <c r="S90">
        <v>80.91</v>
      </c>
      <c r="U90">
        <v>79.540000000000006</v>
      </c>
      <c r="V90" t="str">
        <f>IFERROR(IF(VLOOKUP(B90,'DANH SACH UEH'!$A$3:$FE$2228,27,0)="Không có","",IF(VLOOKUP(B90,'DANH SACH UEH'!$A$3:$FE$2228,29,0)&lt;"6","",(VLOOKUP(B90,'DANH SACH UEH'!$A$3:$FE$2228,27,0)))),"")</f>
        <v/>
      </c>
      <c r="W90" t="str">
        <f>IFERROR(IF(VLOOKUP(B90,'DANH SACH UEH'!$A$3:$FE$2228,29,0)&lt;"6","",VLOOKUP(B90,'DANH SACH UEH'!$A$3:$FE$2228,29,0)),"")</f>
        <v/>
      </c>
      <c r="X90" t="str">
        <f>IFERROR(IF(V90="","",VLOOKUP(B90,'DANH SACH UEH'!$A$3:$FE$2228,28,0)&amp;""),"")</f>
        <v/>
      </c>
      <c r="Z90" t="str">
        <f>VLOOKUP(B90,'DANH SACH UEH'!$A$3:$FE$2228,44,0)</f>
        <v>7.14</v>
      </c>
      <c r="AA90" t="str">
        <f>VLOOKUP(B90,'DANH SACH UEH'!$A$3:$FE$2228,45,0)</f>
        <v>7.94</v>
      </c>
      <c r="AB90" t="str">
        <f>VLOOKUP(B90,'DANH SACH UEH'!$A$3:$FE$2228,46,0)</f>
        <v>7.81</v>
      </c>
      <c r="AE90" t="str">
        <f>VLOOKUP(B90,'DANH SACH UEH'!$A$3:$I$2229,4,0)</f>
        <v>LÊ HOÀNG TRUNG KIÊN</v>
      </c>
      <c r="AF90" t="str">
        <f>VLOOKUP(B90,'DANH SACH UEH'!$A$3:$I$2229,8,0)</f>
        <v>0388512100</v>
      </c>
    </row>
    <row r="91" spans="1:32" x14ac:dyDescent="0.25">
      <c r="A91">
        <v>90</v>
      </c>
      <c r="B91" t="s">
        <v>35</v>
      </c>
      <c r="C91" t="str">
        <f>VLOOKUP(B91,'DANH SACH UEH'!$A$3:$FE$2228,2,0)</f>
        <v>KSVBS2639703</v>
      </c>
      <c r="D91" t="str">
        <f>IFERROR(VLOOKUP(B91,'DS NGHIEP VU BO'!$A$3:$BX$148,6,0),"")</f>
        <v>91030492</v>
      </c>
      <c r="E91" t="str">
        <f>VLOOKUP(B91,'DS NGHIEP VU BO'!$A$3:$BX$148,45,0)</f>
        <v>Cần Thơ</v>
      </c>
      <c r="F91" t="str">
        <f t="shared" si="1"/>
        <v/>
      </c>
      <c r="G91" t="str">
        <f>IFERROR(IF(VLOOKUP(B91,'DANH SACH UEH'!$A$3:$FE$2228,18,0)="Không có","",VLOOKUP(B91,'DANH SACH UEH'!$A$3:$FE$2228,18,0)),"")</f>
        <v/>
      </c>
      <c r="H91" t="str">
        <f>IFERROR(IF(VLOOKUP(B91,'DANH SACH UEH'!$A$3:$FE$2228,20,0)="Không có","",VLOOKUP(B91,'DANH SACH UEH'!$A$3:$FE$2228,20,0)),"")</f>
        <v/>
      </c>
      <c r="I91" t="str">
        <f>IFERROR(IF(VLOOKUP(B91,'DANH SACH UEH'!$A$3:$FE$2228,19,0)="Không có","",VLOOKUP(B91,'DANH SACH UEH'!$A$3:$FE$2228,19,0)),"")</f>
        <v/>
      </c>
      <c r="J91" t="str">
        <f>VLOOKUP(B91,'DANH SACH UEH'!$A$3:$FE$2228,6,0)</f>
        <v>28/12/2008</v>
      </c>
      <c r="K91" t="str">
        <f>IF(VLOOKUP(B91,'DANH SACH UEH'!$A$3:$FE$2228,5,0)="1","Nữ","Nam")</f>
        <v>Nam</v>
      </c>
      <c r="L91" t="str">
        <f>VLOOKUP(B91,'DANH SACH UEH'!$A$3:$FE$2228,14,0)</f>
        <v>Kinh</v>
      </c>
      <c r="M91" t="str">
        <f>VLOOKUP(B91,'DANH SACH UEH'!$A$3:$FE$2228,7,0)</f>
        <v>nguyenlehoangduy281208@gmail.com</v>
      </c>
      <c r="N91" t="str">
        <f>VLOOKUP(B91,'DANH SACH UEH'!$A$3:$FE$2228,8,0)</f>
        <v>0344197951</v>
      </c>
      <c r="O91" t="str">
        <f>IFERROR(VLOOKUP(AE91,'DS TAO MAIL'!$D$3:$M$1120,5,0),"")</f>
        <v/>
      </c>
      <c r="P91" t="str">
        <f>IFERROR(VLOOKUP(AE91,'DS TAO MAIL'!$D$3:$M$1120,8,0),"")</f>
        <v/>
      </c>
      <c r="Q91" t="str">
        <f>IFERROR(VLOOKUP(AE91,'DS TAO MAIL'!$D$3:$M$1120,7,0),"")</f>
        <v/>
      </c>
      <c r="R91" t="str">
        <f>IFERROR(VLOOKUP(AE91,'DS TAO MAIL'!$D$3:$M$1120,8,0),"")</f>
        <v/>
      </c>
      <c r="S91">
        <v>87.9</v>
      </c>
      <c r="U91">
        <v>87.48</v>
      </c>
      <c r="V91" t="str">
        <f>IFERROR(IF(VLOOKUP(B91,'DANH SACH UEH'!$A$3:$FE$2228,27,0)="Không có","",IF(VLOOKUP(B91,'DANH SACH UEH'!$A$3:$FE$2228,29,0)&lt;"6","",(VLOOKUP(B91,'DANH SACH UEH'!$A$3:$FE$2228,27,0)))),"")</f>
        <v/>
      </c>
      <c r="W91" t="str">
        <f>IFERROR(IF(VLOOKUP(B91,'DANH SACH UEH'!$A$3:$FE$2228,29,0)&lt;"6","",VLOOKUP(B91,'DANH SACH UEH'!$A$3:$FE$2228,29,0)),"")</f>
        <v/>
      </c>
      <c r="X91" t="str">
        <f>IFERROR(IF(V91="","",VLOOKUP(B91,'DANH SACH UEH'!$A$3:$FE$2228,28,0)&amp;""),"")</f>
        <v/>
      </c>
      <c r="Z91" t="str">
        <f>VLOOKUP(B91,'DANH SACH UEH'!$A$3:$FE$2228,44,0)</f>
        <v>8.51</v>
      </c>
      <c r="AA91" t="str">
        <f>VLOOKUP(B91,'DANH SACH UEH'!$A$3:$FE$2228,45,0)</f>
        <v>8.60</v>
      </c>
      <c r="AB91" t="str">
        <f>VLOOKUP(B91,'DANH SACH UEH'!$A$3:$FE$2228,46,0)</f>
        <v>9.00</v>
      </c>
      <c r="AE91" t="str">
        <f>VLOOKUP(B91,'DANH SACH UEH'!$A$3:$I$2229,4,0)</f>
        <v>NGUYỄN LÊ HOÀNG DUY</v>
      </c>
      <c r="AF91" t="str">
        <f>VLOOKUP(B91,'DANH SACH UEH'!$A$3:$I$2229,8,0)</f>
        <v>0344197951</v>
      </c>
    </row>
    <row r="92" spans="1:32" x14ac:dyDescent="0.25">
      <c r="A92">
        <v>91</v>
      </c>
      <c r="B92" t="s">
        <v>34</v>
      </c>
      <c r="C92" t="str">
        <f>VLOOKUP(B92,'DANH SACH UEH'!$A$3:$FE$2228,2,0)</f>
        <v>KSVBS2600914</v>
      </c>
      <c r="D92" t="str">
        <f>IFERROR(VLOOKUP(B92,'DS NGHIEP VU BO'!$A$3:$BX$148,6,0),"")</f>
        <v>92005163</v>
      </c>
      <c r="E92" t="str">
        <f>VLOOKUP(B92,'DS NGHIEP VU BO'!$A$3:$BX$148,45,0)</f>
        <v>Cần Thơ</v>
      </c>
      <c r="F92" t="str">
        <f t="shared" si="1"/>
        <v/>
      </c>
      <c r="G92" t="str">
        <f>IFERROR(IF(VLOOKUP(B92,'DANH SACH UEH'!$A$3:$FE$2228,18,0)="Không có","",VLOOKUP(B92,'DANH SACH UEH'!$A$3:$FE$2228,18,0)),"")</f>
        <v/>
      </c>
      <c r="H92" t="str">
        <f>IFERROR(IF(VLOOKUP(B92,'DANH SACH UEH'!$A$3:$FE$2228,20,0)="Không có","",VLOOKUP(B92,'DANH SACH UEH'!$A$3:$FE$2228,20,0)),"")</f>
        <v/>
      </c>
      <c r="I92" t="str">
        <f>IFERROR(IF(VLOOKUP(B92,'DANH SACH UEH'!$A$3:$FE$2228,19,0)="Không có","",VLOOKUP(B92,'DANH SACH UEH'!$A$3:$FE$2228,19,0)),"")</f>
        <v/>
      </c>
      <c r="J92" t="str">
        <f>VLOOKUP(B92,'DANH SACH UEH'!$A$3:$FE$2228,6,0)</f>
        <v>20/06/2008</v>
      </c>
      <c r="K92" t="str">
        <f>IF(VLOOKUP(B92,'DANH SACH UEH'!$A$3:$FE$2228,5,0)="1","Nữ","Nam")</f>
        <v>Nữ</v>
      </c>
      <c r="L92" t="str">
        <f>VLOOKUP(B92,'DANH SACH UEH'!$A$3:$FE$2228,14,0)</f>
        <v>Kinh</v>
      </c>
      <c r="M92" t="str">
        <f>VLOOKUP(B92,'DANH SACH UEH'!$A$3:$FE$2228,7,0)</f>
        <v>baotranhuynh2207@gmail.com</v>
      </c>
      <c r="N92" t="str">
        <f>VLOOKUP(B92,'DANH SACH UEH'!$A$3:$FE$2228,8,0)</f>
        <v>0907819646</v>
      </c>
      <c r="O92" t="str">
        <f>IFERROR(VLOOKUP(AE92,'DS TAO MAIL'!$D$3:$M$1120,5,0),"")</f>
        <v>31261570425</v>
      </c>
      <c r="P92" t="str">
        <f>IFERROR(VLOOKUP(AE92,'DS TAO MAIL'!$D$3:$M$1120,8,0),"")</f>
        <v>71933317</v>
      </c>
      <c r="Q92" t="str">
        <f>IFERROR(VLOOKUP(AE92,'DS TAO MAIL'!$D$3:$M$1120,7,0),"")</f>
        <v>tranhuynh.31261570425@st.ueh.edu.vn</v>
      </c>
      <c r="R92" t="str">
        <f>IFERROR(VLOOKUP(AE92,'DS TAO MAIL'!$D$3:$M$1120,8,0),"")</f>
        <v>71933317</v>
      </c>
      <c r="S92">
        <v>66.89</v>
      </c>
      <c r="U92">
        <v>65.22</v>
      </c>
      <c r="V92" t="str">
        <f>IFERROR(IF(VLOOKUP(B92,'DANH SACH UEH'!$A$3:$FE$2228,27,0)="Không có","",IF(VLOOKUP(B92,'DANH SACH UEH'!$A$3:$FE$2228,29,0)&lt;"6","",(VLOOKUP(B92,'DANH SACH UEH'!$A$3:$FE$2228,27,0)))),"")</f>
        <v/>
      </c>
      <c r="W92" t="str">
        <f>IFERROR(IF(VLOOKUP(B92,'DANH SACH UEH'!$A$3:$FE$2228,29,0)&lt;"6","",VLOOKUP(B92,'DANH SACH UEH'!$A$3:$FE$2228,29,0)),"")</f>
        <v/>
      </c>
      <c r="X92" t="str">
        <f>IFERROR(IF(V92="","",VLOOKUP(B92,'DANH SACH UEH'!$A$3:$FE$2228,28,0)&amp;""),"")</f>
        <v/>
      </c>
      <c r="Z92" t="str">
        <f>VLOOKUP(B92,'DANH SACH UEH'!$A$3:$FE$2228,44,0)</f>
        <v>7.86</v>
      </c>
      <c r="AA92" t="str">
        <f>VLOOKUP(B92,'DANH SACH UEH'!$A$3:$FE$2228,45,0)</f>
        <v>8.12</v>
      </c>
      <c r="AB92" t="str">
        <f>VLOOKUP(B92,'DANH SACH UEH'!$A$3:$FE$2228,46,0)</f>
        <v>8.34</v>
      </c>
      <c r="AE92" t="str">
        <f>VLOOKUP(B92,'DANH SACH UEH'!$A$3:$I$2229,4,0)</f>
        <v>HUỲNH BẢO TRÂN</v>
      </c>
      <c r="AF92" t="str">
        <f>VLOOKUP(B92,'DANH SACH UEH'!$A$3:$I$2229,8,0)</f>
        <v>0907819646</v>
      </c>
    </row>
    <row r="93" spans="1:32" x14ac:dyDescent="0.25">
      <c r="A93">
        <v>92</v>
      </c>
      <c r="B93" t="s">
        <v>33</v>
      </c>
      <c r="C93" t="str">
        <f>VLOOKUP(B93,'DANH SACH UEH'!$A$3:$FE$2228,2,0)</f>
        <v>KSVBS2612397</v>
      </c>
      <c r="D93" t="str">
        <f>IFERROR(VLOOKUP(B93,'DS NGHIEP VU BO'!$A$3:$BX$148,6,0),"")</f>
        <v>86022760</v>
      </c>
      <c r="E93" t="str">
        <f>VLOOKUP(B93,'DS NGHIEP VU BO'!$A$3:$BX$148,45,0)</f>
        <v>Vĩnh Long</v>
      </c>
      <c r="F93" t="str">
        <f t="shared" si="1"/>
        <v/>
      </c>
      <c r="G93" t="str">
        <f>IFERROR(IF(VLOOKUP(B93,'DANH SACH UEH'!$A$3:$FE$2228,18,0)="Không có","",VLOOKUP(B93,'DANH SACH UEH'!$A$3:$FE$2228,18,0)),"")</f>
        <v/>
      </c>
      <c r="H93" t="str">
        <f>IFERROR(IF(VLOOKUP(B93,'DANH SACH UEH'!$A$3:$FE$2228,20,0)="Không có","",VLOOKUP(B93,'DANH SACH UEH'!$A$3:$FE$2228,20,0)),"")</f>
        <v/>
      </c>
      <c r="I93" t="str">
        <f>IFERROR(IF(VLOOKUP(B93,'DANH SACH UEH'!$A$3:$FE$2228,19,0)="Không có","",VLOOKUP(B93,'DANH SACH UEH'!$A$3:$FE$2228,19,0)),"")</f>
        <v/>
      </c>
      <c r="J93" t="str">
        <f>VLOOKUP(B93,'DANH SACH UEH'!$A$3:$FE$2228,6,0)</f>
        <v>16/12/2008</v>
      </c>
      <c r="K93" t="str">
        <f>IF(VLOOKUP(B93,'DANH SACH UEH'!$A$3:$FE$2228,5,0)="1","Nữ","Nam")</f>
        <v>Nữ</v>
      </c>
      <c r="L93" t="str">
        <f>VLOOKUP(B93,'DANH SACH UEH'!$A$3:$FE$2228,14,0)</f>
        <v>Kinh</v>
      </c>
      <c r="M93" t="str">
        <f>VLOOKUP(B93,'DANH SACH UEH'!$A$3:$FE$2228,7,0)</f>
        <v>nguyenhoangkimtb2021@gmail.com</v>
      </c>
      <c r="N93" t="str">
        <f>VLOOKUP(B93,'DANH SACH UEH'!$A$3:$FE$2228,8,0)</f>
        <v>0842750031</v>
      </c>
      <c r="O93" t="str">
        <f>IFERROR(VLOOKUP(AE93,'DS TAO MAIL'!$D$3:$M$1120,5,0),"")</f>
        <v>31261570484</v>
      </c>
      <c r="P93" t="str">
        <f>IFERROR(VLOOKUP(AE93,'DS TAO MAIL'!$D$3:$M$1120,8,0),"")</f>
        <v>10227239</v>
      </c>
      <c r="Q93" t="str">
        <f>IFERROR(VLOOKUP(AE93,'DS TAO MAIL'!$D$3:$M$1120,7,0),"")</f>
        <v>kimnguyen.31261570484@st.ueh.edu.vn</v>
      </c>
      <c r="R93" t="str">
        <f>IFERROR(VLOOKUP(AE93,'DS TAO MAIL'!$D$3:$M$1120,8,0),"")</f>
        <v>10227239</v>
      </c>
      <c r="S93">
        <v>75.52</v>
      </c>
      <c r="U93">
        <v>73.02</v>
      </c>
      <c r="Z93" t="str">
        <f>VLOOKUP(B93,'DANH SACH UEH'!$A$3:$FE$2228,44,0)</f>
        <v>9.14</v>
      </c>
      <c r="AA93" t="str">
        <f>VLOOKUP(B93,'DANH SACH UEH'!$A$3:$FE$2228,45,0)</f>
        <v>9.19</v>
      </c>
      <c r="AB93" t="str">
        <f>VLOOKUP(B93,'DANH SACH UEH'!$A$3:$FE$2228,46,0)</f>
        <v>9.57</v>
      </c>
      <c r="AE93" t="str">
        <f>VLOOKUP(B93,'DANH SACH UEH'!$A$3:$I$2229,4,0)</f>
        <v>NGUYỄN HOÀNG KIM</v>
      </c>
      <c r="AF93" t="str">
        <f>VLOOKUP(B93,'DANH SACH UEH'!$A$3:$I$2229,8,0)</f>
        <v>0842750031</v>
      </c>
    </row>
    <row r="94" spans="1:32" x14ac:dyDescent="0.25">
      <c r="A94">
        <v>93</v>
      </c>
      <c r="B94" t="s">
        <v>32</v>
      </c>
      <c r="C94" t="str">
        <f>VLOOKUP(B94,'DANH SACH UEH'!$A$3:$FE$2228,2,0)</f>
        <v>KSVBS2646760</v>
      </c>
      <c r="D94" t="str">
        <f>IFERROR(VLOOKUP(B94,'DS NGHIEP VU BO'!$A$3:$BX$148,6,0),"")</f>
        <v>92012463</v>
      </c>
      <c r="E94" t="str">
        <f>VLOOKUP(B94,'DS NGHIEP VU BO'!$A$3:$BX$148,45,0)</f>
        <v>Cần Thơ</v>
      </c>
      <c r="F94" t="str">
        <f t="shared" si="1"/>
        <v/>
      </c>
      <c r="G94" t="str">
        <f>IFERROR(IF(VLOOKUP(B94,'DANH SACH UEH'!$A$3:$FE$2228,18,0)="Không có","",VLOOKUP(B94,'DANH SACH UEH'!$A$3:$FE$2228,18,0)),"")</f>
        <v/>
      </c>
      <c r="H94" t="str">
        <f>IFERROR(IF(VLOOKUP(B94,'DANH SACH UEH'!$A$3:$FE$2228,20,0)="Không có","",VLOOKUP(B94,'DANH SACH UEH'!$A$3:$FE$2228,20,0)),"")</f>
        <v/>
      </c>
      <c r="I94" t="str">
        <f>IFERROR(IF(VLOOKUP(B94,'DANH SACH UEH'!$A$3:$FE$2228,19,0)="Không có","",VLOOKUP(B94,'DANH SACH UEH'!$A$3:$FE$2228,19,0)),"")</f>
        <v/>
      </c>
      <c r="J94" t="str">
        <f>VLOOKUP(B94,'DANH SACH UEH'!$A$3:$FE$2228,6,0)</f>
        <v>16/02/2008</v>
      </c>
      <c r="K94" t="str">
        <f>IF(VLOOKUP(B94,'DANH SACH UEH'!$A$3:$FE$2228,5,0)="1","Nữ","Nam")</f>
        <v>Nữ</v>
      </c>
      <c r="L94" t="str">
        <f>VLOOKUP(B94,'DANH SACH UEH'!$A$3:$FE$2228,14,0)</f>
        <v>Kinh</v>
      </c>
      <c r="M94" t="str">
        <f>VLOOKUP(B94,'DANH SACH UEH'!$A$3:$FE$2228,7,0)</f>
        <v>hong.agn@gmail.com</v>
      </c>
      <c r="N94" t="str">
        <f>VLOOKUP(B94,'DANH SACH UEH'!$A$3:$FE$2228,8,0)</f>
        <v>0779442965</v>
      </c>
      <c r="O94" t="str">
        <f>IFERROR(VLOOKUP(AE94,'DS TAO MAIL'!$D$3:$M$1120,5,0),"")</f>
        <v>31261570477</v>
      </c>
      <c r="P94" t="str">
        <f>IFERROR(VLOOKUP(AE94,'DS TAO MAIL'!$D$3:$M$1120,8,0),"")</f>
        <v>78302850</v>
      </c>
      <c r="Q94" t="str">
        <f>IFERROR(VLOOKUP(AE94,'DS TAO MAIL'!$D$3:$M$1120,7,0),"")</f>
        <v>anhho.31261570477@st.ueh.edu.vn</v>
      </c>
      <c r="R94" t="str">
        <f>IFERROR(VLOOKUP(AE94,'DS TAO MAIL'!$D$3:$M$1120,8,0),"")</f>
        <v>78302850</v>
      </c>
      <c r="S94">
        <v>75.73</v>
      </c>
      <c r="U94">
        <v>74.900000000000006</v>
      </c>
      <c r="Z94" t="str">
        <f>VLOOKUP(B94,'DANH SACH UEH'!$A$3:$FE$2228,44,0)</f>
        <v>8.87</v>
      </c>
      <c r="AA94" t="str">
        <f>VLOOKUP(B94,'DANH SACH UEH'!$A$3:$FE$2228,45,0)</f>
        <v>9.41</v>
      </c>
      <c r="AB94" t="str">
        <f>VLOOKUP(B94,'DANH SACH UEH'!$A$3:$FE$2228,46,0)</f>
        <v>9.21</v>
      </c>
      <c r="AE94" t="str">
        <f>VLOOKUP(B94,'DANH SACH UEH'!$A$3:$I$2229,4,0)</f>
        <v>HỒ THỊ HỒNG ANH</v>
      </c>
      <c r="AF94" t="str">
        <f>VLOOKUP(B94,'DANH SACH UEH'!$A$3:$I$2229,8,0)</f>
        <v>0779442965</v>
      </c>
    </row>
    <row r="95" spans="1:32" x14ac:dyDescent="0.25">
      <c r="A95">
        <v>94</v>
      </c>
      <c r="B95" t="s">
        <v>30</v>
      </c>
      <c r="C95" t="str">
        <f>VLOOKUP(B95,'DANH SACH UEH'!$A$3:$FE$2228,2,0)</f>
        <v>KSVBS2622908</v>
      </c>
      <c r="D95" t="str">
        <f>IFERROR(VLOOKUP(B95,'DS NGHIEP VU BO'!$A$3:$BX$148,6,0),"")</f>
        <v>92019535</v>
      </c>
      <c r="E95" t="str">
        <f>VLOOKUP(B95,'DS NGHIEP VU BO'!$A$3:$BX$148,45,0)</f>
        <v>Cần Thơ</v>
      </c>
      <c r="F95" t="str">
        <f t="shared" si="1"/>
        <v/>
      </c>
      <c r="G95" t="str">
        <f>IFERROR(IF(VLOOKUP(B95,'DANH SACH UEH'!$A$3:$FE$2228,18,0)="Không có","",VLOOKUP(B95,'DANH SACH UEH'!$A$3:$FE$2228,18,0)),"")</f>
        <v/>
      </c>
      <c r="H95" t="str">
        <f>IFERROR(IF(VLOOKUP(B95,'DANH SACH UEH'!$A$3:$FE$2228,20,0)="Không có","",VLOOKUP(B95,'DANH SACH UEH'!$A$3:$FE$2228,20,0)),"")</f>
        <v/>
      </c>
      <c r="I95" t="str">
        <f>IFERROR(IF(VLOOKUP(B95,'DANH SACH UEH'!$A$3:$FE$2228,19,0)="Không có","",VLOOKUP(B95,'DANH SACH UEH'!$A$3:$FE$2228,19,0)),"")</f>
        <v/>
      </c>
      <c r="J95" t="str">
        <f>VLOOKUP(B95,'DANH SACH UEH'!$A$3:$FE$2228,6,0)</f>
        <v>28/05/2008</v>
      </c>
      <c r="K95" t="str">
        <f>IF(VLOOKUP(B95,'DANH SACH UEH'!$A$3:$FE$2228,5,0)="1","Nữ","Nam")</f>
        <v>Nữ</v>
      </c>
      <c r="L95" t="str">
        <f>VLOOKUP(B95,'DANH SACH UEH'!$A$3:$FE$2228,14,0)</f>
        <v>Kinh</v>
      </c>
      <c r="M95" t="str">
        <f>VLOOKUP(B95,'DANH SACH UEH'!$A$3:$FE$2228,7,0)</f>
        <v>phamkieulam208@gmail.com</v>
      </c>
      <c r="N95" t="str">
        <f>VLOOKUP(B95,'DANH SACH UEH'!$A$3:$FE$2228,8,0)</f>
        <v>0865065722</v>
      </c>
      <c r="O95" t="str">
        <f>IFERROR(VLOOKUP(AF95,'DS TAO MAIL'!$A$3:$M$1120,8,0),"")</f>
        <v>31261570523</v>
      </c>
      <c r="P95" t="str">
        <f>IFERROR(VLOOKUP(AF95,'DS TAO MAIL'!$A$3:$M$1120,11,0),"")</f>
        <v>90572415</v>
      </c>
      <c r="Q95" t="str">
        <f>IFERROR(VLOOKUP(AF95,'DS TAO MAIL'!$A$3:$M$1120,10,0),"")</f>
        <v>lampham.31261570523@st.ueh.edu.vn</v>
      </c>
      <c r="R95" t="str">
        <f>IFERROR(VLOOKUP(AF95,'DS TAO MAIL'!$A$3:$M$1120,11,0),"")</f>
        <v>90572415</v>
      </c>
      <c r="S95">
        <v>61.79</v>
      </c>
      <c r="U95">
        <v>60.12</v>
      </c>
      <c r="Z95" t="str">
        <f>VLOOKUP(B95,'DANH SACH UEH'!$A$3:$FE$2228,44,0)</f>
        <v>7.41</v>
      </c>
      <c r="AA95" t="str">
        <f>VLOOKUP(B95,'DANH SACH UEH'!$A$3:$FE$2228,45,0)</f>
        <v>8.18</v>
      </c>
      <c r="AB95" t="str">
        <f>VLOOKUP(B95,'DANH SACH UEH'!$A$3:$FE$2228,46,0)</f>
        <v>8.25</v>
      </c>
      <c r="AE95" t="str">
        <f>VLOOKUP(B95,'DANH SACH UEH'!$A$3:$I$2229,4,0)</f>
        <v>PHẠM KIỀU LAM</v>
      </c>
      <c r="AF95" t="str">
        <f>VLOOKUP(B95,'DANH SACH UEH'!$A$3:$I$2229,8,0)</f>
        <v>0865065722</v>
      </c>
    </row>
    <row r="96" spans="1:32" x14ac:dyDescent="0.25">
      <c r="A96">
        <v>95</v>
      </c>
      <c r="B96" t="s">
        <v>29</v>
      </c>
      <c r="C96" t="str">
        <f>VLOOKUP(B96,'DANH SACH UEH'!$A$3:$FE$2228,2,0)</f>
        <v>KSVBS2642989</v>
      </c>
      <c r="D96" t="str">
        <f>IFERROR(VLOOKUP(B96,'DS NGHIEP VU BO'!$A$3:$BX$148,6,0),"")</f>
        <v>92029803</v>
      </c>
      <c r="E96" t="str">
        <f>VLOOKUP(B96,'DS NGHIEP VU BO'!$A$3:$BX$148,45,0)</f>
        <v>Cần Thơ</v>
      </c>
      <c r="F96" t="str">
        <f t="shared" si="1"/>
        <v/>
      </c>
      <c r="G96" t="str">
        <f>IFERROR(IF(VLOOKUP(B96,'DANH SACH UEH'!$A$3:$FE$2228,18,0)="Không có","",VLOOKUP(B96,'DANH SACH UEH'!$A$3:$FE$2228,18,0)),"")</f>
        <v/>
      </c>
      <c r="H96" t="str">
        <f>IFERROR(IF(VLOOKUP(B96,'DANH SACH UEH'!$A$3:$FE$2228,20,0)="Không có","",VLOOKUP(B96,'DANH SACH UEH'!$A$3:$FE$2228,20,0)),"")</f>
        <v/>
      </c>
      <c r="I96" t="str">
        <f>IFERROR(IF(VLOOKUP(B96,'DANH SACH UEH'!$A$3:$FE$2228,19,0)="Không có","",VLOOKUP(B96,'DANH SACH UEH'!$A$3:$FE$2228,19,0)),"")</f>
        <v/>
      </c>
      <c r="J96" t="str">
        <f>VLOOKUP(B96,'DANH SACH UEH'!$A$3:$FE$2228,6,0)</f>
        <v>28/10/2008</v>
      </c>
      <c r="K96" t="str">
        <f>IF(VLOOKUP(B96,'DANH SACH UEH'!$A$3:$FE$2228,5,0)="1","Nữ","Nam")</f>
        <v>Nữ</v>
      </c>
      <c r="L96" t="str">
        <f>VLOOKUP(B96,'DANH SACH UEH'!$A$3:$FE$2228,14,0)</f>
        <v>Kinh</v>
      </c>
      <c r="M96" t="str">
        <f>VLOOKUP(B96,'DANH SACH UEH'!$A$3:$FE$2228,7,0)</f>
        <v>thiennthien8@gmail.com</v>
      </c>
      <c r="N96" t="str">
        <f>VLOOKUP(B96,'DANH SACH UEH'!$A$3:$FE$2228,8,0)</f>
        <v>0336042094</v>
      </c>
      <c r="O96" t="str">
        <f>IFERROR(VLOOKUP(AE96,'DS TAO MAIL'!$D$3:$M$1120,5,0),"")</f>
        <v>31261570409</v>
      </c>
      <c r="P96" t="str">
        <f>IFERROR(VLOOKUP(AE96,'DS TAO MAIL'!$D$3:$M$1120,8,0),"")</f>
        <v>85583613</v>
      </c>
      <c r="Q96" t="str">
        <f>IFERROR(VLOOKUP(AE96,'DS TAO MAIL'!$D$3:$M$1120,7,0),"")</f>
        <v>thienhuynh.31261570409@st.ueh.edu.vn</v>
      </c>
      <c r="R96" t="str">
        <f>IFERROR(VLOOKUP(AE96,'DS TAO MAIL'!$D$3:$M$1120,8,0),"")</f>
        <v>85583613</v>
      </c>
      <c r="S96">
        <v>74.56</v>
      </c>
      <c r="U96">
        <v>72.06</v>
      </c>
      <c r="Z96" t="str">
        <f>VLOOKUP(B96,'DANH SACH UEH'!$A$3:$FE$2228,44,0)</f>
        <v>6.87</v>
      </c>
      <c r="AA96" t="str">
        <f>VLOOKUP(B96,'DANH SACH UEH'!$A$3:$FE$2228,45,0)</f>
        <v>8.13</v>
      </c>
      <c r="AB96" t="str">
        <f>VLOOKUP(B96,'DANH SACH UEH'!$A$3:$FE$2228,46,0)</f>
        <v>9.05</v>
      </c>
      <c r="AE96" t="str">
        <f>VLOOKUP(B96,'DANH SACH UEH'!$A$3:$I$2229,4,0)</f>
        <v>HUỲNH THỊ THIÊN THIÊN</v>
      </c>
      <c r="AF96" t="str">
        <f>VLOOKUP(B96,'DANH SACH UEH'!$A$3:$I$2229,8,0)</f>
        <v>0336042094</v>
      </c>
    </row>
    <row r="97" spans="1:32" x14ac:dyDescent="0.25">
      <c r="A97">
        <v>96</v>
      </c>
      <c r="B97" t="s">
        <v>28</v>
      </c>
      <c r="C97" t="str">
        <f>VLOOKUP(B97,'DANH SACH UEH'!$A$3:$FE$2228,2,0)</f>
        <v>KSVBS2630721</v>
      </c>
      <c r="D97" t="str">
        <f>IFERROR(VLOOKUP(B97,'DS NGHIEP VU BO'!$A$3:$BX$148,6,0),"")</f>
        <v>96013121</v>
      </c>
      <c r="E97" t="str">
        <f>VLOOKUP(B97,'DS NGHIEP VU BO'!$A$3:$BX$148,45,0)</f>
        <v>Cà Mau</v>
      </c>
      <c r="F97" t="str">
        <f t="shared" si="1"/>
        <v/>
      </c>
      <c r="G97" t="str">
        <f>IFERROR(IF(VLOOKUP(B97,'DANH SACH UEH'!$A$3:$FE$2228,18,0)="Không có","",VLOOKUP(B97,'DANH SACH UEH'!$A$3:$FE$2228,18,0)),"")</f>
        <v/>
      </c>
      <c r="H97" t="str">
        <f>IFERROR(IF(VLOOKUP(B97,'DANH SACH UEH'!$A$3:$FE$2228,20,0)="Không có","",VLOOKUP(B97,'DANH SACH UEH'!$A$3:$FE$2228,20,0)),"")</f>
        <v/>
      </c>
      <c r="I97" t="str">
        <f>IFERROR(IF(VLOOKUP(B97,'DANH SACH UEH'!$A$3:$FE$2228,19,0)="Không có","",VLOOKUP(B97,'DANH SACH UEH'!$A$3:$FE$2228,19,0)),"")</f>
        <v/>
      </c>
      <c r="J97" t="str">
        <f>VLOOKUP(B97,'DANH SACH UEH'!$A$3:$FE$2228,6,0)</f>
        <v>24/09/2008</v>
      </c>
      <c r="K97" t="str">
        <f>IF(VLOOKUP(B97,'DANH SACH UEH'!$A$3:$FE$2228,5,0)="1","Nữ","Nam")</f>
        <v>Nam</v>
      </c>
      <c r="L97" t="str">
        <f>VLOOKUP(B97,'DANH SACH UEH'!$A$3:$FE$2228,14,0)</f>
        <v>Kinh</v>
      </c>
      <c r="M97" t="str">
        <f>VLOOKUP(B97,'DANH SACH UEH'!$A$3:$FE$2228,7,0)</f>
        <v>thuanphat.052019@gmail.com</v>
      </c>
      <c r="N97" t="str">
        <f>VLOOKUP(B97,'DANH SACH UEH'!$A$3:$FE$2228,8,0)</f>
        <v>0842428848</v>
      </c>
      <c r="O97" t="str">
        <f>IFERROR(VLOOKUP(AF97,'DS TAO MAIL'!$A$3:$M$1120,8,0),"")</f>
        <v/>
      </c>
      <c r="P97" t="str">
        <f>IFERROR(VLOOKUP(AF97,'DS TAO MAIL'!$A$3:$M$1120,11,0),"")</f>
        <v/>
      </c>
      <c r="Q97" t="str">
        <f>IFERROR(VLOOKUP(AF97,'DS TAO MAIL'!$A$3:$M$1120,10,0),"")</f>
        <v/>
      </c>
      <c r="R97" t="str">
        <f>IFERROR(VLOOKUP(AF97,'DS TAO MAIL'!$A$3:$M$1120,11,0),"")</f>
        <v/>
      </c>
      <c r="S97">
        <v>72.33</v>
      </c>
      <c r="U97">
        <v>71.5</v>
      </c>
      <c r="Z97" t="str">
        <f>VLOOKUP(B97,'DANH SACH UEH'!$A$3:$FE$2228,44,0)</f>
        <v>7.26</v>
      </c>
      <c r="AA97" t="str">
        <f>VLOOKUP(B97,'DANH SACH UEH'!$A$3:$FE$2228,45,0)</f>
        <v>7.60</v>
      </c>
      <c r="AB97" t="str">
        <f>VLOOKUP(B97,'DANH SACH UEH'!$A$3:$FE$2228,46,0)</f>
        <v>8.38</v>
      </c>
      <c r="AE97" t="str">
        <f>VLOOKUP(B97,'DANH SACH UEH'!$A$3:$I$2229,4,0)</f>
        <v>QUANG THUẬN PHÁT</v>
      </c>
      <c r="AF97" t="str">
        <f>VLOOKUP(B97,'DANH SACH UEH'!$A$3:$I$2229,8,0)</f>
        <v>0842428848</v>
      </c>
    </row>
    <row r="98" spans="1:32" x14ac:dyDescent="0.25">
      <c r="A98">
        <v>97</v>
      </c>
      <c r="B98" t="s">
        <v>27</v>
      </c>
      <c r="C98" t="str">
        <f>VLOOKUP(B98,'DANH SACH UEH'!$A$3:$FE$2228,2,0)</f>
        <v>KSVBS2616644</v>
      </c>
      <c r="D98" t="str">
        <f>IFERROR(VLOOKUP(B98,'DS NGHIEP VU BO'!$A$3:$BX$148,6,0),"")</f>
        <v>80022364</v>
      </c>
      <c r="E98" t="str">
        <f>VLOOKUP(B98,'DS NGHIEP VU BO'!$A$3:$BX$148,45,0)</f>
        <v>Tây Ninh</v>
      </c>
      <c r="F98" t="str">
        <f t="shared" si="1"/>
        <v/>
      </c>
      <c r="G98" t="str">
        <f>IFERROR(IF(VLOOKUP(B98,'DANH SACH UEH'!$A$3:$FE$2228,18,0)="Không có","",VLOOKUP(B98,'DANH SACH UEH'!$A$3:$FE$2228,18,0)),"")</f>
        <v/>
      </c>
      <c r="H98" t="str">
        <f>IFERROR(IF(VLOOKUP(B98,'DANH SACH UEH'!$A$3:$FE$2228,20,0)="Không có","",VLOOKUP(B98,'DANH SACH UEH'!$A$3:$FE$2228,20,0)),"")</f>
        <v/>
      </c>
      <c r="I98" t="str">
        <f>IFERROR(IF(VLOOKUP(B98,'DANH SACH UEH'!$A$3:$FE$2228,19,0)="Không có","",VLOOKUP(B98,'DANH SACH UEH'!$A$3:$FE$2228,19,0)),"")</f>
        <v/>
      </c>
      <c r="J98" t="str">
        <f>VLOOKUP(B98,'DANH SACH UEH'!$A$3:$FE$2228,6,0)</f>
        <v>23/08/2008</v>
      </c>
      <c r="K98" t="str">
        <f>IF(VLOOKUP(B98,'DANH SACH UEH'!$A$3:$FE$2228,5,0)="1","Nữ","Nam")</f>
        <v>Nam</v>
      </c>
      <c r="L98" t="str">
        <f>VLOOKUP(B98,'DANH SACH UEH'!$A$3:$FE$2228,14,0)</f>
        <v>Kinh</v>
      </c>
      <c r="M98" t="str">
        <f>VLOOKUP(B98,'DANH SACH UEH'!$A$3:$FE$2228,7,0)</f>
        <v>loctrabnnn@gmail.com</v>
      </c>
      <c r="N98" t="str">
        <f>VLOOKUP(B98,'DANH SACH UEH'!$A$3:$FE$2228,8,0)</f>
        <v>0764469952</v>
      </c>
      <c r="O98" t="str">
        <f>IFERROR(VLOOKUP(AF98,'DS TAO MAIL'!$A$3:$M$1120,8,0),"")</f>
        <v/>
      </c>
      <c r="P98" t="str">
        <f>IFERROR(VLOOKUP(AF98,'DS TAO MAIL'!$A$3:$M$1120,11,0),"")</f>
        <v/>
      </c>
      <c r="Q98" t="str">
        <f>IFERROR(VLOOKUP(AF98,'DS TAO MAIL'!$A$3:$M$1120,10,0),"")</f>
        <v/>
      </c>
      <c r="R98" t="str">
        <f>IFERROR(VLOOKUP(AF98,'DS TAO MAIL'!$A$3:$M$1120,11,0),"")</f>
        <v/>
      </c>
      <c r="S98">
        <v>71.77</v>
      </c>
      <c r="U98">
        <v>70.099999999999994</v>
      </c>
      <c r="Z98" t="str">
        <f>VLOOKUP(B98,'DANH SACH UEH'!$A$3:$FE$2228,44,0)</f>
        <v>6.11</v>
      </c>
      <c r="AA98" t="str">
        <f>VLOOKUP(B98,'DANH SACH UEH'!$A$3:$FE$2228,45,0)</f>
        <v>6.41</v>
      </c>
      <c r="AB98" t="str">
        <f>VLOOKUP(B98,'DANH SACH UEH'!$A$3:$FE$2228,46,0)</f>
        <v>7.02</v>
      </c>
      <c r="AE98" t="str">
        <f>VLOOKUP(B98,'DANH SACH UEH'!$A$3:$I$2229,4,0)</f>
        <v>TRẦN TẤN LỘC</v>
      </c>
      <c r="AF98" t="str">
        <f>VLOOKUP(B98,'DANH SACH UEH'!$A$3:$I$2229,8,0)</f>
        <v>0764469952</v>
      </c>
    </row>
    <row r="99" spans="1:32" x14ac:dyDescent="0.25">
      <c r="A99">
        <v>98</v>
      </c>
      <c r="B99" t="s">
        <v>26</v>
      </c>
      <c r="C99" t="str">
        <f>VLOOKUP(B99,'DANH SACH UEH'!$A$3:$FE$2228,2,0)</f>
        <v>KSVBS2646885</v>
      </c>
      <c r="D99" t="str">
        <f>IFERROR(VLOOKUP(B99,'DS NGHIEP VU BO'!$A$3:$BX$148,6,0),"")</f>
        <v>96012922</v>
      </c>
      <c r="E99" t="str">
        <f>VLOOKUP(B99,'DS NGHIEP VU BO'!$A$3:$BX$148,45,0)</f>
        <v>Cà Mau</v>
      </c>
      <c r="F99" t="str">
        <f t="shared" si="1"/>
        <v/>
      </c>
      <c r="G99" t="str">
        <f>IFERROR(IF(VLOOKUP(B99,'DANH SACH UEH'!$A$3:$FE$2228,18,0)="Không có","",VLOOKUP(B99,'DANH SACH UEH'!$A$3:$FE$2228,18,0)),"")</f>
        <v/>
      </c>
      <c r="H99" t="str">
        <f>IFERROR(IF(VLOOKUP(B99,'DANH SACH UEH'!$A$3:$FE$2228,20,0)="Không có","",VLOOKUP(B99,'DANH SACH UEH'!$A$3:$FE$2228,20,0)),"")</f>
        <v/>
      </c>
      <c r="I99" t="str">
        <f>IFERROR(IF(VLOOKUP(B99,'DANH SACH UEH'!$A$3:$FE$2228,19,0)="Không có","",VLOOKUP(B99,'DANH SACH UEH'!$A$3:$FE$2228,19,0)),"")</f>
        <v/>
      </c>
      <c r="J99" t="str">
        <f>VLOOKUP(B99,'DANH SACH UEH'!$A$3:$FE$2228,6,0)</f>
        <v>19/01/2007</v>
      </c>
      <c r="K99" t="str">
        <f>IF(VLOOKUP(B99,'DANH SACH UEH'!$A$3:$FE$2228,5,0)="1","Nữ","Nam")</f>
        <v>Nữ</v>
      </c>
      <c r="L99" t="str">
        <f>VLOOKUP(B99,'DANH SACH UEH'!$A$3:$FE$2228,14,0)</f>
        <v>Kinh</v>
      </c>
      <c r="M99" t="str">
        <f>VLOOKUP(B99,'DANH SACH UEH'!$A$3:$FE$2228,7,0)</f>
        <v>dkieu1901@gmail.com</v>
      </c>
      <c r="N99" t="str">
        <f>VLOOKUP(B99,'DANH SACH UEH'!$A$3:$FE$2228,8,0)</f>
        <v>0948965065</v>
      </c>
      <c r="O99" t="str">
        <f>IFERROR(VLOOKUP(AE99,'DS TAO MAIL'!$D$3:$M$1120,5,0),"")</f>
        <v>31261570466</v>
      </c>
      <c r="P99" t="str">
        <f>IFERROR(VLOOKUP(AE99,'DS TAO MAIL'!$D$3:$M$1120,8,0),"")</f>
        <v>49779224</v>
      </c>
      <c r="Q99" t="str">
        <f>IFERROR(VLOOKUP(AE99,'DS TAO MAIL'!$D$3:$M$1120,7,0),"")</f>
        <v>kieunguyen.31261570466@st.ueh.edu.vn</v>
      </c>
      <c r="R99" t="str">
        <f>IFERROR(VLOOKUP(AE99,'DS TAO MAIL'!$D$3:$M$1120,8,0),"")</f>
        <v>49779224</v>
      </c>
      <c r="S99">
        <v>67.14</v>
      </c>
      <c r="U99">
        <v>67.14</v>
      </c>
      <c r="Z99" t="str">
        <f>VLOOKUP(B99,'DANH SACH UEH'!$A$3:$FE$2228,44,0)</f>
        <v>7.56</v>
      </c>
      <c r="AA99" t="str">
        <f>VLOOKUP(B99,'DANH SACH UEH'!$A$3:$FE$2228,45,0)</f>
        <v>8.07</v>
      </c>
      <c r="AB99" t="str">
        <f>VLOOKUP(B99,'DANH SACH UEH'!$A$3:$FE$2228,46,0)</f>
        <v>7.67</v>
      </c>
      <c r="AE99" t="str">
        <f>VLOOKUP(B99,'DANH SACH UEH'!$A$3:$I$2229,4,0)</f>
        <v>NGUYỄN THỊ DIỄM KIỀU</v>
      </c>
      <c r="AF99" t="str">
        <f>VLOOKUP(B99,'DANH SACH UEH'!$A$3:$I$2229,8,0)</f>
        <v>0948965065</v>
      </c>
    </row>
    <row r="100" spans="1:32" x14ac:dyDescent="0.25">
      <c r="A100">
        <v>99</v>
      </c>
      <c r="B100" t="s">
        <v>25</v>
      </c>
      <c r="C100" t="str">
        <f>VLOOKUP(B100,'DANH SACH UEH'!$A$3:$FE$2228,2,0)</f>
        <v>KSVBS2625294</v>
      </c>
      <c r="D100" t="str">
        <f>IFERROR(VLOOKUP(B100,'DS NGHIEP VU BO'!$A$3:$BX$148,6,0),"")</f>
        <v>96012205</v>
      </c>
      <c r="E100" t="str">
        <f>VLOOKUP(B100,'DS NGHIEP VU BO'!$A$3:$BX$148,45,0)</f>
        <v>Cà Mau</v>
      </c>
      <c r="F100" t="str">
        <f t="shared" si="1"/>
        <v/>
      </c>
      <c r="G100" t="str">
        <f>IFERROR(IF(VLOOKUP(B100,'DANH SACH UEH'!$A$3:$FE$2228,18,0)="Không có","",VLOOKUP(B100,'DANH SACH UEH'!$A$3:$FE$2228,18,0)),"")</f>
        <v/>
      </c>
      <c r="H100" t="str">
        <f>IFERROR(IF(VLOOKUP(B100,'DANH SACH UEH'!$A$3:$FE$2228,20,0)="Không có","",VLOOKUP(B100,'DANH SACH UEH'!$A$3:$FE$2228,20,0)),"")</f>
        <v/>
      </c>
      <c r="I100" t="str">
        <f>IFERROR(IF(VLOOKUP(B100,'DANH SACH UEH'!$A$3:$FE$2228,19,0)="Không có","",VLOOKUP(B100,'DANH SACH UEH'!$A$3:$FE$2228,19,0)),"")</f>
        <v/>
      </c>
      <c r="J100" t="str">
        <f>VLOOKUP(B100,'DANH SACH UEH'!$A$3:$FE$2228,6,0)</f>
        <v>27/06/2008</v>
      </c>
      <c r="K100" t="str">
        <f>IF(VLOOKUP(B100,'DANH SACH UEH'!$A$3:$FE$2228,5,0)="1","Nữ","Nam")</f>
        <v>Nữ</v>
      </c>
      <c r="L100" t="str">
        <f>VLOOKUP(B100,'DANH SACH UEH'!$A$3:$FE$2228,14,0)</f>
        <v>Kinh</v>
      </c>
      <c r="M100" t="str">
        <f>VLOOKUP(B100,'DANH SACH UEH'!$A$3:$FE$2228,7,0)</f>
        <v>dankhanh1921@gmail.com</v>
      </c>
      <c r="N100" t="str">
        <f>VLOOKUP(B100,'DANH SACH UEH'!$A$3:$FE$2228,8,0)</f>
        <v>0777129981</v>
      </c>
      <c r="O100" t="str">
        <f>IFERROR(VLOOKUP(AE100,'DS TAO MAIL'!$D$3:$M$1120,5,0),"")</f>
        <v/>
      </c>
      <c r="P100" t="str">
        <f>IFERROR(VLOOKUP(AE100,'DS TAO MAIL'!$D$3:$M$1120,8,0),"")</f>
        <v/>
      </c>
      <c r="Q100" t="str">
        <f>IFERROR(VLOOKUP(AE100,'DS TAO MAIL'!$D$3:$M$1120,7,0),"")</f>
        <v/>
      </c>
      <c r="R100" t="str">
        <f>IFERROR(VLOOKUP(AE100,'DS TAO MAIL'!$D$3:$M$1120,8,0),"")</f>
        <v/>
      </c>
      <c r="S100">
        <v>87.35</v>
      </c>
      <c r="U100">
        <v>86.44</v>
      </c>
      <c r="Z100" t="str">
        <f>VLOOKUP(B100,'DANH SACH UEH'!$A$3:$FE$2228,44,0)</f>
        <v>7.49</v>
      </c>
      <c r="AA100" t="str">
        <f>VLOOKUP(B100,'DANH SACH UEH'!$A$3:$FE$2228,45,0)</f>
        <v>7.68</v>
      </c>
      <c r="AB100" t="str">
        <f>VLOOKUP(B100,'DANH SACH UEH'!$A$3:$FE$2228,46,0)</f>
        <v>8.03</v>
      </c>
      <c r="AE100" t="str">
        <f>VLOOKUP(B100,'DANH SACH UEH'!$A$3:$I$2229,4,0)</f>
        <v>TRỊNH NGUYỄN ĐAN KHANH</v>
      </c>
      <c r="AF100" t="str">
        <f>VLOOKUP(B100,'DANH SACH UEH'!$A$3:$I$2229,8,0)</f>
        <v>0777129981</v>
      </c>
    </row>
    <row r="101" spans="1:32" x14ac:dyDescent="0.25">
      <c r="A101">
        <v>100</v>
      </c>
      <c r="B101" t="s">
        <v>24</v>
      </c>
      <c r="C101" t="str">
        <f>VLOOKUP(B101,'DANH SACH UEH'!$A$3:$FE$2228,2,0)</f>
        <v>KSVBS2632781</v>
      </c>
      <c r="D101" t="str">
        <f>IFERROR(VLOOKUP(B101,'DS NGHIEP VU BO'!$A$3:$BX$148,6,0),"")</f>
        <v>96017494</v>
      </c>
      <c r="E101" t="str">
        <f>VLOOKUP(B101,'DS NGHIEP VU BO'!$A$3:$BX$148,45,0)</f>
        <v>Cà Mau</v>
      </c>
      <c r="F101" t="str">
        <f t="shared" si="1"/>
        <v/>
      </c>
      <c r="G101" t="str">
        <f>IFERROR(IF(VLOOKUP(B101,'DANH SACH UEH'!$A$3:$FE$2228,18,0)="Không có","",VLOOKUP(B101,'DANH SACH UEH'!$A$3:$FE$2228,18,0)),"")</f>
        <v/>
      </c>
      <c r="H101" t="str">
        <f>IFERROR(IF(VLOOKUP(B101,'DANH SACH UEH'!$A$3:$FE$2228,20,0)="Không có","",VLOOKUP(B101,'DANH SACH UEH'!$A$3:$FE$2228,20,0)),"")</f>
        <v/>
      </c>
      <c r="I101" t="str">
        <f>IFERROR(IF(VLOOKUP(B101,'DANH SACH UEH'!$A$3:$FE$2228,19,0)="Không có","",VLOOKUP(B101,'DANH SACH UEH'!$A$3:$FE$2228,19,0)),"")</f>
        <v/>
      </c>
      <c r="J101" t="str">
        <f>VLOOKUP(B101,'DANH SACH UEH'!$A$3:$FE$2228,6,0)</f>
        <v>03/09/2008</v>
      </c>
      <c r="K101" t="str">
        <f>IF(VLOOKUP(B101,'DANH SACH UEH'!$A$3:$FE$2228,5,0)="1","Nữ","Nam")</f>
        <v>Nữ</v>
      </c>
      <c r="L101" t="str">
        <f>VLOOKUP(B101,'DANH SACH UEH'!$A$3:$FE$2228,14,0)</f>
        <v>Kinh</v>
      </c>
      <c r="M101" t="str">
        <f>VLOOKUP(B101,'DANH SACH UEH'!$A$3:$FE$2228,7,0)</f>
        <v>ttrang2263bc@gmail.com</v>
      </c>
      <c r="N101" t="str">
        <f>VLOOKUP(B101,'DANH SACH UEH'!$A$3:$FE$2228,8,0)</f>
        <v>0845628142</v>
      </c>
      <c r="O101" t="str">
        <f>IFERROR(VLOOKUP(AF101,'DS TAO MAIL'!$A$3:$M$1120,8,0),"")</f>
        <v>31261570453</v>
      </c>
      <c r="P101" t="str">
        <f>IFERROR(VLOOKUP(AF101,'DS TAO MAIL'!$A$3:$M$1120,11,0),"")</f>
        <v>59325399</v>
      </c>
      <c r="Q101" t="str">
        <f>IFERROR(VLOOKUP(AF101,'DS TAO MAIL'!$A$3:$M$1120,10,0),"")</f>
        <v>trangtruong.31261570453@st.ueh.edu.vn</v>
      </c>
      <c r="R101" t="str">
        <f>IFERROR(VLOOKUP(AF101,'DS TAO MAIL'!$A$3:$M$1120,11,0),"")</f>
        <v>59325399</v>
      </c>
      <c r="S101">
        <v>80.31</v>
      </c>
      <c r="U101">
        <v>78.12</v>
      </c>
      <c r="Z101" t="str">
        <f>VLOOKUP(B101,'DANH SACH UEH'!$A$3:$FE$2228,44,0)</f>
        <v>8.13</v>
      </c>
      <c r="AA101" t="str">
        <f>VLOOKUP(B101,'DANH SACH UEH'!$A$3:$FE$2228,45,0)</f>
        <v>8.36</v>
      </c>
      <c r="AB101" t="str">
        <f>VLOOKUP(B101,'DANH SACH UEH'!$A$3:$FE$2228,46,0)</f>
        <v>9.02</v>
      </c>
      <c r="AE101" t="str">
        <f>VLOOKUP(B101,'DANH SACH UEH'!$A$3:$I$2229,4,0)</f>
        <v>TRƯƠNG THỊ THU TRANG</v>
      </c>
      <c r="AF101" t="str">
        <f>VLOOKUP(B101,'DANH SACH UEH'!$A$3:$I$2229,8,0)</f>
        <v>0845628142</v>
      </c>
    </row>
    <row r="102" spans="1:32" x14ac:dyDescent="0.25">
      <c r="A102">
        <v>101</v>
      </c>
      <c r="B102" t="s">
        <v>23</v>
      </c>
      <c r="C102" t="str">
        <f>VLOOKUP(B102,'DANH SACH UEH'!$A$3:$FE$2228,2,0)</f>
        <v>KSVBS2644460</v>
      </c>
      <c r="D102" t="str">
        <f>IFERROR(VLOOKUP(B102,'DS NGHIEP VU BO'!$A$3:$BX$148,6,0),"")</f>
        <v>92012000</v>
      </c>
      <c r="E102" t="str">
        <f>VLOOKUP(B102,'DS NGHIEP VU BO'!$A$3:$BX$148,45,0)</f>
        <v>Cà Mau</v>
      </c>
      <c r="F102" t="str">
        <f t="shared" si="1"/>
        <v/>
      </c>
      <c r="G102" t="str">
        <f>IFERROR(IF(VLOOKUP(B102,'DANH SACH UEH'!$A$3:$FE$2228,18,0)="Không có","",VLOOKUP(B102,'DANH SACH UEH'!$A$3:$FE$2228,18,0)),"")</f>
        <v/>
      </c>
      <c r="H102" t="str">
        <f>IFERROR(IF(VLOOKUP(B102,'DANH SACH UEH'!$A$3:$FE$2228,20,0)="Không có","",VLOOKUP(B102,'DANH SACH UEH'!$A$3:$FE$2228,20,0)),"")</f>
        <v/>
      </c>
      <c r="I102" t="str">
        <f>IFERROR(IF(VLOOKUP(B102,'DANH SACH UEH'!$A$3:$FE$2228,19,0)="Không có","",VLOOKUP(B102,'DANH SACH UEH'!$A$3:$FE$2228,19,0)),"")</f>
        <v/>
      </c>
      <c r="J102" t="str">
        <f>VLOOKUP(B102,'DANH SACH UEH'!$A$3:$FE$2228,6,0)</f>
        <v>13/12/2005</v>
      </c>
      <c r="K102" t="str">
        <f>IF(VLOOKUP(B102,'DANH SACH UEH'!$A$3:$FE$2228,5,0)="1","Nữ","Nam")</f>
        <v>Nam</v>
      </c>
      <c r="L102" t="str">
        <f>VLOOKUP(B102,'DANH SACH UEH'!$A$3:$FE$2228,14,0)</f>
        <v>Kinh</v>
      </c>
      <c r="M102" t="str">
        <f>VLOOKUP(B102,'DANH SACH UEH'!$A$3:$FE$2228,7,0)</f>
        <v>levinhkhang84@gmail.com</v>
      </c>
      <c r="N102" t="str">
        <f>VLOOKUP(B102,'DANH SACH UEH'!$A$3:$FE$2228,8,0)</f>
        <v>0913332461</v>
      </c>
      <c r="O102" t="str">
        <f>IFERROR(VLOOKUP(AE102,'DS TAO MAIL'!$D$3:$M$1120,5,0),"")</f>
        <v>31261570451</v>
      </c>
      <c r="P102" t="str">
        <f>IFERROR(VLOOKUP(AE102,'DS TAO MAIL'!$D$3:$M$1120,8,0),"")</f>
        <v>47536122</v>
      </c>
      <c r="Q102" t="str">
        <f>IFERROR(VLOOKUP(AE102,'DS TAO MAIL'!$D$3:$M$1120,7,0),"")</f>
        <v>khangle.31261570451@st.ueh.edu.vn</v>
      </c>
      <c r="R102" t="str">
        <f>IFERROR(VLOOKUP(AE102,'DS TAO MAIL'!$D$3:$M$1120,8,0),"")</f>
        <v>47536122</v>
      </c>
      <c r="S102">
        <v>74.63</v>
      </c>
      <c r="U102">
        <v>73.8</v>
      </c>
      <c r="Z102" t="str">
        <f>VLOOKUP(B102,'DANH SACH UEH'!$A$3:$FE$2228,44,0)</f>
        <v>7.48</v>
      </c>
      <c r="AA102" t="str">
        <f>VLOOKUP(B102,'DANH SACH UEH'!$A$3:$FE$2228,45,0)</f>
        <v>7.18</v>
      </c>
      <c r="AB102" t="str">
        <f>VLOOKUP(B102,'DANH SACH UEH'!$A$3:$FE$2228,46,0)</f>
        <v>8.04</v>
      </c>
      <c r="AE102" t="str">
        <f>VLOOKUP(B102,'DANH SACH UEH'!$A$3:$I$2229,4,0)</f>
        <v>LÊ VĨNH KHANG</v>
      </c>
      <c r="AF102" t="str">
        <f>VLOOKUP(B102,'DANH SACH UEH'!$A$3:$I$2229,8,0)</f>
        <v>0913332461</v>
      </c>
    </row>
    <row r="103" spans="1:32" x14ac:dyDescent="0.25">
      <c r="A103">
        <v>102</v>
      </c>
      <c r="B103" t="s">
        <v>22</v>
      </c>
      <c r="C103" t="str">
        <f>VLOOKUP(B103,'DANH SACH UEH'!$A$3:$FE$2228,2,0)</f>
        <v>KSVBS2630961</v>
      </c>
      <c r="D103" t="str">
        <f>IFERROR(VLOOKUP(B103,'DS NGHIEP VU BO'!$A$3:$BX$148,6,0),"")</f>
        <v>96008338</v>
      </c>
      <c r="E103" t="str">
        <f>VLOOKUP(B103,'DS NGHIEP VU BO'!$A$3:$BX$148,45,0)</f>
        <v>Cà Mau</v>
      </c>
      <c r="F103" t="str">
        <f t="shared" si="1"/>
        <v>Giải thưởng kỳ thi chọn học sinh giỏi cấp tỉnh/TP:</v>
      </c>
      <c r="G103" t="str">
        <f>IFERROR(IF(VLOOKUP(B103,'DANH SACH UEH'!$A$3:$FE$2228,18,0)="Không có","",VLOOKUP(B103,'DANH SACH UEH'!$A$3:$FE$2228,18,0)),"")</f>
        <v>Tiếng Anh</v>
      </c>
      <c r="H103" t="str">
        <f>IFERROR(IF(VLOOKUP(B103,'DANH SACH UEH'!$A$3:$FE$2228,20,0)="Không có","",VLOOKUP(B103,'DANH SACH UEH'!$A$3:$FE$2228,20,0)),"")</f>
        <v>Ba</v>
      </c>
      <c r="I103" t="str">
        <f>IFERROR(IF(VLOOKUP(B103,'DANH SACH UEH'!$A$3:$FE$2228,19,0)="Không có","",VLOOKUP(B103,'DANH SACH UEH'!$A$3:$FE$2228,19,0)),"")</f>
        <v>2024</v>
      </c>
      <c r="J103" t="str">
        <f>VLOOKUP(B103,'DANH SACH UEH'!$A$3:$FE$2228,6,0)</f>
        <v>17/11/2008</v>
      </c>
      <c r="K103" t="str">
        <f>IF(VLOOKUP(B103,'DANH SACH UEH'!$A$3:$FE$2228,5,0)="1","Nữ","Nam")</f>
        <v>Nam</v>
      </c>
      <c r="L103" t="str">
        <f>VLOOKUP(B103,'DANH SACH UEH'!$A$3:$FE$2228,14,0)</f>
        <v>Kinh</v>
      </c>
      <c r="M103" t="str">
        <f>VLOOKUP(B103,'DANH SACH UEH'!$A$3:$FE$2228,7,0)</f>
        <v>thienducnguyen996@gmail.com</v>
      </c>
      <c r="N103" t="str">
        <f>VLOOKUP(B103,'DANH SACH UEH'!$A$3:$FE$2228,8,0)</f>
        <v>0949848299</v>
      </c>
      <c r="O103" t="str">
        <f>IFERROR(VLOOKUP(AE103,'DS TAO MAIL'!$D$3:$M$1120,5,0),"")</f>
        <v>31261570515</v>
      </c>
      <c r="P103" t="str">
        <f>IFERROR(VLOOKUP(AE103,'DS TAO MAIL'!$D$3:$M$1120,8,0),"")</f>
        <v>48742685</v>
      </c>
      <c r="Q103" t="str">
        <f>IFERROR(VLOOKUP(AE103,'DS TAO MAIL'!$D$3:$M$1120,7,0),"")</f>
        <v>ducnguyen.31261570515@st.ueh.edu.vn</v>
      </c>
      <c r="R103" t="str">
        <f>IFERROR(VLOOKUP(AE103,'DS TAO MAIL'!$D$3:$M$1120,8,0),"")</f>
        <v>48742685</v>
      </c>
      <c r="S103">
        <v>76.33</v>
      </c>
      <c r="U103">
        <v>75.52</v>
      </c>
      <c r="Z103" t="str">
        <f>VLOOKUP(B103,'DANH SACH UEH'!$A$3:$FE$2228,44,0)</f>
        <v>8.66</v>
      </c>
      <c r="AA103" t="str">
        <f>VLOOKUP(B103,'DANH SACH UEH'!$A$3:$FE$2228,45,0)</f>
        <v>8.77</v>
      </c>
      <c r="AB103" t="str">
        <f>VLOOKUP(B103,'DANH SACH UEH'!$A$3:$FE$2228,46,0)</f>
        <v>8.78</v>
      </c>
      <c r="AE103" t="str">
        <f>VLOOKUP(B103,'DANH SACH UEH'!$A$3:$I$2229,4,0)</f>
        <v>NGUYỄN THIÊN ĐỨC</v>
      </c>
      <c r="AF103" t="str">
        <f>VLOOKUP(B103,'DANH SACH UEH'!$A$3:$I$2229,8,0)</f>
        <v>0949848299</v>
      </c>
    </row>
    <row r="104" spans="1:32" x14ac:dyDescent="0.25">
      <c r="A104">
        <v>103</v>
      </c>
      <c r="B104" t="s">
        <v>21</v>
      </c>
      <c r="C104" t="str">
        <f>VLOOKUP(B104,'DANH SACH UEH'!$A$3:$FE$2228,2,0)</f>
        <v>KSVBS2612300</v>
      </c>
      <c r="D104">
        <f>IFERROR(VLOOKUP(B104,'DS NGHIEP VU BO'!$A$3:$BX$148,6,0),"")</f>
        <v>0</v>
      </c>
      <c r="E104" t="str">
        <f>VLOOKUP(B104,'DS NGHIEP VU BO'!$A$3:$BX$148,45,0)</f>
        <v>Cà Mau</v>
      </c>
      <c r="F104" t="str">
        <f t="shared" si="1"/>
        <v/>
      </c>
      <c r="G104" t="str">
        <f>IFERROR(IF(VLOOKUP(B104,'DANH SACH UEH'!$A$3:$FE$2228,18,0)="Không có","",VLOOKUP(B104,'DANH SACH UEH'!$A$3:$FE$2228,18,0)),"")</f>
        <v/>
      </c>
      <c r="H104" t="str">
        <f>IFERROR(IF(VLOOKUP(B104,'DANH SACH UEH'!$A$3:$FE$2228,20,0)="Không có","",VLOOKUP(B104,'DANH SACH UEH'!$A$3:$FE$2228,20,0)),"")</f>
        <v/>
      </c>
      <c r="I104" t="str">
        <f>IFERROR(IF(VLOOKUP(B104,'DANH SACH UEH'!$A$3:$FE$2228,19,0)="Không có","",VLOOKUP(B104,'DANH SACH UEH'!$A$3:$FE$2228,19,0)),"")</f>
        <v/>
      </c>
      <c r="J104" t="str">
        <f>VLOOKUP(B104,'DANH SACH UEH'!$A$3:$FE$2228,6,0)</f>
        <v>02/09/2007</v>
      </c>
      <c r="K104" t="str">
        <f>IF(VLOOKUP(B104,'DANH SACH UEH'!$A$3:$FE$2228,5,0)="1","Nữ","Nam")</f>
        <v>Nữ</v>
      </c>
      <c r="L104" t="str">
        <f>VLOOKUP(B104,'DANH SACH UEH'!$A$3:$FE$2228,14,0)</f>
        <v>Kinh</v>
      </c>
      <c r="M104" t="str">
        <f>VLOOKUP(B104,'DANH SACH UEH'!$A$3:$FE$2228,7,0)</f>
        <v>tranguyenyvy3434@gmail.com</v>
      </c>
      <c r="N104" t="str">
        <f>VLOOKUP(B104,'DANH SACH UEH'!$A$3:$FE$2228,8,0)</f>
        <v>0915946083</v>
      </c>
      <c r="O104" t="str">
        <f>IFERROR(VLOOKUP(AF104,'DS TAO MAIL'!$A$3:$M$1120,8,0),"")</f>
        <v>31261570508</v>
      </c>
      <c r="P104" t="str">
        <f>IFERROR(VLOOKUP(AF104,'DS TAO MAIL'!$A$3:$M$1120,11,0),"")</f>
        <v>24260583</v>
      </c>
      <c r="Q104" t="str">
        <f>IFERROR(VLOOKUP(AF104,'DS TAO MAIL'!$A$3:$M$1120,10,0),"")</f>
        <v>vytra.31261570508@st.ueh.edu.vn</v>
      </c>
      <c r="R104" t="str">
        <f>IFERROR(VLOOKUP(AF104,'DS TAO MAIL'!$A$3:$M$1120,11,0),"")</f>
        <v>24260583</v>
      </c>
      <c r="S104">
        <v>73.86</v>
      </c>
      <c r="U104">
        <v>71.36</v>
      </c>
      <c r="Z104" t="str">
        <f>VLOOKUP(B104,'DANH SACH UEH'!$A$3:$FE$2228,44,0)</f>
        <v>8.24</v>
      </c>
      <c r="AA104" t="str">
        <f>VLOOKUP(B104,'DANH SACH UEH'!$A$3:$FE$2228,45,0)</f>
        <v>8.38</v>
      </c>
      <c r="AB104" t="str">
        <f>VLOOKUP(B104,'DANH SACH UEH'!$A$3:$FE$2228,46,0)</f>
        <v>8.69</v>
      </c>
      <c r="AE104" t="str">
        <f>VLOOKUP(B104,'DANH SACH UEH'!$A$3:$I$2229,4,0)</f>
        <v>TRÀ NGUYỄN Ý VY</v>
      </c>
      <c r="AF104" t="str">
        <f>VLOOKUP(B104,'DANH SACH UEH'!$A$3:$I$2229,8,0)</f>
        <v>0915946083</v>
      </c>
    </row>
    <row r="105" spans="1:32" x14ac:dyDescent="0.25">
      <c r="A105">
        <v>104</v>
      </c>
      <c r="B105" t="s">
        <v>87</v>
      </c>
      <c r="C105" t="str">
        <f>VLOOKUP(B105,'DANH SACH UEH'!$A$3:$FE$2228,2,0)</f>
        <v>KSVBS2638759</v>
      </c>
      <c r="D105" t="str">
        <f>IFERROR(VLOOKUP(B105,'DS NGHIEP VU BO'!$A$3:$BX$148,6,0),"")</f>
        <v>82030065</v>
      </c>
      <c r="E105" t="str">
        <f>VLOOKUP(B105,'DS NGHIEP VU BO'!$A$3:$BX$148,45,0)</f>
        <v>Đồng Tháp</v>
      </c>
      <c r="F105" t="str">
        <f t="shared" si="1"/>
        <v/>
      </c>
      <c r="G105" t="str">
        <f>IFERROR(IF(VLOOKUP(B105,'DANH SACH UEH'!$A$3:$FE$2228,18,0)="Không có","",VLOOKUP(B105,'DANH SACH UEH'!$A$3:$FE$2228,18,0)),"")</f>
        <v/>
      </c>
      <c r="H105" t="str">
        <f>IFERROR(IF(VLOOKUP(B105,'DANH SACH UEH'!$A$3:$FE$2228,20,0)="Không có","",VLOOKUP(B105,'DANH SACH UEH'!$A$3:$FE$2228,20,0)),"")</f>
        <v/>
      </c>
      <c r="I105" t="str">
        <f>IFERROR(IF(VLOOKUP(B105,'DANH SACH UEH'!$A$3:$FE$2228,19,0)="Không có","",VLOOKUP(B105,'DANH SACH UEH'!$A$3:$FE$2228,19,0)),"")</f>
        <v/>
      </c>
      <c r="J105" t="str">
        <f>VLOOKUP(B105,'DANH SACH UEH'!$A$3:$FE$2228,6,0)</f>
        <v>28/03/2008</v>
      </c>
      <c r="K105" t="str">
        <f>IF(VLOOKUP(B105,'DANH SACH UEH'!$A$3:$FE$2228,5,0)="1","Nữ","Nam")</f>
        <v>Nam</v>
      </c>
      <c r="L105" t="str">
        <f>VLOOKUP(B105,'DANH SACH UEH'!$A$3:$FE$2228,14,0)</f>
        <v>Kinh</v>
      </c>
      <c r="M105" t="str">
        <f>VLOOKUP(B105,'DANH SACH UEH'!$A$3:$FE$2228,7,0)</f>
        <v>trandang192011@gmail.com</v>
      </c>
      <c r="N105" t="str">
        <f>VLOOKUP(B105,'DANH SACH UEH'!$A$3:$FE$2228,8,0)</f>
        <v>0918192011</v>
      </c>
      <c r="O105" t="str">
        <f>IFERROR(VLOOKUP(AE105,'DS TAO MAIL'!$D$3:$M$1120,5,0),"")</f>
        <v>31261570503</v>
      </c>
      <c r="P105" t="str">
        <f>IFERROR(VLOOKUP(AE105,'DS TAO MAIL'!$D$3:$M$1120,8,0),"")</f>
        <v>75167461</v>
      </c>
      <c r="Q105" t="str">
        <f>IFERROR(VLOOKUP(AE105,'DS TAO MAIL'!$D$3:$M$1120,7,0),"")</f>
        <v>huydang.31261570503@st.ueh.edu.vn</v>
      </c>
      <c r="R105" t="str">
        <f>IFERROR(VLOOKUP(AE105,'DS TAO MAIL'!$D$3:$M$1120,8,0),"")</f>
        <v>75167461</v>
      </c>
      <c r="S105">
        <v>70.150000000000006</v>
      </c>
      <c r="U105">
        <v>69.319999999999993</v>
      </c>
      <c r="Z105" t="str">
        <f>VLOOKUP(B105,'DANH SACH UEH'!$A$3:$FE$2228,44,0)</f>
        <v>7.56</v>
      </c>
      <c r="AA105" t="str">
        <f>VLOOKUP(B105,'DANH SACH UEH'!$A$3:$FE$2228,45,0)</f>
        <v>7.61</v>
      </c>
      <c r="AB105" t="str">
        <f>VLOOKUP(B105,'DANH SACH UEH'!$A$3:$FE$2228,46,0)</f>
        <v>8.31</v>
      </c>
      <c r="AE105" t="str">
        <f>VLOOKUP(B105,'DANH SACH UEH'!$A$3:$I$2229,4,0)</f>
        <v>ĐẶNG GIA HUY</v>
      </c>
      <c r="AF105" t="str">
        <f>VLOOKUP(B105,'DANH SACH UEH'!$A$3:$I$2229,8,0)</f>
        <v>0918192011</v>
      </c>
    </row>
    <row r="106" spans="1:32" x14ac:dyDescent="0.25">
      <c r="A106">
        <v>105</v>
      </c>
      <c r="B106" t="s">
        <v>78</v>
      </c>
      <c r="C106" t="str">
        <f>VLOOKUP(B106,'DANH SACH UEH'!$A$3:$FE$2228,2,0)</f>
        <v>KSVBS2622500</v>
      </c>
      <c r="D106" t="str">
        <f>IFERROR(VLOOKUP(B106,'DS NGHIEP VU BO'!$A$3:$BX$148,6,0),"")</f>
        <v>86016363</v>
      </c>
      <c r="E106" t="str">
        <f>VLOOKUP(B106,'DS NGHIEP VU BO'!$A$3:$BX$148,45,0)</f>
        <v>Vĩnh Long</v>
      </c>
      <c r="F106" t="str">
        <f t="shared" si="1"/>
        <v/>
      </c>
      <c r="G106" t="str">
        <f>IFERROR(IF(VLOOKUP(B106,'DANH SACH UEH'!$A$3:$FE$2228,18,0)="Không có","",VLOOKUP(B106,'DANH SACH UEH'!$A$3:$FE$2228,18,0)),"")</f>
        <v/>
      </c>
      <c r="H106" t="str">
        <f>IFERROR(IF(VLOOKUP(B106,'DANH SACH UEH'!$A$3:$FE$2228,20,0)="Không có","",VLOOKUP(B106,'DANH SACH UEH'!$A$3:$FE$2228,20,0)),"")</f>
        <v/>
      </c>
      <c r="I106" t="str">
        <f>IFERROR(IF(VLOOKUP(B106,'DANH SACH UEH'!$A$3:$FE$2228,19,0)="Không có","",VLOOKUP(B106,'DANH SACH UEH'!$A$3:$FE$2228,19,0)),"")</f>
        <v/>
      </c>
      <c r="J106" t="str">
        <f>VLOOKUP(B106,'DANH SACH UEH'!$A$3:$FE$2228,6,0)</f>
        <v>08/06/2008</v>
      </c>
      <c r="K106" t="str">
        <f>IF(VLOOKUP(B106,'DANH SACH UEH'!$A$3:$FE$2228,5,0)="1","Nữ","Nam")</f>
        <v>Nữ</v>
      </c>
      <c r="L106" t="str">
        <f>VLOOKUP(B106,'DANH SACH UEH'!$A$3:$FE$2228,14,0)</f>
        <v>Kinh</v>
      </c>
      <c r="M106" t="str">
        <f>VLOOKUP(B106,'DANH SACH UEH'!$A$3:$FE$2228,7,0)</f>
        <v>huynhthao08062008@gmail.com</v>
      </c>
      <c r="N106" t="str">
        <f>VLOOKUP(B106,'DANH SACH UEH'!$A$3:$FE$2228,8,0)</f>
        <v>0948703245</v>
      </c>
      <c r="O106" t="str">
        <f>IFERROR(VLOOKUP(AE106,'DS TAO MAIL'!$D$3:$M$1120,5,0),"")</f>
        <v>31261570414</v>
      </c>
      <c r="P106" t="str">
        <f>IFERROR(VLOOKUP(AE106,'DS TAO MAIL'!$D$3:$M$1120,8,0),"")</f>
        <v>92283567</v>
      </c>
      <c r="Q106" t="str">
        <f>IFERROR(VLOOKUP(AE106,'DS TAO MAIL'!$D$3:$M$1120,7,0),"")</f>
        <v>thaohuynh.31261570414@st.ueh.edu.vn</v>
      </c>
      <c r="R106" t="str">
        <f>IFERROR(VLOOKUP(AE106,'DS TAO MAIL'!$D$3:$M$1120,8,0),"")</f>
        <v>92283567</v>
      </c>
      <c r="S106">
        <v>74.05</v>
      </c>
      <c r="U106">
        <v>73.22</v>
      </c>
      <c r="Z106" t="str">
        <f>VLOOKUP(B106,'DANH SACH UEH'!$A$3:$FE$2228,44,0)</f>
        <v>9.32</v>
      </c>
      <c r="AA106" t="str">
        <f>VLOOKUP(B106,'DANH SACH UEH'!$A$3:$FE$2228,45,0)</f>
        <v>9.24</v>
      </c>
      <c r="AB106" t="str">
        <f>VLOOKUP(B106,'DANH SACH UEH'!$A$3:$FE$2228,46,0)</f>
        <v>9.21</v>
      </c>
      <c r="AE106" t="str">
        <f>VLOOKUP(B106,'DANH SACH UEH'!$A$3:$I$2229,4,0)</f>
        <v>HUỲNH PHƯƠNG THẢO</v>
      </c>
      <c r="AF106" t="str">
        <f>VLOOKUP(B106,'DANH SACH UEH'!$A$3:$I$2229,8,0)</f>
        <v>0948703245</v>
      </c>
    </row>
    <row r="107" spans="1:32" x14ac:dyDescent="0.25">
      <c r="A107">
        <v>106</v>
      </c>
      <c r="B107" t="s">
        <v>75</v>
      </c>
      <c r="C107" t="str">
        <f>VLOOKUP(B107,'DANH SACH UEH'!$A$3:$FE$2228,2,0)</f>
        <v>KSVBS2649039</v>
      </c>
      <c r="D107" t="str">
        <f>IFERROR(VLOOKUP(B107,'DS NGHIEP VU BO'!$A$3:$BX$148,6,0),"")</f>
        <v>75050376</v>
      </c>
      <c r="E107" t="str">
        <f>VLOOKUP(B107,'DS NGHIEP VU BO'!$A$3:$BX$148,45,0)</f>
        <v>Vĩnh Long</v>
      </c>
      <c r="F107" t="str">
        <f t="shared" si="1"/>
        <v/>
      </c>
      <c r="G107" t="str">
        <f>IFERROR(IF(VLOOKUP(B107,'DANH SACH UEH'!$A$3:$FE$2228,18,0)="Không có","",VLOOKUP(B107,'DANH SACH UEH'!$A$3:$FE$2228,18,0)),"")</f>
        <v/>
      </c>
      <c r="H107" t="str">
        <f>IFERROR(IF(VLOOKUP(B107,'DANH SACH UEH'!$A$3:$FE$2228,20,0)="Không có","",VLOOKUP(B107,'DANH SACH UEH'!$A$3:$FE$2228,20,0)),"")</f>
        <v/>
      </c>
      <c r="I107" t="str">
        <f>IFERROR(IF(VLOOKUP(B107,'DANH SACH UEH'!$A$3:$FE$2228,19,0)="Không có","",VLOOKUP(B107,'DANH SACH UEH'!$A$3:$FE$2228,19,0)),"")</f>
        <v/>
      </c>
      <c r="J107" t="str">
        <f>VLOOKUP(B107,'DANH SACH UEH'!$A$3:$FE$2228,6,0)</f>
        <v>12/01/2008</v>
      </c>
      <c r="K107" t="str">
        <f>IF(VLOOKUP(B107,'DANH SACH UEH'!$A$3:$FE$2228,5,0)="1","Nữ","Nam")</f>
        <v>Nữ</v>
      </c>
      <c r="L107" t="str">
        <f>VLOOKUP(B107,'DANH SACH UEH'!$A$3:$FE$2228,14,0)</f>
        <v>Kinh</v>
      </c>
      <c r="M107" t="str">
        <f>VLOOKUP(B107,'DANH SACH UEH'!$A$3:$FE$2228,7,0)</f>
        <v>nhatho1218@gmail.com</v>
      </c>
      <c r="N107" t="str">
        <f>VLOOKUP(B107,'DANH SACH UEH'!$A$3:$FE$2228,8,0)</f>
        <v>0345159319</v>
      </c>
      <c r="O107" t="str">
        <f>IFERROR(VLOOKUP(AF107,'DS TAO MAIL'!$A$3:$M$1120,8,0),"")</f>
        <v/>
      </c>
      <c r="P107" t="str">
        <f>IFERROR(VLOOKUP(AF107,'DS TAO MAIL'!$A$3:$M$1120,11,0),"")</f>
        <v/>
      </c>
      <c r="Q107" t="str">
        <f>IFERROR(VLOOKUP(AF107,'DS TAO MAIL'!$A$3:$M$1120,10,0),"")</f>
        <v/>
      </c>
      <c r="R107" t="str">
        <f>IFERROR(VLOOKUP(AF107,'DS TAO MAIL'!$A$3:$M$1120,11,0),"")</f>
        <v/>
      </c>
      <c r="S107">
        <v>75.25</v>
      </c>
      <c r="U107">
        <v>73.58</v>
      </c>
      <c r="Z107" t="str">
        <f>VLOOKUP(B107,'DANH SACH UEH'!$A$3:$FE$2228,44,0)</f>
        <v>7.98</v>
      </c>
      <c r="AA107" t="str">
        <f>VLOOKUP(B107,'DANH SACH UEH'!$A$3:$FE$2228,45,0)</f>
        <v>8.54</v>
      </c>
      <c r="AB107" t="str">
        <f>VLOOKUP(B107,'DANH SACH UEH'!$A$3:$FE$2228,46,0)</f>
        <v>8.44</v>
      </c>
      <c r="AE107" t="str">
        <f>VLOOKUP(B107,'DANH SACH UEH'!$A$3:$I$2229,4,0)</f>
        <v>NGUYỄN THỊ NHÃ THƠ</v>
      </c>
      <c r="AF107" t="str">
        <f>VLOOKUP(B107,'DANH SACH UEH'!$A$3:$I$2229,8,0)</f>
        <v>0345159319</v>
      </c>
    </row>
    <row r="108" spans="1:32" x14ac:dyDescent="0.25">
      <c r="A108">
        <v>107</v>
      </c>
      <c r="B108" t="s">
        <v>69</v>
      </c>
      <c r="C108" t="str">
        <f>VLOOKUP(B108,'DANH SACH UEH'!$A$3:$FE$2228,2,0)</f>
        <v>KSVBS2627668</v>
      </c>
      <c r="D108" t="str">
        <f>IFERROR(VLOOKUP(B108,'DS NGHIEP VU BO'!$A$3:$BX$148,6,0),"")</f>
        <v>86016297</v>
      </c>
      <c r="E108" t="str">
        <f>VLOOKUP(B108,'DS NGHIEP VU BO'!$A$3:$BX$148,45,0)</f>
        <v>Vĩnh Long</v>
      </c>
      <c r="F108" t="str">
        <f t="shared" si="1"/>
        <v/>
      </c>
      <c r="G108" t="str">
        <f>IFERROR(IF(VLOOKUP(B108,'DANH SACH UEH'!$A$3:$FE$2228,18,0)="Không có","",VLOOKUP(B108,'DANH SACH UEH'!$A$3:$FE$2228,18,0)),"")</f>
        <v/>
      </c>
      <c r="H108" t="str">
        <f>IFERROR(IF(VLOOKUP(B108,'DANH SACH UEH'!$A$3:$FE$2228,20,0)="Không có","",VLOOKUP(B108,'DANH SACH UEH'!$A$3:$FE$2228,20,0)),"")</f>
        <v/>
      </c>
      <c r="I108" t="str">
        <f>IFERROR(IF(VLOOKUP(B108,'DANH SACH UEH'!$A$3:$FE$2228,19,0)="Không có","",VLOOKUP(B108,'DANH SACH UEH'!$A$3:$FE$2228,19,0)),"")</f>
        <v/>
      </c>
      <c r="J108" t="str">
        <f>VLOOKUP(B108,'DANH SACH UEH'!$A$3:$FE$2228,6,0)</f>
        <v>25/03/2008</v>
      </c>
      <c r="K108" t="str">
        <f>IF(VLOOKUP(B108,'DANH SACH UEH'!$A$3:$FE$2228,5,0)="1","Nữ","Nam")</f>
        <v>Nam</v>
      </c>
      <c r="L108" t="str">
        <f>VLOOKUP(B108,'DANH SACH UEH'!$A$3:$FE$2228,14,0)</f>
        <v>Kinh</v>
      </c>
      <c r="M108" t="str">
        <f>VLOOKUP(B108,'DANH SACH UEH'!$A$3:$FE$2228,7,0)</f>
        <v>qdang3861@gmail.com</v>
      </c>
      <c r="N108" t="str">
        <f>VLOOKUP(B108,'DANH SACH UEH'!$A$3:$FE$2228,8,0)</f>
        <v>0795498899</v>
      </c>
      <c r="O108" t="str">
        <f>IFERROR(VLOOKUP(AF108,'DS TAO MAIL'!$A$3:$M$1120,8,0),"")</f>
        <v>31261570412</v>
      </c>
      <c r="P108" t="str">
        <f>IFERROR(VLOOKUP(AF108,'DS TAO MAIL'!$A$3:$M$1120,11,0),"")</f>
        <v>46636371</v>
      </c>
      <c r="Q108" t="str">
        <f>IFERROR(VLOOKUP(AF108,'DS TAO MAIL'!$A$3:$M$1120,10,0),"")</f>
        <v>quangho.31261570412@st.ueh.edu.vn</v>
      </c>
      <c r="R108" t="str">
        <f>IFERROR(VLOOKUP(AF108,'DS TAO MAIL'!$A$3:$M$1120,11,0),"")</f>
        <v>46636371</v>
      </c>
      <c r="S108">
        <v>70.569999999999993</v>
      </c>
      <c r="U108">
        <v>68.900000000000006</v>
      </c>
      <c r="Z108" t="str">
        <f>VLOOKUP(B108,'DANH SACH UEH'!$A$3:$FE$2228,44,0)</f>
        <v>7.94</v>
      </c>
      <c r="AA108" t="str">
        <f>VLOOKUP(B108,'DANH SACH UEH'!$A$3:$FE$2228,45,0)</f>
        <v>8.26</v>
      </c>
      <c r="AB108" t="str">
        <f>VLOOKUP(B108,'DANH SACH UEH'!$A$3:$FE$2228,46,0)</f>
        <v>8.81</v>
      </c>
      <c r="AE108" t="str">
        <f>VLOOKUP(B108,'DANH SACH UEH'!$A$3:$I$2229,4,0)</f>
        <v>HỒ ĐĂNG QUANG</v>
      </c>
      <c r="AF108" t="str">
        <f>VLOOKUP(B108,'DANH SACH UEH'!$A$3:$I$2229,8,0)</f>
        <v>0795498899</v>
      </c>
    </row>
    <row r="109" spans="1:32" x14ac:dyDescent="0.25">
      <c r="A109">
        <v>108</v>
      </c>
      <c r="B109" t="s">
        <v>55</v>
      </c>
      <c r="C109" t="str">
        <f>VLOOKUP(B109,'DANH SACH UEH'!$A$3:$FE$2228,2,0)</f>
        <v>KSVBS2603382</v>
      </c>
      <c r="D109" t="str">
        <f>IFERROR(VLOOKUP(B109,'DS NGHIEP VU BO'!$A$3:$BX$148,6,0),"")</f>
        <v>86020982</v>
      </c>
      <c r="E109" t="str">
        <f>VLOOKUP(B109,'DS NGHIEP VU BO'!$A$3:$BX$148,45,0)</f>
        <v>Vĩnh Long</v>
      </c>
      <c r="F109" t="str">
        <f t="shared" si="1"/>
        <v/>
      </c>
      <c r="G109" t="str">
        <f>IFERROR(IF(VLOOKUP(B109,'DANH SACH UEH'!$A$3:$FE$2228,18,0)="Không có","",VLOOKUP(B109,'DANH SACH UEH'!$A$3:$FE$2228,18,0)),"")</f>
        <v/>
      </c>
      <c r="H109" t="str">
        <f>IFERROR(IF(VLOOKUP(B109,'DANH SACH UEH'!$A$3:$FE$2228,20,0)="Không có","",VLOOKUP(B109,'DANH SACH UEH'!$A$3:$FE$2228,20,0)),"")</f>
        <v/>
      </c>
      <c r="I109" t="str">
        <f>IFERROR(IF(VLOOKUP(B109,'DANH SACH UEH'!$A$3:$FE$2228,19,0)="Không có","",VLOOKUP(B109,'DANH SACH UEH'!$A$3:$FE$2228,19,0)),"")</f>
        <v/>
      </c>
      <c r="J109" t="str">
        <f>VLOOKUP(B109,'DANH SACH UEH'!$A$3:$FE$2228,6,0)</f>
        <v>13/11/2008</v>
      </c>
      <c r="K109" t="str">
        <f>IF(VLOOKUP(B109,'DANH SACH UEH'!$A$3:$FE$2228,5,0)="1","Nữ","Nam")</f>
        <v>Nữ</v>
      </c>
      <c r="L109" t="str">
        <f>VLOOKUP(B109,'DANH SACH UEH'!$A$3:$FE$2228,14,0)</f>
        <v>Kinh</v>
      </c>
      <c r="M109" t="str">
        <f>VLOOKUP(B109,'DANH SACH UEH'!$A$3:$FE$2228,7,0)</f>
        <v>phamvannghiep1478@gmail.com</v>
      </c>
      <c r="N109" t="str">
        <f>VLOOKUP(B109,'DANH SACH UEH'!$A$3:$FE$2228,8,0)</f>
        <v>0355587517</v>
      </c>
      <c r="O109" t="str">
        <f>IFERROR(VLOOKUP(AE109,'DS TAO MAIL'!$D$3:$M$1120,5,0),"")</f>
        <v>31261570476</v>
      </c>
      <c r="P109" t="str">
        <f>IFERROR(VLOOKUP(AE109,'DS TAO MAIL'!$D$3:$M$1120,8,0),"")</f>
        <v>81042936</v>
      </c>
      <c r="Q109" t="str">
        <f>IFERROR(VLOOKUP(AE109,'DS TAO MAIL'!$D$3:$M$1120,7,0),"")</f>
        <v>quynhvo.31261570476@st.ueh.edu.vn</v>
      </c>
      <c r="R109" t="str">
        <f>IFERROR(VLOOKUP(AE109,'DS TAO MAIL'!$D$3:$M$1120,8,0),"")</f>
        <v>81042936</v>
      </c>
      <c r="S109">
        <v>71.930000000000007</v>
      </c>
      <c r="U109">
        <v>70.260000000000005</v>
      </c>
      <c r="Z109" t="str">
        <f>VLOOKUP(B109,'DANH SACH UEH'!$A$3:$FE$2228,44,0)</f>
        <v>7.99</v>
      </c>
      <c r="AA109" t="str">
        <f>VLOOKUP(B109,'DANH SACH UEH'!$A$3:$FE$2228,45,0)</f>
        <v>7.86</v>
      </c>
      <c r="AB109" t="str">
        <f>VLOOKUP(B109,'DANH SACH UEH'!$A$3:$FE$2228,46,0)</f>
        <v>8.44</v>
      </c>
      <c r="AE109" t="str">
        <f>VLOOKUP(B109,'DANH SACH UEH'!$A$3:$I$2229,4,0)</f>
        <v>VÕ PHẠM NHƯ QUỲNH</v>
      </c>
      <c r="AF109" t="str">
        <f>VLOOKUP(B109,'DANH SACH UEH'!$A$3:$I$2229,8,0)</f>
        <v>0355587517</v>
      </c>
    </row>
    <row r="110" spans="1:32" x14ac:dyDescent="0.25">
      <c r="A110">
        <v>109</v>
      </c>
      <c r="B110" t="s">
        <v>43</v>
      </c>
      <c r="C110" t="str">
        <f>VLOOKUP(B110,'DANH SACH UEH'!$A$3:$FE$2228,2,0)</f>
        <v>KSVBS2621087</v>
      </c>
      <c r="D110" t="str">
        <f>IFERROR(VLOOKUP(B110,'DS NGHIEP VU BO'!$A$3:$BX$148,6,0),"")</f>
        <v>91020443</v>
      </c>
      <c r="E110" t="str">
        <f>VLOOKUP(B110,'DS NGHIEP VU BO'!$A$3:$BX$148,45,0)</f>
        <v>An Giang</v>
      </c>
      <c r="F110" t="str">
        <f t="shared" ref="F110:F113" si="2">IF(G110&lt;&gt;"","Giải thưởng kỳ thi chọn học sinh giỏi cấp tỉnh/TP:","")</f>
        <v/>
      </c>
      <c r="G110" t="str">
        <f>IFERROR(IF(VLOOKUP(B110,'DANH SACH UEH'!$A$3:$FE$2228,18,0)="Không có","",VLOOKUP(B110,'DANH SACH UEH'!$A$3:$FE$2228,18,0)),"")</f>
        <v/>
      </c>
      <c r="H110" t="str">
        <f>IFERROR(IF(VLOOKUP(B110,'DANH SACH UEH'!$A$3:$FE$2228,20,0)="Không có","",VLOOKUP(B110,'DANH SACH UEH'!$A$3:$FE$2228,20,0)),"")</f>
        <v/>
      </c>
      <c r="I110" t="str">
        <f>IFERROR(IF(VLOOKUP(B110,'DANH SACH UEH'!$A$3:$FE$2228,19,0)="Không có","",VLOOKUP(B110,'DANH SACH UEH'!$A$3:$FE$2228,19,0)),"")</f>
        <v/>
      </c>
      <c r="J110" t="str">
        <f>VLOOKUP(B110,'DANH SACH UEH'!$A$3:$FE$2228,6,0)</f>
        <v>07/04/2008</v>
      </c>
      <c r="K110" t="str">
        <f>IF(VLOOKUP(B110,'DANH SACH UEH'!$A$3:$FE$2228,5,0)="1","Nữ","Nam")</f>
        <v>Nữ</v>
      </c>
      <c r="L110" t="str">
        <f>VLOOKUP(B110,'DANH SACH UEH'!$A$3:$FE$2228,14,0)</f>
        <v>Kinh</v>
      </c>
      <c r="M110" t="str">
        <f>VLOOKUP(B110,'DANH SACH UEH'!$A$3:$FE$2228,7,0)</f>
        <v>xnhi1010@gmail.com</v>
      </c>
      <c r="N110" t="str">
        <f>VLOOKUP(B110,'DANH SACH UEH'!$A$3:$FE$2228,8,0)</f>
        <v>0703617258</v>
      </c>
      <c r="O110" t="str">
        <f>IFERROR(VLOOKUP(AE110,'DS TAO MAIL'!$D$3:$M$1120,5,0),"")</f>
        <v/>
      </c>
      <c r="P110" t="str">
        <f>IFERROR(VLOOKUP(AE110,'DS TAO MAIL'!$D$3:$M$1120,8,0),"")</f>
        <v/>
      </c>
      <c r="Q110" t="str">
        <f>IFERROR(VLOOKUP(AE110,'DS TAO MAIL'!$D$3:$M$1120,7,0),"")</f>
        <v/>
      </c>
      <c r="R110" t="str">
        <f>IFERROR(VLOOKUP(AE110,'DS TAO MAIL'!$D$3:$M$1120,8,0),"")</f>
        <v/>
      </c>
      <c r="S110">
        <v>71.930000000000007</v>
      </c>
      <c r="U110">
        <v>70.260000000000005</v>
      </c>
      <c r="Z110" t="str">
        <f>VLOOKUP(B110,'DANH SACH UEH'!$A$3:$FE$2228,44,0)</f>
        <v>9.24</v>
      </c>
      <c r="AA110" t="str">
        <f>VLOOKUP(B110,'DANH SACH UEH'!$A$3:$FE$2228,45,0)</f>
        <v>9.16</v>
      </c>
      <c r="AB110" t="str">
        <f>VLOOKUP(B110,'DANH SACH UEH'!$A$3:$FE$2228,46,0)</f>
        <v>9.36</v>
      </c>
      <c r="AE110" t="str">
        <f>VLOOKUP(B110,'DANH SACH UEH'!$A$3:$I$2229,4,0)</f>
        <v>NGUYỄN THỊ XUÂN NHI</v>
      </c>
      <c r="AF110" t="str">
        <f>VLOOKUP(B110,'DANH SACH UEH'!$A$3:$I$2229,8,0)</f>
        <v>0703617258</v>
      </c>
    </row>
    <row r="111" spans="1:32" x14ac:dyDescent="0.25">
      <c r="A111">
        <v>110</v>
      </c>
      <c r="B111" t="s">
        <v>41</v>
      </c>
      <c r="C111" t="str">
        <f>VLOOKUP(B111,'DANH SACH UEH'!$A$3:$FE$2228,2,0)</f>
        <v>KSVBS2609904</v>
      </c>
      <c r="D111" t="str">
        <f>IFERROR(VLOOKUP(B111,'DS NGHIEP VU BO'!$A$3:$BX$148,6,0),"")</f>
        <v>91014485</v>
      </c>
      <c r="E111" t="str">
        <f>VLOOKUP(B111,'DS NGHIEP VU BO'!$A$3:$BX$148,45,0)</f>
        <v>An Giang</v>
      </c>
      <c r="F111" t="str">
        <f t="shared" si="2"/>
        <v/>
      </c>
      <c r="G111" t="str">
        <f>IFERROR(IF(VLOOKUP(B111,'DANH SACH UEH'!$A$3:$FE$2228,18,0)="Không có","",VLOOKUP(B111,'DANH SACH UEH'!$A$3:$FE$2228,18,0)),"")</f>
        <v/>
      </c>
      <c r="H111" t="str">
        <f>IFERROR(IF(VLOOKUP(B111,'DANH SACH UEH'!$A$3:$FE$2228,20,0)="Không có","",VLOOKUP(B111,'DANH SACH UEH'!$A$3:$FE$2228,20,0)),"")</f>
        <v/>
      </c>
      <c r="I111" t="str">
        <f>IFERROR(IF(VLOOKUP(B111,'DANH SACH UEH'!$A$3:$FE$2228,19,0)="Không có","",VLOOKUP(B111,'DANH SACH UEH'!$A$3:$FE$2228,19,0)),"")</f>
        <v/>
      </c>
      <c r="J111" t="str">
        <f>VLOOKUP(B111,'DANH SACH UEH'!$A$3:$FE$2228,6,0)</f>
        <v>23/08/2008</v>
      </c>
      <c r="K111" t="str">
        <f>IF(VLOOKUP(B111,'DANH SACH UEH'!$A$3:$FE$2228,5,0)="1","Nữ","Nam")</f>
        <v>Nữ</v>
      </c>
      <c r="L111" t="str">
        <f>VLOOKUP(B111,'DANH SACH UEH'!$A$3:$FE$2228,14,0)</f>
        <v>Kinh</v>
      </c>
      <c r="M111" t="str">
        <f>VLOOKUP(B111,'DANH SACH UEH'!$A$3:$FE$2228,7,0)</f>
        <v>hru891593@gmail.com</v>
      </c>
      <c r="N111" t="str">
        <f>VLOOKUP(B111,'DANH SACH UEH'!$A$3:$FE$2228,8,0)</f>
        <v>0383170265</v>
      </c>
      <c r="O111" t="str">
        <f>IFERROR(VLOOKUP(AE111,'DS TAO MAIL'!$D$3:$M$1120,5,0),"")</f>
        <v/>
      </c>
      <c r="P111" t="str">
        <f>IFERROR(VLOOKUP(AE111,'DS TAO MAIL'!$D$3:$M$1120,8,0),"")</f>
        <v/>
      </c>
      <c r="Q111" t="str">
        <f>IFERROR(VLOOKUP(AE111,'DS TAO MAIL'!$D$3:$M$1120,7,0),"")</f>
        <v/>
      </c>
      <c r="R111" t="str">
        <f>IFERROR(VLOOKUP(AE111,'DS TAO MAIL'!$D$3:$M$1120,8,0),"")</f>
        <v/>
      </c>
      <c r="S111">
        <v>71.930000000000007</v>
      </c>
      <c r="U111">
        <v>70.260000000000005</v>
      </c>
      <c r="Z111" t="str">
        <f>VLOOKUP(B111,'DANH SACH UEH'!$A$3:$FE$2228,44,0)</f>
        <v>8.69</v>
      </c>
      <c r="AA111" t="str">
        <f>VLOOKUP(B111,'DANH SACH UEH'!$A$3:$FE$2228,45,0)</f>
        <v>8.59</v>
      </c>
      <c r="AB111" t="str">
        <f>VLOOKUP(B111,'DANH SACH UEH'!$A$3:$FE$2228,46,0)</f>
        <v>8.22</v>
      </c>
      <c r="AE111" t="str">
        <f>VLOOKUP(B111,'DANH SACH UEH'!$A$3:$I$2229,4,0)</f>
        <v>PHAN THỊ KIM CÚC</v>
      </c>
      <c r="AF111" t="str">
        <f>VLOOKUP(B111,'DANH SACH UEH'!$A$3:$I$2229,8,0)</f>
        <v>0383170265</v>
      </c>
    </row>
    <row r="112" spans="1:32" x14ac:dyDescent="0.25">
      <c r="A112">
        <v>111</v>
      </c>
      <c r="B112" t="s">
        <v>31</v>
      </c>
      <c r="C112" t="str">
        <f>VLOOKUP(B112,'DANH SACH UEH'!$A$3:$FE$2228,2,0)</f>
        <v>KSVBS2643351</v>
      </c>
      <c r="D112" t="str">
        <f>IFERROR(VLOOKUP(B112,'DS NGHIEP VU BO'!$A$3:$BX$148,6,0),"")</f>
        <v>92017328</v>
      </c>
      <c r="E112" t="str">
        <f>VLOOKUP(B112,'DS NGHIEP VU BO'!$A$3:$BX$148,45,0)</f>
        <v>Cần Thơ</v>
      </c>
      <c r="F112" t="str">
        <f t="shared" si="2"/>
        <v/>
      </c>
      <c r="G112" t="str">
        <f>IFERROR(IF(VLOOKUP(B112,'DANH SACH UEH'!$A$3:$FE$2228,18,0)="Không có","",VLOOKUP(B112,'DANH SACH UEH'!$A$3:$FE$2228,18,0)),"")</f>
        <v/>
      </c>
      <c r="H112" t="str">
        <f>IFERROR(IF(VLOOKUP(B112,'DANH SACH UEH'!$A$3:$FE$2228,20,0)="Không có","",VLOOKUP(B112,'DANH SACH UEH'!$A$3:$FE$2228,20,0)),"")</f>
        <v/>
      </c>
      <c r="I112" t="str">
        <f>IFERROR(IF(VLOOKUP(B112,'DANH SACH UEH'!$A$3:$FE$2228,19,0)="Không có","",VLOOKUP(B112,'DANH SACH UEH'!$A$3:$FE$2228,19,0)),"")</f>
        <v/>
      </c>
      <c r="J112" t="str">
        <f>VLOOKUP(B112,'DANH SACH UEH'!$A$3:$FE$2228,6,0)</f>
        <v>02/09/2008</v>
      </c>
      <c r="K112" t="str">
        <f>IF(VLOOKUP(B112,'DANH SACH UEH'!$A$3:$FE$2228,5,0)="1","Nữ","Nam")</f>
        <v>Nam</v>
      </c>
      <c r="L112" t="str">
        <f>VLOOKUP(B112,'DANH SACH UEH'!$A$3:$FE$2228,14,0)</f>
        <v>Kinh</v>
      </c>
      <c r="M112" t="str">
        <f>VLOOKUP(B112,'DANH SACH UEH'!$A$3:$FE$2228,7,0)</f>
        <v>quockhanh8827@gmail.com</v>
      </c>
      <c r="N112" t="str">
        <f>VLOOKUP(B112,'DANH SACH UEH'!$A$3:$FE$2228,8,0)</f>
        <v>0765003017</v>
      </c>
      <c r="O112" t="str">
        <f>IFERROR(VLOOKUP(AE112,'DS TAO MAIL'!$D$3:$M$1120,5,0),"")</f>
        <v>31261570413</v>
      </c>
      <c r="P112" t="str">
        <f>IFERROR(VLOOKUP(AE112,'DS TAO MAIL'!$D$3:$M$1120,8,0),"")</f>
        <v>34178127</v>
      </c>
      <c r="Q112" t="str">
        <f>IFERROR(VLOOKUP(AE112,'DS TAO MAIL'!$D$3:$M$1120,7,0),"")</f>
        <v>khanhle.31261570413@st.ueh.edu.vn</v>
      </c>
      <c r="R112" t="str">
        <f>IFERROR(VLOOKUP(AE112,'DS TAO MAIL'!$D$3:$M$1120,8,0),"")</f>
        <v>34178127</v>
      </c>
      <c r="S112">
        <v>71.930000000000007</v>
      </c>
      <c r="U112">
        <v>70.260000000000005</v>
      </c>
      <c r="Z112" t="str">
        <f>VLOOKUP(B112,'DANH SACH UEH'!$A$3:$FE$2228,44,0)</f>
        <v>7.47</v>
      </c>
      <c r="AA112" t="str">
        <f>VLOOKUP(B112,'DANH SACH UEH'!$A$3:$FE$2228,45,0)</f>
        <v>6.80</v>
      </c>
      <c r="AB112" t="str">
        <f>VLOOKUP(B112,'DANH SACH UEH'!$A$3:$FE$2228,46,0)</f>
        <v>7.54</v>
      </c>
      <c r="AE112" t="str">
        <f>VLOOKUP(B112,'DANH SACH UEH'!$A$3:$I$2229,4,0)</f>
        <v>LÊ BÙI QUỐC KHÁNH</v>
      </c>
      <c r="AF112" t="str">
        <f>VLOOKUP(B112,'DANH SACH UEH'!$A$3:$I$2229,8,0)</f>
        <v>0765003017</v>
      </c>
    </row>
  </sheetData>
  <autoFilter ref="A1:V109"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B6F7-B073-4EE2-927B-5C62D174A6E1}">
  <dimension ref="A1:FD268"/>
  <sheetViews>
    <sheetView workbookViewId="0">
      <selection activeCell="D3" sqref="D3"/>
    </sheetView>
  </sheetViews>
  <sheetFormatPr defaultColWidth="9.28515625" defaultRowHeight="15" x14ac:dyDescent="0.25"/>
  <cols>
    <col min="1" max="1" width="12.85546875" style="1" bestFit="1" customWidth="1"/>
    <col min="2" max="3" width="9.28515625" style="1"/>
    <col min="4" max="4" width="28" style="1" bestFit="1" customWidth="1"/>
    <col min="5" max="17" width="9.28515625" style="1"/>
    <col min="18" max="18" width="12.85546875" style="1" bestFit="1" customWidth="1"/>
    <col min="19" max="42" width="9.28515625" style="1"/>
    <col min="43" max="43" width="13.42578125" style="1" customWidth="1"/>
    <col min="44" max="16384" width="9.28515625" style="1"/>
  </cols>
  <sheetData>
    <row r="1" spans="1:160" x14ac:dyDescent="0.25">
      <c r="A1" s="1">
        <v>1</v>
      </c>
      <c r="B1" s="1">
        <v>2</v>
      </c>
      <c r="C1" s="1">
        <v>3</v>
      </c>
      <c r="D1" s="1">
        <v>4</v>
      </c>
      <c r="E1" s="1">
        <v>5</v>
      </c>
      <c r="F1" s="1">
        <v>6</v>
      </c>
      <c r="G1" s="1">
        <v>7</v>
      </c>
      <c r="H1" s="1">
        <v>8</v>
      </c>
      <c r="I1" s="1">
        <v>9</v>
      </c>
      <c r="J1" s="1">
        <v>10</v>
      </c>
      <c r="K1" s="1">
        <v>11</v>
      </c>
      <c r="L1" s="1">
        <v>12</v>
      </c>
      <c r="M1" s="1">
        <v>13</v>
      </c>
      <c r="N1" s="1">
        <v>14</v>
      </c>
      <c r="O1" s="1">
        <v>15</v>
      </c>
      <c r="P1" s="1">
        <v>16</v>
      </c>
      <c r="Q1" s="1">
        <v>17</v>
      </c>
      <c r="R1" s="1">
        <v>18</v>
      </c>
      <c r="S1" s="1">
        <v>19</v>
      </c>
      <c r="T1" s="1">
        <v>20</v>
      </c>
      <c r="U1" s="1">
        <v>21</v>
      </c>
      <c r="V1" s="1">
        <v>22</v>
      </c>
      <c r="W1" s="1">
        <v>23</v>
      </c>
      <c r="X1" s="1">
        <v>24</v>
      </c>
      <c r="Y1" s="1">
        <v>25</v>
      </c>
      <c r="Z1" s="1">
        <v>26</v>
      </c>
      <c r="AA1" s="1">
        <v>27</v>
      </c>
      <c r="AB1" s="1">
        <v>28</v>
      </c>
      <c r="AC1" s="1">
        <v>29</v>
      </c>
      <c r="AD1" s="1">
        <v>30</v>
      </c>
      <c r="AE1" s="1">
        <v>31</v>
      </c>
      <c r="AF1" s="1">
        <v>32</v>
      </c>
      <c r="AG1" s="1">
        <v>33</v>
      </c>
      <c r="AH1" s="1">
        <v>34</v>
      </c>
      <c r="AI1" s="1">
        <v>35</v>
      </c>
      <c r="AJ1" s="1">
        <v>36</v>
      </c>
      <c r="AK1" s="1">
        <v>37</v>
      </c>
      <c r="AL1" s="1">
        <v>38</v>
      </c>
      <c r="AM1" s="1">
        <v>39</v>
      </c>
      <c r="AN1" s="1">
        <v>40</v>
      </c>
      <c r="AO1" s="1">
        <v>41</v>
      </c>
      <c r="AP1" s="1">
        <v>42</v>
      </c>
      <c r="AQ1" s="1">
        <v>43</v>
      </c>
      <c r="AR1" s="1">
        <v>44</v>
      </c>
      <c r="AS1" s="1">
        <v>45</v>
      </c>
      <c r="AT1" s="1">
        <v>46</v>
      </c>
      <c r="AU1" s="1">
        <v>47</v>
      </c>
      <c r="AV1" s="1">
        <v>48</v>
      </c>
      <c r="AW1" s="1">
        <v>49</v>
      </c>
      <c r="AX1" s="1">
        <v>50</v>
      </c>
      <c r="AY1" s="1">
        <v>51</v>
      </c>
      <c r="AZ1" s="1">
        <v>52</v>
      </c>
      <c r="BA1" s="1">
        <v>53</v>
      </c>
      <c r="BB1" s="1">
        <v>54</v>
      </c>
      <c r="BC1" s="1">
        <v>55</v>
      </c>
      <c r="BD1" s="1">
        <v>56</v>
      </c>
      <c r="BE1" s="1">
        <v>57</v>
      </c>
      <c r="BF1" s="1">
        <v>58</v>
      </c>
      <c r="BG1" s="1">
        <v>59</v>
      </c>
      <c r="BH1" s="1">
        <v>60</v>
      </c>
      <c r="BI1" s="1">
        <v>61</v>
      </c>
      <c r="BJ1" s="1">
        <v>62</v>
      </c>
      <c r="BK1" s="1">
        <v>63</v>
      </c>
      <c r="BL1" s="1">
        <v>64</v>
      </c>
      <c r="BM1" s="1">
        <v>65</v>
      </c>
      <c r="BN1" s="1">
        <v>66</v>
      </c>
      <c r="BO1" s="1">
        <v>67</v>
      </c>
      <c r="BP1" s="1">
        <v>68</v>
      </c>
      <c r="BQ1" s="1">
        <v>69</v>
      </c>
      <c r="BR1" s="1">
        <v>70</v>
      </c>
      <c r="BS1" s="1">
        <v>71</v>
      </c>
      <c r="BT1" s="1">
        <v>72</v>
      </c>
      <c r="BU1" s="1">
        <v>73</v>
      </c>
      <c r="BV1" s="1">
        <v>74</v>
      </c>
      <c r="BW1" s="1">
        <v>75</v>
      </c>
      <c r="BX1" s="1">
        <v>76</v>
      </c>
      <c r="BY1" s="1">
        <v>77</v>
      </c>
      <c r="BZ1" s="1">
        <v>78</v>
      </c>
      <c r="CA1" s="1">
        <v>79</v>
      </c>
      <c r="CB1" s="1">
        <v>80</v>
      </c>
      <c r="CC1" s="1">
        <v>81</v>
      </c>
      <c r="CD1" s="1">
        <v>82</v>
      </c>
      <c r="CE1" s="1">
        <v>83</v>
      </c>
      <c r="CF1" s="1">
        <v>84</v>
      </c>
      <c r="CG1" s="1">
        <v>85</v>
      </c>
      <c r="CH1" s="1">
        <v>86</v>
      </c>
      <c r="CI1" s="1">
        <v>87</v>
      </c>
      <c r="CJ1" s="1">
        <v>88</v>
      </c>
      <c r="CK1" s="1">
        <v>89</v>
      </c>
      <c r="CL1" s="1">
        <v>90</v>
      </c>
      <c r="CM1" s="1">
        <v>91</v>
      </c>
      <c r="CN1" s="1">
        <v>92</v>
      </c>
      <c r="CO1" s="1">
        <v>93</v>
      </c>
      <c r="CP1" s="1">
        <v>94</v>
      </c>
      <c r="CQ1" s="1">
        <v>95</v>
      </c>
      <c r="CR1" s="1">
        <v>96</v>
      </c>
      <c r="CS1" s="1">
        <v>97</v>
      </c>
      <c r="CT1" s="1">
        <v>98</v>
      </c>
      <c r="CU1" s="1">
        <v>99</v>
      </c>
      <c r="CV1" s="1">
        <v>100</v>
      </c>
      <c r="CW1" s="1">
        <v>101</v>
      </c>
      <c r="CX1" s="1">
        <v>102</v>
      </c>
      <c r="CY1" s="1">
        <v>103</v>
      </c>
      <c r="CZ1" s="1">
        <v>104</v>
      </c>
      <c r="DA1" s="1">
        <v>105</v>
      </c>
      <c r="DB1" s="1">
        <v>106</v>
      </c>
      <c r="DC1" s="1">
        <v>107</v>
      </c>
      <c r="DD1" s="1">
        <v>108</v>
      </c>
      <c r="DE1" s="1">
        <v>109</v>
      </c>
      <c r="DF1" s="1">
        <v>110</v>
      </c>
      <c r="DG1" s="1">
        <v>111</v>
      </c>
      <c r="DH1" s="1">
        <v>112</v>
      </c>
      <c r="DI1" s="1">
        <v>113</v>
      </c>
      <c r="DJ1" s="1">
        <v>114</v>
      </c>
      <c r="DK1" s="1">
        <v>115</v>
      </c>
      <c r="DL1" s="1">
        <v>116</v>
      </c>
      <c r="DM1" s="1">
        <v>117</v>
      </c>
      <c r="DN1" s="1">
        <v>118</v>
      </c>
      <c r="DO1" s="1">
        <v>119</v>
      </c>
      <c r="DP1" s="1">
        <v>120</v>
      </c>
      <c r="DQ1" s="1">
        <v>121</v>
      </c>
      <c r="DR1" s="1">
        <v>122</v>
      </c>
      <c r="DS1" s="1">
        <v>123</v>
      </c>
      <c r="DT1" s="1">
        <v>124</v>
      </c>
      <c r="DU1" s="1">
        <v>125</v>
      </c>
      <c r="DV1" s="1">
        <v>126</v>
      </c>
      <c r="DW1" s="1">
        <v>127</v>
      </c>
      <c r="DX1" s="1">
        <v>128</v>
      </c>
      <c r="DY1" s="1">
        <v>129</v>
      </c>
      <c r="DZ1" s="1">
        <v>130</v>
      </c>
      <c r="EA1" s="1">
        <v>131</v>
      </c>
      <c r="EB1" s="1">
        <v>132</v>
      </c>
      <c r="EC1" s="1">
        <v>133</v>
      </c>
      <c r="ED1" s="1">
        <v>134</v>
      </c>
      <c r="EE1" s="1">
        <v>135</v>
      </c>
      <c r="EF1" s="1">
        <v>136</v>
      </c>
      <c r="EG1" s="1">
        <v>137</v>
      </c>
      <c r="EH1" s="1">
        <v>138</v>
      </c>
      <c r="EI1" s="1">
        <v>139</v>
      </c>
      <c r="EJ1" s="1">
        <v>140</v>
      </c>
      <c r="EK1" s="1">
        <v>141</v>
      </c>
      <c r="EL1" s="1">
        <v>142</v>
      </c>
      <c r="EM1" s="1">
        <v>143</v>
      </c>
      <c r="EN1" s="1">
        <v>144</v>
      </c>
      <c r="EO1" s="1">
        <v>145</v>
      </c>
      <c r="EP1" s="1">
        <v>146</v>
      </c>
      <c r="EQ1" s="1">
        <v>147</v>
      </c>
      <c r="ER1" s="1">
        <v>148</v>
      </c>
      <c r="ES1" s="1">
        <v>149</v>
      </c>
      <c r="ET1" s="1">
        <v>150</v>
      </c>
      <c r="EU1" s="1">
        <v>151</v>
      </c>
      <c r="EV1" s="1">
        <v>152</v>
      </c>
      <c r="EW1" s="1">
        <v>153</v>
      </c>
      <c r="EX1" s="1">
        <v>154</v>
      </c>
      <c r="EY1" s="1">
        <v>155</v>
      </c>
      <c r="EZ1" s="1">
        <v>156</v>
      </c>
      <c r="FA1" s="1">
        <v>157</v>
      </c>
      <c r="FB1" s="1">
        <v>158</v>
      </c>
      <c r="FC1" s="1">
        <v>159</v>
      </c>
      <c r="FD1" s="1">
        <v>160</v>
      </c>
    </row>
    <row r="2" spans="1:160" x14ac:dyDescent="0.25">
      <c r="B2" s="1" t="s">
        <v>121</v>
      </c>
      <c r="C2" s="1" t="s">
        <v>122</v>
      </c>
      <c r="D2" s="1" t="s">
        <v>123</v>
      </c>
      <c r="E2" s="1" t="s">
        <v>124</v>
      </c>
      <c r="F2" s="1" t="s">
        <v>3</v>
      </c>
      <c r="G2" s="1" t="s">
        <v>125</v>
      </c>
      <c r="H2" s="1" t="s">
        <v>126</v>
      </c>
      <c r="I2" s="1" t="s">
        <v>1</v>
      </c>
      <c r="J2" s="1" t="s">
        <v>127</v>
      </c>
      <c r="K2" s="1" t="s">
        <v>128</v>
      </c>
      <c r="L2" s="1" t="s">
        <v>129</v>
      </c>
      <c r="M2" s="1" t="s">
        <v>130</v>
      </c>
      <c r="N2" s="1" t="s">
        <v>5</v>
      </c>
      <c r="O2" s="1" t="s">
        <v>131</v>
      </c>
      <c r="P2" s="1" t="s">
        <v>132</v>
      </c>
      <c r="Q2" s="1" t="s">
        <v>133</v>
      </c>
      <c r="R2" s="1" t="s">
        <v>134</v>
      </c>
      <c r="S2" s="1" t="s">
        <v>135</v>
      </c>
      <c r="T2" s="1" t="s">
        <v>136</v>
      </c>
      <c r="U2" s="1" t="s">
        <v>137</v>
      </c>
      <c r="V2" s="1" t="s">
        <v>138</v>
      </c>
      <c r="W2" s="1" t="s">
        <v>139</v>
      </c>
      <c r="X2" s="1" t="s">
        <v>140</v>
      </c>
      <c r="Y2" s="1" t="s">
        <v>141</v>
      </c>
      <c r="Z2" s="1" t="s">
        <v>142</v>
      </c>
      <c r="AA2" s="1" t="s">
        <v>143</v>
      </c>
      <c r="AB2" s="1" t="s">
        <v>144</v>
      </c>
      <c r="AC2" s="1" t="s">
        <v>145</v>
      </c>
      <c r="AD2" s="1" t="s">
        <v>146</v>
      </c>
      <c r="AE2" s="1" t="s">
        <v>147</v>
      </c>
      <c r="AF2" s="1" t="s">
        <v>148</v>
      </c>
      <c r="AG2" s="1" t="s">
        <v>149</v>
      </c>
      <c r="AH2" s="1" t="s">
        <v>150</v>
      </c>
      <c r="AI2" s="1" t="s">
        <v>151</v>
      </c>
      <c r="AJ2" s="1" t="s">
        <v>152</v>
      </c>
      <c r="AK2" s="1" t="s">
        <v>153</v>
      </c>
      <c r="AL2" s="1" t="s">
        <v>154</v>
      </c>
      <c r="AM2" s="1" t="s">
        <v>155</v>
      </c>
      <c r="AN2" s="1" t="s">
        <v>156</v>
      </c>
      <c r="AO2" s="1" t="s">
        <v>157</v>
      </c>
      <c r="AP2" s="1" t="s">
        <v>158</v>
      </c>
      <c r="AQ2" s="1" t="s">
        <v>159</v>
      </c>
      <c r="AR2" s="1" t="s">
        <v>160</v>
      </c>
      <c r="AS2" s="1" t="s">
        <v>161</v>
      </c>
      <c r="AT2" s="1" t="s">
        <v>162</v>
      </c>
      <c r="AU2" s="1" t="s">
        <v>163</v>
      </c>
      <c r="AV2" s="1" t="s">
        <v>164</v>
      </c>
      <c r="AW2" s="1" t="s">
        <v>165</v>
      </c>
      <c r="AX2" s="1" t="s">
        <v>166</v>
      </c>
      <c r="AY2" s="1" t="s">
        <v>167</v>
      </c>
      <c r="AZ2" s="1" t="s">
        <v>168</v>
      </c>
      <c r="BA2" s="1" t="s">
        <v>169</v>
      </c>
      <c r="BB2" s="1" t="s">
        <v>170</v>
      </c>
      <c r="BC2" s="1" t="s">
        <v>171</v>
      </c>
      <c r="BD2" s="1" t="s">
        <v>172</v>
      </c>
      <c r="BE2" s="1" t="s">
        <v>173</v>
      </c>
      <c r="BF2" s="1" t="s">
        <v>174</v>
      </c>
      <c r="BG2" s="1" t="s">
        <v>175</v>
      </c>
      <c r="BH2" s="1" t="s">
        <v>176</v>
      </c>
      <c r="BI2" s="1" t="s">
        <v>177</v>
      </c>
      <c r="BJ2" s="1" t="s">
        <v>178</v>
      </c>
      <c r="BK2" s="1" t="s">
        <v>179</v>
      </c>
      <c r="BL2" s="1" t="s">
        <v>180</v>
      </c>
      <c r="BM2" s="1" t="s">
        <v>181</v>
      </c>
      <c r="BN2" s="1" t="s">
        <v>182</v>
      </c>
      <c r="BO2" s="1" t="s">
        <v>183</v>
      </c>
      <c r="BP2" s="1" t="s">
        <v>184</v>
      </c>
      <c r="BQ2" s="1" t="s">
        <v>185</v>
      </c>
      <c r="BR2" s="1" t="s">
        <v>186</v>
      </c>
      <c r="BS2" s="1" t="s">
        <v>187</v>
      </c>
      <c r="BT2" s="1" t="s">
        <v>188</v>
      </c>
      <c r="BU2" s="1" t="s">
        <v>189</v>
      </c>
      <c r="BV2" s="1" t="s">
        <v>190</v>
      </c>
      <c r="BW2" s="1" t="s">
        <v>191</v>
      </c>
      <c r="BX2" s="1" t="s">
        <v>192</v>
      </c>
      <c r="BY2" s="1" t="s">
        <v>193</v>
      </c>
      <c r="BZ2" s="1" t="s">
        <v>194</v>
      </c>
      <c r="CA2" s="1" t="s">
        <v>195</v>
      </c>
      <c r="CB2" s="1" t="s">
        <v>196</v>
      </c>
      <c r="CC2" s="1" t="s">
        <v>197</v>
      </c>
      <c r="CD2" s="1" t="s">
        <v>198</v>
      </c>
      <c r="CE2" s="1" t="s">
        <v>199</v>
      </c>
      <c r="CF2" s="1" t="s">
        <v>200</v>
      </c>
      <c r="CG2" s="1" t="s">
        <v>201</v>
      </c>
      <c r="CH2" s="1" t="s">
        <v>202</v>
      </c>
      <c r="CI2" s="1" t="s">
        <v>203</v>
      </c>
      <c r="CJ2" s="1" t="s">
        <v>204</v>
      </c>
      <c r="CK2" s="1" t="s">
        <v>205</v>
      </c>
      <c r="CL2" s="1" t="s">
        <v>206</v>
      </c>
      <c r="CM2" s="1" t="s">
        <v>207</v>
      </c>
      <c r="CN2" s="1" t="s">
        <v>208</v>
      </c>
      <c r="CO2" s="1" t="s">
        <v>209</v>
      </c>
      <c r="CP2" s="1" t="s">
        <v>210</v>
      </c>
      <c r="CQ2" s="1" t="s">
        <v>211</v>
      </c>
      <c r="CR2" s="1" t="s">
        <v>212</v>
      </c>
      <c r="CS2" s="1" t="s">
        <v>213</v>
      </c>
      <c r="CT2" s="1" t="s">
        <v>214</v>
      </c>
      <c r="CU2" s="1" t="s">
        <v>215</v>
      </c>
      <c r="CV2" s="1" t="s">
        <v>216</v>
      </c>
      <c r="CW2" s="1" t="s">
        <v>217</v>
      </c>
      <c r="CX2" s="1" t="s">
        <v>218</v>
      </c>
      <c r="CY2" s="1" t="s">
        <v>219</v>
      </c>
      <c r="CZ2" s="1" t="s">
        <v>220</v>
      </c>
      <c r="DA2" s="1" t="s">
        <v>221</v>
      </c>
      <c r="DB2" s="1" t="s">
        <v>222</v>
      </c>
      <c r="DC2" s="1" t="s">
        <v>223</v>
      </c>
      <c r="DD2" s="1" t="s">
        <v>224</v>
      </c>
      <c r="DE2" s="1" t="s">
        <v>225</v>
      </c>
      <c r="DF2" s="1" t="s">
        <v>226</v>
      </c>
      <c r="DG2" s="1" t="s">
        <v>227</v>
      </c>
      <c r="DH2" s="1" t="s">
        <v>228</v>
      </c>
      <c r="DI2" s="1" t="s">
        <v>229</v>
      </c>
      <c r="DJ2" s="1" t="s">
        <v>230</v>
      </c>
      <c r="DK2" s="1" t="s">
        <v>231</v>
      </c>
      <c r="DL2" s="1" t="s">
        <v>232</v>
      </c>
      <c r="DM2" s="1" t="s">
        <v>233</v>
      </c>
      <c r="DN2" s="1" t="s">
        <v>234</v>
      </c>
      <c r="DO2" s="1" t="s">
        <v>235</v>
      </c>
      <c r="DP2" s="1" t="s">
        <v>236</v>
      </c>
      <c r="DQ2" s="1" t="s">
        <v>237</v>
      </c>
      <c r="DR2" s="1" t="s">
        <v>238</v>
      </c>
      <c r="DS2" s="1" t="s">
        <v>239</v>
      </c>
      <c r="DT2" s="1" t="s">
        <v>240</v>
      </c>
      <c r="DU2" s="1" t="s">
        <v>241</v>
      </c>
      <c r="DV2" s="1" t="s">
        <v>242</v>
      </c>
      <c r="DW2" s="1" t="s">
        <v>243</v>
      </c>
      <c r="DX2" s="1" t="s">
        <v>244</v>
      </c>
      <c r="DY2" s="1" t="s">
        <v>245</v>
      </c>
      <c r="DZ2" s="1" t="s">
        <v>246</v>
      </c>
      <c r="EA2" s="1" t="s">
        <v>247</v>
      </c>
      <c r="EB2" s="1" t="s">
        <v>248</v>
      </c>
      <c r="EC2" s="1" t="s">
        <v>249</v>
      </c>
      <c r="ED2" s="1" t="s">
        <v>250</v>
      </c>
      <c r="EE2" s="1" t="s">
        <v>251</v>
      </c>
      <c r="EF2" s="1" t="s">
        <v>252</v>
      </c>
      <c r="EG2" s="1" t="s">
        <v>253</v>
      </c>
      <c r="EH2" s="1" t="s">
        <v>254</v>
      </c>
      <c r="EI2" s="1" t="s">
        <v>255</v>
      </c>
      <c r="EJ2" s="1" t="s">
        <v>256</v>
      </c>
      <c r="EK2" s="1" t="s">
        <v>257</v>
      </c>
      <c r="EL2" s="1" t="s">
        <v>258</v>
      </c>
      <c r="EM2" s="1" t="s">
        <v>259</v>
      </c>
      <c r="EN2" s="1" t="s">
        <v>260</v>
      </c>
      <c r="EO2" s="1" t="s">
        <v>261</v>
      </c>
      <c r="EP2" s="1" t="s">
        <v>262</v>
      </c>
      <c r="EQ2" s="1" t="s">
        <v>263</v>
      </c>
      <c r="ER2" s="1" t="s">
        <v>264</v>
      </c>
      <c r="ES2" s="1" t="s">
        <v>265</v>
      </c>
      <c r="ET2" s="1" t="s">
        <v>266</v>
      </c>
      <c r="EU2" s="1" t="s">
        <v>267</v>
      </c>
      <c r="EV2" s="1" t="s">
        <v>268</v>
      </c>
      <c r="EW2" s="1" t="s">
        <v>269</v>
      </c>
      <c r="EX2" s="1" t="s">
        <v>270</v>
      </c>
      <c r="EY2" s="1" t="s">
        <v>271</v>
      </c>
      <c r="EZ2" s="1" t="s">
        <v>272</v>
      </c>
      <c r="FA2" s="1" t="s">
        <v>273</v>
      </c>
      <c r="FB2" s="1" t="s">
        <v>274</v>
      </c>
      <c r="FC2" s="1" t="s">
        <v>275</v>
      </c>
      <c r="FD2" s="1" t="s">
        <v>276</v>
      </c>
    </row>
    <row r="3" spans="1:160" x14ac:dyDescent="0.25">
      <c r="A3" s="1" t="str">
        <f>I3</f>
        <v>086082000517</v>
      </c>
      <c r="B3" t="s">
        <v>277</v>
      </c>
      <c r="C3" t="s">
        <v>278</v>
      </c>
      <c r="D3" t="s">
        <v>279</v>
      </c>
      <c r="E3" t="s">
        <v>280</v>
      </c>
      <c r="F3" t="s">
        <v>281</v>
      </c>
      <c r="G3" t="s">
        <v>282</v>
      </c>
      <c r="H3" t="s">
        <v>283</v>
      </c>
      <c r="I3" t="s">
        <v>284</v>
      </c>
      <c r="J3" t="s">
        <v>285</v>
      </c>
      <c r="K3" t="s">
        <v>286</v>
      </c>
      <c r="L3"/>
      <c r="M3" t="s">
        <v>287</v>
      </c>
      <c r="N3" t="s">
        <v>288</v>
      </c>
      <c r="O3"/>
      <c r="P3" t="s">
        <v>289</v>
      </c>
      <c r="Q3" t="s">
        <v>290</v>
      </c>
      <c r="R3" t="s">
        <v>287</v>
      </c>
      <c r="S3" t="s">
        <v>287</v>
      </c>
      <c r="T3" t="s">
        <v>287</v>
      </c>
      <c r="U3" t="s">
        <v>291</v>
      </c>
      <c r="V3" t="s">
        <v>292</v>
      </c>
      <c r="W3" t="s">
        <v>293</v>
      </c>
      <c r="X3"/>
      <c r="Y3"/>
      <c r="Z3" t="s">
        <v>294</v>
      </c>
      <c r="AA3" t="s">
        <v>287</v>
      </c>
      <c r="AB3"/>
      <c r="AC3"/>
      <c r="AD3"/>
      <c r="AE3" t="s">
        <v>295</v>
      </c>
      <c r="AF3" t="s">
        <v>296</v>
      </c>
      <c r="AG3" t="s">
        <v>297</v>
      </c>
      <c r="AH3" t="s">
        <v>298</v>
      </c>
      <c r="AI3" t="s">
        <v>296</v>
      </c>
      <c r="AJ3" t="s">
        <v>297</v>
      </c>
      <c r="AK3" t="s">
        <v>298</v>
      </c>
      <c r="AL3" t="s">
        <v>296</v>
      </c>
      <c r="AM3" t="s">
        <v>297</v>
      </c>
      <c r="AN3" t="s">
        <v>298</v>
      </c>
      <c r="AO3" t="s">
        <v>299</v>
      </c>
      <c r="AP3" t="s">
        <v>300</v>
      </c>
      <c r="AQ3" t="s">
        <v>301</v>
      </c>
      <c r="AR3" t="s">
        <v>302</v>
      </c>
      <c r="AS3" t="s">
        <v>303</v>
      </c>
      <c r="AT3" t="s">
        <v>304</v>
      </c>
      <c r="AU3" t="s">
        <v>305</v>
      </c>
      <c r="AV3"/>
      <c r="AW3" t="s">
        <v>306</v>
      </c>
      <c r="AX3" t="s">
        <v>307</v>
      </c>
      <c r="AY3" t="s">
        <v>308</v>
      </c>
      <c r="AZ3" t="s">
        <v>309</v>
      </c>
      <c r="BA3" t="s">
        <v>310</v>
      </c>
      <c r="BB3" t="s">
        <v>311</v>
      </c>
      <c r="BC3" t="s">
        <v>312</v>
      </c>
      <c r="BD3" t="s">
        <v>313</v>
      </c>
      <c r="BE3"/>
      <c r="BF3" t="s">
        <v>314</v>
      </c>
      <c r="BG3"/>
      <c r="BH3"/>
      <c r="BI3"/>
      <c r="BJ3"/>
      <c r="BK3"/>
      <c r="BL3"/>
      <c r="BM3" t="s">
        <v>305</v>
      </c>
      <c r="BN3" t="s">
        <v>305</v>
      </c>
      <c r="BO3" t="s">
        <v>315</v>
      </c>
      <c r="BP3" t="s">
        <v>316</v>
      </c>
      <c r="BQ3" t="s">
        <v>317</v>
      </c>
      <c r="BR3">
        <v>9.5</v>
      </c>
      <c r="BS3">
        <v>8.5</v>
      </c>
      <c r="BT3">
        <v>9.6999999999999993</v>
      </c>
      <c r="BU3">
        <v>9.5</v>
      </c>
      <c r="BV3">
        <v>0</v>
      </c>
      <c r="BW3">
        <v>0</v>
      </c>
      <c r="BX3">
        <v>0</v>
      </c>
      <c r="BY3">
        <v>6.4</v>
      </c>
      <c r="BZ3">
        <v>6.3</v>
      </c>
      <c r="CA3">
        <v>0</v>
      </c>
      <c r="CB3">
        <v>8.9</v>
      </c>
      <c r="CC3">
        <v>9.3000000000000007</v>
      </c>
      <c r="CD3">
        <v>0</v>
      </c>
      <c r="CE3">
        <v>0</v>
      </c>
      <c r="CF3">
        <v>0</v>
      </c>
      <c r="CG3">
        <v>0</v>
      </c>
      <c r="CH3">
        <v>0</v>
      </c>
      <c r="CI3">
        <v>0</v>
      </c>
      <c r="CJ3">
        <v>0</v>
      </c>
      <c r="CK3">
        <v>0</v>
      </c>
      <c r="CL3">
        <v>0</v>
      </c>
      <c r="CM3">
        <v>8</v>
      </c>
      <c r="CN3">
        <v>8.8000000000000007</v>
      </c>
      <c r="CO3">
        <v>8.8000000000000007</v>
      </c>
      <c r="CP3">
        <v>9.5</v>
      </c>
      <c r="CQ3">
        <v>0</v>
      </c>
      <c r="CR3">
        <v>0</v>
      </c>
      <c r="CS3">
        <v>0</v>
      </c>
      <c r="CT3">
        <v>9.1</v>
      </c>
      <c r="CU3">
        <v>7.2</v>
      </c>
      <c r="CV3">
        <v>0</v>
      </c>
      <c r="CW3">
        <v>9.3000000000000007</v>
      </c>
      <c r="CX3">
        <v>9.6999999999999993</v>
      </c>
      <c r="CY3">
        <v>0</v>
      </c>
      <c r="CZ3">
        <v>0</v>
      </c>
      <c r="DA3">
        <v>0</v>
      </c>
      <c r="DB3">
        <v>0</v>
      </c>
      <c r="DC3">
        <v>0</v>
      </c>
      <c r="DD3">
        <v>0</v>
      </c>
      <c r="DE3">
        <v>0</v>
      </c>
      <c r="DF3">
        <v>0</v>
      </c>
      <c r="DG3">
        <v>0</v>
      </c>
      <c r="DH3">
        <v>9.1999999999999993</v>
      </c>
      <c r="DI3">
        <v>9.4</v>
      </c>
      <c r="DJ3">
        <v>9.9</v>
      </c>
      <c r="DK3">
        <v>7.9</v>
      </c>
      <c r="DL3">
        <v>0</v>
      </c>
      <c r="DM3">
        <v>0</v>
      </c>
      <c r="DN3">
        <v>0</v>
      </c>
      <c r="DO3">
        <v>9.6999999999999993</v>
      </c>
      <c r="DP3">
        <v>7.8</v>
      </c>
      <c r="DQ3">
        <v>0</v>
      </c>
      <c r="DR3">
        <v>9.8000000000000007</v>
      </c>
      <c r="DS3">
        <v>7.9</v>
      </c>
      <c r="DT3">
        <v>0</v>
      </c>
      <c r="DU3">
        <v>0</v>
      </c>
      <c r="DV3">
        <v>0</v>
      </c>
      <c r="DW3">
        <v>0</v>
      </c>
      <c r="DX3">
        <v>0</v>
      </c>
      <c r="DY3">
        <v>0</v>
      </c>
      <c r="DZ3">
        <v>0</v>
      </c>
      <c r="EA3">
        <v>0</v>
      </c>
      <c r="EB3">
        <v>0</v>
      </c>
      <c r="EC3">
        <v>8</v>
      </c>
      <c r="ED3">
        <v>8</v>
      </c>
      <c r="EE3">
        <v>8</v>
      </c>
      <c r="EF3"/>
      <c r="EG3"/>
      <c r="EH3"/>
      <c r="EI3"/>
      <c r="EJ3"/>
      <c r="EK3"/>
      <c r="EL3"/>
      <c r="EM3"/>
      <c r="EN3"/>
      <c r="EO3"/>
      <c r="EP3"/>
      <c r="EQ3"/>
      <c r="ER3"/>
      <c r="ES3"/>
      <c r="ET3"/>
      <c r="EU3"/>
      <c r="EV3"/>
      <c r="EW3">
        <v>100</v>
      </c>
      <c r="EX3">
        <v>50</v>
      </c>
      <c r="EY3">
        <v>100</v>
      </c>
      <c r="EZ3"/>
      <c r="FA3"/>
      <c r="FB3"/>
      <c r="FC3"/>
      <c r="FD3"/>
    </row>
    <row r="4" spans="1:160" x14ac:dyDescent="0.25">
      <c r="A4" s="1" t="str">
        <f t="shared" ref="A4:A67" si="0">I4</f>
        <v>082308003110</v>
      </c>
      <c r="B4" t="s">
        <v>335</v>
      </c>
      <c r="C4" t="s">
        <v>336</v>
      </c>
      <c r="D4" t="s">
        <v>337</v>
      </c>
      <c r="E4" t="s">
        <v>278</v>
      </c>
      <c r="F4" t="s">
        <v>338</v>
      </c>
      <c r="G4" t="s">
        <v>339</v>
      </c>
      <c r="H4" t="s">
        <v>340</v>
      </c>
      <c r="I4" t="s">
        <v>85</v>
      </c>
      <c r="J4" t="s">
        <v>341</v>
      </c>
      <c r="K4" t="s">
        <v>321</v>
      </c>
      <c r="L4"/>
      <c r="M4" t="s">
        <v>287</v>
      </c>
      <c r="N4" t="s">
        <v>288</v>
      </c>
      <c r="O4"/>
      <c r="P4" t="s">
        <v>289</v>
      </c>
      <c r="Q4" t="s">
        <v>342</v>
      </c>
      <c r="R4" t="s">
        <v>287</v>
      </c>
      <c r="S4" t="s">
        <v>287</v>
      </c>
      <c r="T4" t="s">
        <v>287</v>
      </c>
      <c r="U4" t="s">
        <v>343</v>
      </c>
      <c r="V4" t="s">
        <v>344</v>
      </c>
      <c r="W4" t="s">
        <v>345</v>
      </c>
      <c r="X4"/>
      <c r="Y4"/>
      <c r="Z4" t="s">
        <v>294</v>
      </c>
      <c r="AA4" t="s">
        <v>287</v>
      </c>
      <c r="AB4"/>
      <c r="AC4"/>
      <c r="AD4"/>
      <c r="AE4"/>
      <c r="AF4" t="s">
        <v>323</v>
      </c>
      <c r="AG4" t="s">
        <v>346</v>
      </c>
      <c r="AH4" t="s">
        <v>347</v>
      </c>
      <c r="AI4" t="s">
        <v>323</v>
      </c>
      <c r="AJ4" t="s">
        <v>346</v>
      </c>
      <c r="AK4" t="s">
        <v>347</v>
      </c>
      <c r="AL4" t="s">
        <v>323</v>
      </c>
      <c r="AM4" t="s">
        <v>346</v>
      </c>
      <c r="AN4" t="s">
        <v>347</v>
      </c>
      <c r="AO4" t="s">
        <v>299</v>
      </c>
      <c r="AP4" t="s">
        <v>348</v>
      </c>
      <c r="AQ4" t="s">
        <v>294</v>
      </c>
      <c r="AR4" t="s">
        <v>327</v>
      </c>
      <c r="AS4" t="s">
        <v>328</v>
      </c>
      <c r="AT4" t="s">
        <v>329</v>
      </c>
      <c r="AU4" t="s">
        <v>305</v>
      </c>
      <c r="AV4"/>
      <c r="AW4" t="s">
        <v>349</v>
      </c>
      <c r="AX4" t="s">
        <v>350</v>
      </c>
      <c r="AY4" t="s">
        <v>351</v>
      </c>
      <c r="AZ4" t="s">
        <v>352</v>
      </c>
      <c r="BA4" t="s">
        <v>308</v>
      </c>
      <c r="BB4" t="s">
        <v>309</v>
      </c>
      <c r="BC4" t="s">
        <v>312</v>
      </c>
      <c r="BD4" t="s">
        <v>353</v>
      </c>
      <c r="BE4"/>
      <c r="BF4" t="s">
        <v>314</v>
      </c>
      <c r="BG4"/>
      <c r="BH4"/>
      <c r="BI4"/>
      <c r="BJ4"/>
      <c r="BK4"/>
      <c r="BL4"/>
      <c r="BM4" t="s">
        <v>305</v>
      </c>
      <c r="BN4" t="s">
        <v>354</v>
      </c>
      <c r="BO4" t="s">
        <v>355</v>
      </c>
      <c r="BP4" t="s">
        <v>356</v>
      </c>
      <c r="BQ4"/>
      <c r="BR4">
        <v>7.7</v>
      </c>
      <c r="BS4">
        <v>7.2</v>
      </c>
      <c r="BT4">
        <v>7.3</v>
      </c>
      <c r="BU4">
        <v>9.5</v>
      </c>
      <c r="BV4">
        <v>9.3000000000000007</v>
      </c>
      <c r="BW4">
        <v>9.1999999999999993</v>
      </c>
      <c r="BX4">
        <v>8.6999999999999993</v>
      </c>
      <c r="BY4">
        <v>7.4</v>
      </c>
      <c r="BZ4">
        <v>0</v>
      </c>
      <c r="CA4">
        <v>0</v>
      </c>
      <c r="CB4">
        <v>0</v>
      </c>
      <c r="CC4">
        <v>8.1</v>
      </c>
      <c r="CD4">
        <v>0</v>
      </c>
      <c r="CE4">
        <v>0</v>
      </c>
      <c r="CF4">
        <v>0</v>
      </c>
      <c r="CG4">
        <v>0</v>
      </c>
      <c r="CH4">
        <v>0</v>
      </c>
      <c r="CI4">
        <v>0</v>
      </c>
      <c r="CJ4">
        <v>0</v>
      </c>
      <c r="CK4">
        <v>0</v>
      </c>
      <c r="CL4">
        <v>0</v>
      </c>
      <c r="CM4">
        <v>8.1999999999999993</v>
      </c>
      <c r="CN4">
        <v>8.6</v>
      </c>
      <c r="CO4">
        <v>9</v>
      </c>
      <c r="CP4">
        <v>9.1999999999999993</v>
      </c>
      <c r="CQ4">
        <v>9.1</v>
      </c>
      <c r="CR4">
        <v>9.1999999999999993</v>
      </c>
      <c r="CS4">
        <v>8.6</v>
      </c>
      <c r="CT4">
        <v>8.1</v>
      </c>
      <c r="CU4">
        <v>0</v>
      </c>
      <c r="CV4">
        <v>0</v>
      </c>
      <c r="CW4">
        <v>0</v>
      </c>
      <c r="CX4">
        <v>8.6</v>
      </c>
      <c r="CY4">
        <v>0</v>
      </c>
      <c r="CZ4">
        <v>0</v>
      </c>
      <c r="DA4">
        <v>0</v>
      </c>
      <c r="DB4">
        <v>0</v>
      </c>
      <c r="DC4">
        <v>0</v>
      </c>
      <c r="DD4">
        <v>0</v>
      </c>
      <c r="DE4">
        <v>0</v>
      </c>
      <c r="DF4">
        <v>0</v>
      </c>
      <c r="DG4">
        <v>0</v>
      </c>
      <c r="DH4">
        <v>8.6999999999999993</v>
      </c>
      <c r="DI4">
        <v>9.1999999999999993</v>
      </c>
      <c r="DJ4">
        <v>9</v>
      </c>
      <c r="DK4">
        <v>9.5</v>
      </c>
      <c r="DL4">
        <v>9.6</v>
      </c>
      <c r="DM4">
        <v>9.4</v>
      </c>
      <c r="DN4">
        <v>9.4</v>
      </c>
      <c r="DO4">
        <v>8.9</v>
      </c>
      <c r="DP4">
        <v>0</v>
      </c>
      <c r="DQ4">
        <v>0</v>
      </c>
      <c r="DR4">
        <v>0</v>
      </c>
      <c r="DS4">
        <v>9.6999999999999993</v>
      </c>
      <c r="DT4">
        <v>0</v>
      </c>
      <c r="DU4">
        <v>0</v>
      </c>
      <c r="DV4">
        <v>0</v>
      </c>
      <c r="DW4">
        <v>0</v>
      </c>
      <c r="DX4">
        <v>0</v>
      </c>
      <c r="DY4">
        <v>0</v>
      </c>
      <c r="DZ4">
        <v>0</v>
      </c>
      <c r="EA4">
        <v>0</v>
      </c>
      <c r="EB4">
        <v>0</v>
      </c>
      <c r="EC4">
        <v>6.25</v>
      </c>
      <c r="ED4">
        <v>7.75</v>
      </c>
      <c r="EE4">
        <v>5</v>
      </c>
      <c r="EF4"/>
      <c r="EG4"/>
      <c r="EH4"/>
      <c r="EI4"/>
      <c r="EJ4">
        <v>4.2</v>
      </c>
      <c r="EK4"/>
      <c r="EL4"/>
      <c r="EM4"/>
      <c r="EN4"/>
      <c r="EO4"/>
      <c r="EP4"/>
      <c r="EQ4"/>
      <c r="ER4"/>
      <c r="ES4"/>
      <c r="ET4"/>
      <c r="EU4"/>
      <c r="EV4"/>
      <c r="EW4"/>
      <c r="EX4"/>
      <c r="EY4"/>
      <c r="EZ4"/>
      <c r="FA4"/>
      <c r="FB4"/>
      <c r="FC4"/>
      <c r="FD4"/>
    </row>
    <row r="5" spans="1:160" x14ac:dyDescent="0.25">
      <c r="A5" s="1" t="str">
        <f t="shared" si="0"/>
        <v>068308007047</v>
      </c>
      <c r="B5" t="s">
        <v>357</v>
      </c>
      <c r="C5" t="s">
        <v>358</v>
      </c>
      <c r="D5" t="s">
        <v>359</v>
      </c>
      <c r="E5" t="s">
        <v>278</v>
      </c>
      <c r="F5" t="s">
        <v>360</v>
      </c>
      <c r="G5" t="s">
        <v>361</v>
      </c>
      <c r="H5" t="s">
        <v>362</v>
      </c>
      <c r="I5" t="s">
        <v>102</v>
      </c>
      <c r="J5" t="s">
        <v>363</v>
      </c>
      <c r="K5" t="s">
        <v>321</v>
      </c>
      <c r="L5"/>
      <c r="M5" t="s">
        <v>287</v>
      </c>
      <c r="N5" t="s">
        <v>288</v>
      </c>
      <c r="O5"/>
      <c r="P5" t="s">
        <v>289</v>
      </c>
      <c r="Q5" t="s">
        <v>364</v>
      </c>
      <c r="R5" t="s">
        <v>287</v>
      </c>
      <c r="S5" t="s">
        <v>287</v>
      </c>
      <c r="T5" t="s">
        <v>287</v>
      </c>
      <c r="U5"/>
      <c r="V5"/>
      <c r="W5"/>
      <c r="X5"/>
      <c r="Y5"/>
      <c r="Z5"/>
      <c r="AA5" t="s">
        <v>287</v>
      </c>
      <c r="AB5"/>
      <c r="AC5"/>
      <c r="AD5"/>
      <c r="AE5"/>
      <c r="AF5" t="s">
        <v>365</v>
      </c>
      <c r="AG5" t="s">
        <v>366</v>
      </c>
      <c r="AH5" t="s">
        <v>367</v>
      </c>
      <c r="AI5" t="s">
        <v>365</v>
      </c>
      <c r="AJ5" t="s">
        <v>366</v>
      </c>
      <c r="AK5" t="s">
        <v>367</v>
      </c>
      <c r="AL5" t="s">
        <v>365</v>
      </c>
      <c r="AM5" t="s">
        <v>366</v>
      </c>
      <c r="AN5" t="s">
        <v>367</v>
      </c>
      <c r="AO5" t="s">
        <v>299</v>
      </c>
      <c r="AP5" t="s">
        <v>348</v>
      </c>
      <c r="AQ5" t="s">
        <v>368</v>
      </c>
      <c r="AR5" t="s">
        <v>369</v>
      </c>
      <c r="AS5" t="s">
        <v>370</v>
      </c>
      <c r="AT5" t="s">
        <v>371</v>
      </c>
      <c r="AU5" t="s">
        <v>354</v>
      </c>
      <c r="AV5"/>
      <c r="AW5" t="s">
        <v>372</v>
      </c>
      <c r="AX5" t="s">
        <v>373</v>
      </c>
      <c r="AY5"/>
      <c r="AZ5"/>
      <c r="BA5"/>
      <c r="BB5"/>
      <c r="BC5" t="s">
        <v>312</v>
      </c>
      <c r="BD5" t="s">
        <v>353</v>
      </c>
      <c r="BE5"/>
      <c r="BF5" t="s">
        <v>314</v>
      </c>
      <c r="BG5"/>
      <c r="BH5"/>
      <c r="BI5"/>
      <c r="BJ5"/>
      <c r="BK5"/>
      <c r="BL5"/>
      <c r="BM5" t="s">
        <v>305</v>
      </c>
      <c r="BN5" t="s">
        <v>354</v>
      </c>
      <c r="BO5" t="s">
        <v>374</v>
      </c>
      <c r="BP5"/>
      <c r="BQ5"/>
      <c r="BR5">
        <v>7.9</v>
      </c>
      <c r="BS5">
        <v>6.9</v>
      </c>
      <c r="BT5">
        <v>9.3000000000000007</v>
      </c>
      <c r="BU5">
        <v>9.3000000000000007</v>
      </c>
      <c r="BV5">
        <v>9.4</v>
      </c>
      <c r="BW5">
        <v>9.3000000000000007</v>
      </c>
      <c r="BX5">
        <v>9.1999999999999993</v>
      </c>
      <c r="BY5">
        <v>0</v>
      </c>
      <c r="BZ5">
        <v>0</v>
      </c>
      <c r="CA5">
        <v>8.5</v>
      </c>
      <c r="CB5">
        <v>0</v>
      </c>
      <c r="CC5">
        <v>8.5</v>
      </c>
      <c r="CD5">
        <v>0</v>
      </c>
      <c r="CE5">
        <v>0</v>
      </c>
      <c r="CF5">
        <v>0</v>
      </c>
      <c r="CG5">
        <v>0</v>
      </c>
      <c r="CH5">
        <v>0</v>
      </c>
      <c r="CI5">
        <v>0</v>
      </c>
      <c r="CJ5">
        <v>0</v>
      </c>
      <c r="CK5">
        <v>0</v>
      </c>
      <c r="CL5">
        <v>0</v>
      </c>
      <c r="CM5">
        <v>7.3</v>
      </c>
      <c r="CN5">
        <v>7.1</v>
      </c>
      <c r="CO5">
        <v>9.5</v>
      </c>
      <c r="CP5">
        <v>8.9</v>
      </c>
      <c r="CQ5">
        <v>9.1</v>
      </c>
      <c r="CR5">
        <v>8.6999999999999993</v>
      </c>
      <c r="CS5">
        <v>9.4</v>
      </c>
      <c r="CT5">
        <v>0</v>
      </c>
      <c r="CU5">
        <v>0</v>
      </c>
      <c r="CV5">
        <v>8</v>
      </c>
      <c r="CW5">
        <v>0</v>
      </c>
      <c r="CX5">
        <v>9</v>
      </c>
      <c r="CY5">
        <v>0</v>
      </c>
      <c r="CZ5">
        <v>0</v>
      </c>
      <c r="DA5">
        <v>0</v>
      </c>
      <c r="DB5">
        <v>0</v>
      </c>
      <c r="DC5">
        <v>0</v>
      </c>
      <c r="DD5">
        <v>0</v>
      </c>
      <c r="DE5">
        <v>0</v>
      </c>
      <c r="DF5">
        <v>0</v>
      </c>
      <c r="DG5">
        <v>0</v>
      </c>
      <c r="DH5">
        <v>9.4</v>
      </c>
      <c r="DI5">
        <v>7.5</v>
      </c>
      <c r="DJ5">
        <v>9.3000000000000007</v>
      </c>
      <c r="DK5">
        <v>9.1</v>
      </c>
      <c r="DL5">
        <v>9.3000000000000007</v>
      </c>
      <c r="DM5">
        <v>9.4</v>
      </c>
      <c r="DN5">
        <v>9.1</v>
      </c>
      <c r="DO5">
        <v>0</v>
      </c>
      <c r="DP5">
        <v>0</v>
      </c>
      <c r="DQ5">
        <v>8.4</v>
      </c>
      <c r="DR5">
        <v>0</v>
      </c>
      <c r="DS5">
        <v>9</v>
      </c>
      <c r="DT5">
        <v>0</v>
      </c>
      <c r="DU5">
        <v>0</v>
      </c>
      <c r="DV5">
        <v>0</v>
      </c>
      <c r="DW5">
        <v>0</v>
      </c>
      <c r="DX5">
        <v>0</v>
      </c>
      <c r="DY5">
        <v>0</v>
      </c>
      <c r="DZ5">
        <v>0</v>
      </c>
      <c r="EA5">
        <v>0</v>
      </c>
      <c r="EB5">
        <v>0</v>
      </c>
      <c r="EC5">
        <v>7.75</v>
      </c>
      <c r="ED5">
        <v>7.75</v>
      </c>
      <c r="EE5">
        <v>5.25</v>
      </c>
      <c r="EF5"/>
      <c r="EG5">
        <v>7.75</v>
      </c>
      <c r="EH5"/>
      <c r="EI5"/>
      <c r="EJ5"/>
      <c r="EK5"/>
      <c r="EL5"/>
      <c r="EM5"/>
      <c r="EN5"/>
      <c r="EO5"/>
      <c r="EP5"/>
      <c r="EQ5"/>
      <c r="ER5"/>
      <c r="ES5"/>
      <c r="ET5"/>
      <c r="EU5"/>
      <c r="EV5"/>
      <c r="EW5"/>
      <c r="EX5"/>
      <c r="EY5"/>
      <c r="EZ5"/>
      <c r="FA5"/>
      <c r="FB5"/>
      <c r="FC5"/>
      <c r="FD5"/>
    </row>
    <row r="6" spans="1:160" x14ac:dyDescent="0.25">
      <c r="A6" s="1" t="str">
        <f t="shared" si="0"/>
        <v>093208003708</v>
      </c>
      <c r="B6" t="s">
        <v>375</v>
      </c>
      <c r="C6" t="s">
        <v>376</v>
      </c>
      <c r="D6" t="s">
        <v>377</v>
      </c>
      <c r="E6" t="s">
        <v>280</v>
      </c>
      <c r="F6" t="s">
        <v>378</v>
      </c>
      <c r="G6" t="s">
        <v>379</v>
      </c>
      <c r="H6" t="s">
        <v>380</v>
      </c>
      <c r="I6" t="s">
        <v>31</v>
      </c>
      <c r="J6" t="s">
        <v>381</v>
      </c>
      <c r="K6" t="s">
        <v>321</v>
      </c>
      <c r="L6"/>
      <c r="M6" t="s">
        <v>287</v>
      </c>
      <c r="N6" t="s">
        <v>288</v>
      </c>
      <c r="O6"/>
      <c r="P6" t="s">
        <v>289</v>
      </c>
      <c r="Q6" t="s">
        <v>382</v>
      </c>
      <c r="R6" t="s">
        <v>287</v>
      </c>
      <c r="S6" t="s">
        <v>287</v>
      </c>
      <c r="T6" t="s">
        <v>287</v>
      </c>
      <c r="U6"/>
      <c r="V6"/>
      <c r="W6"/>
      <c r="X6"/>
      <c r="Y6"/>
      <c r="Z6"/>
      <c r="AA6" t="s">
        <v>287</v>
      </c>
      <c r="AB6"/>
      <c r="AC6"/>
      <c r="AD6"/>
      <c r="AE6"/>
      <c r="AF6" t="s">
        <v>383</v>
      </c>
      <c r="AG6" t="s">
        <v>384</v>
      </c>
      <c r="AH6" t="s">
        <v>385</v>
      </c>
      <c r="AI6" t="s">
        <v>383</v>
      </c>
      <c r="AJ6" t="s">
        <v>384</v>
      </c>
      <c r="AK6" t="s">
        <v>385</v>
      </c>
      <c r="AL6" t="s">
        <v>383</v>
      </c>
      <c r="AM6" t="s">
        <v>386</v>
      </c>
      <c r="AN6" t="s">
        <v>387</v>
      </c>
      <c r="AO6" t="s">
        <v>299</v>
      </c>
      <c r="AP6" t="s">
        <v>388</v>
      </c>
      <c r="AQ6" t="s">
        <v>389</v>
      </c>
      <c r="AR6" t="s">
        <v>390</v>
      </c>
      <c r="AS6" t="s">
        <v>391</v>
      </c>
      <c r="AT6" t="s">
        <v>389</v>
      </c>
      <c r="AU6" t="s">
        <v>354</v>
      </c>
      <c r="AV6"/>
      <c r="AW6" t="s">
        <v>349</v>
      </c>
      <c r="AX6" t="s">
        <v>350</v>
      </c>
      <c r="AY6"/>
      <c r="AZ6"/>
      <c r="BA6"/>
      <c r="BB6"/>
      <c r="BC6" t="s">
        <v>312</v>
      </c>
      <c r="BD6" t="s">
        <v>353</v>
      </c>
      <c r="BE6"/>
      <c r="BF6" t="s">
        <v>314</v>
      </c>
      <c r="BG6"/>
      <c r="BH6"/>
      <c r="BI6"/>
      <c r="BJ6"/>
      <c r="BK6"/>
      <c r="BL6"/>
      <c r="BM6" t="s">
        <v>354</v>
      </c>
      <c r="BN6" t="s">
        <v>305</v>
      </c>
      <c r="BO6"/>
      <c r="BP6"/>
      <c r="BQ6" t="s">
        <v>392</v>
      </c>
      <c r="BR6">
        <v>8</v>
      </c>
      <c r="BS6">
        <v>6.8</v>
      </c>
      <c r="BT6">
        <v>5.9</v>
      </c>
      <c r="BU6">
        <v>7.7</v>
      </c>
      <c r="BV6">
        <v>8.5</v>
      </c>
      <c r="BW6">
        <v>0</v>
      </c>
      <c r="BX6">
        <v>0</v>
      </c>
      <c r="BY6">
        <v>6.6</v>
      </c>
      <c r="BZ6">
        <v>7.4</v>
      </c>
      <c r="CA6">
        <v>7.5</v>
      </c>
      <c r="CB6">
        <v>0</v>
      </c>
      <c r="CC6">
        <v>8.8000000000000007</v>
      </c>
      <c r="CD6">
        <v>0</v>
      </c>
      <c r="CE6">
        <v>0</v>
      </c>
      <c r="CF6">
        <v>0</v>
      </c>
      <c r="CG6">
        <v>0</v>
      </c>
      <c r="CH6">
        <v>0</v>
      </c>
      <c r="CI6">
        <v>0</v>
      </c>
      <c r="CJ6">
        <v>0</v>
      </c>
      <c r="CK6">
        <v>0</v>
      </c>
      <c r="CL6">
        <v>0</v>
      </c>
      <c r="CM6">
        <v>8.1</v>
      </c>
      <c r="CN6">
        <v>5.8</v>
      </c>
      <c r="CO6">
        <v>5</v>
      </c>
      <c r="CP6">
        <v>8.1</v>
      </c>
      <c r="CQ6">
        <v>8</v>
      </c>
      <c r="CR6">
        <v>0</v>
      </c>
      <c r="CS6">
        <v>0</v>
      </c>
      <c r="CT6">
        <v>6.1</v>
      </c>
      <c r="CU6">
        <v>7</v>
      </c>
      <c r="CV6">
        <v>6.5</v>
      </c>
      <c r="CW6">
        <v>0</v>
      </c>
      <c r="CX6">
        <v>6.6</v>
      </c>
      <c r="CY6">
        <v>0</v>
      </c>
      <c r="CZ6">
        <v>0</v>
      </c>
      <c r="DA6">
        <v>0</v>
      </c>
      <c r="DB6">
        <v>0</v>
      </c>
      <c r="DC6">
        <v>0</v>
      </c>
      <c r="DD6">
        <v>0</v>
      </c>
      <c r="DE6">
        <v>0</v>
      </c>
      <c r="DF6">
        <v>0</v>
      </c>
      <c r="DG6">
        <v>0</v>
      </c>
      <c r="DH6">
        <v>7.7</v>
      </c>
      <c r="DI6">
        <v>7.8</v>
      </c>
      <c r="DJ6">
        <v>5.3</v>
      </c>
      <c r="DK6">
        <v>8.8000000000000007</v>
      </c>
      <c r="DL6">
        <v>7.5</v>
      </c>
      <c r="DM6">
        <v>0</v>
      </c>
      <c r="DN6">
        <v>0</v>
      </c>
      <c r="DO6">
        <v>8</v>
      </c>
      <c r="DP6">
        <v>8.6</v>
      </c>
      <c r="DQ6">
        <v>6.5</v>
      </c>
      <c r="DR6">
        <v>0</v>
      </c>
      <c r="DS6">
        <v>7.7</v>
      </c>
      <c r="DT6">
        <v>0</v>
      </c>
      <c r="DU6">
        <v>0</v>
      </c>
      <c r="DV6">
        <v>0</v>
      </c>
      <c r="DW6">
        <v>0</v>
      </c>
      <c r="DX6">
        <v>0</v>
      </c>
      <c r="DY6">
        <v>0</v>
      </c>
      <c r="DZ6">
        <v>0</v>
      </c>
      <c r="EA6">
        <v>0</v>
      </c>
      <c r="EB6">
        <v>0</v>
      </c>
      <c r="EC6"/>
      <c r="ED6"/>
      <c r="EE6"/>
      <c r="EF6"/>
      <c r="EG6"/>
      <c r="EH6"/>
      <c r="EI6"/>
      <c r="EJ6"/>
      <c r="EK6"/>
      <c r="EL6"/>
      <c r="EM6"/>
      <c r="EN6"/>
      <c r="EO6"/>
      <c r="EP6"/>
      <c r="EQ6"/>
      <c r="ER6"/>
      <c r="ES6"/>
      <c r="ET6"/>
      <c r="EU6"/>
      <c r="EV6"/>
      <c r="EW6">
        <v>109</v>
      </c>
      <c r="EX6"/>
      <c r="EY6"/>
      <c r="EZ6"/>
      <c r="FA6"/>
      <c r="FB6"/>
      <c r="FC6"/>
      <c r="FD6"/>
    </row>
    <row r="7" spans="1:160" x14ac:dyDescent="0.25">
      <c r="A7" s="1" t="str">
        <f t="shared" si="0"/>
        <v>089308010311</v>
      </c>
      <c r="B7" t="s">
        <v>393</v>
      </c>
      <c r="C7" t="s">
        <v>394</v>
      </c>
      <c r="D7" t="s">
        <v>395</v>
      </c>
      <c r="E7" t="s">
        <v>278</v>
      </c>
      <c r="F7" t="s">
        <v>396</v>
      </c>
      <c r="G7" t="s">
        <v>397</v>
      </c>
      <c r="H7" t="s">
        <v>398</v>
      </c>
      <c r="I7" t="s">
        <v>44</v>
      </c>
      <c r="J7" t="s">
        <v>399</v>
      </c>
      <c r="K7" t="s">
        <v>321</v>
      </c>
      <c r="L7"/>
      <c r="M7" t="s">
        <v>287</v>
      </c>
      <c r="N7" t="s">
        <v>288</v>
      </c>
      <c r="O7"/>
      <c r="P7" t="s">
        <v>289</v>
      </c>
      <c r="Q7" t="s">
        <v>400</v>
      </c>
      <c r="R7" t="s">
        <v>287</v>
      </c>
      <c r="S7" t="s">
        <v>287</v>
      </c>
      <c r="T7" t="s">
        <v>287</v>
      </c>
      <c r="U7"/>
      <c r="V7"/>
      <c r="W7"/>
      <c r="X7"/>
      <c r="Y7"/>
      <c r="Z7"/>
      <c r="AA7" t="s">
        <v>287</v>
      </c>
      <c r="AB7"/>
      <c r="AC7"/>
      <c r="AD7"/>
      <c r="AE7"/>
      <c r="AF7" t="s">
        <v>401</v>
      </c>
      <c r="AG7" t="s">
        <v>402</v>
      </c>
      <c r="AH7" t="s">
        <v>403</v>
      </c>
      <c r="AI7" t="s">
        <v>401</v>
      </c>
      <c r="AJ7" t="s">
        <v>402</v>
      </c>
      <c r="AK7" t="s">
        <v>403</v>
      </c>
      <c r="AL7" t="s">
        <v>401</v>
      </c>
      <c r="AM7" t="s">
        <v>402</v>
      </c>
      <c r="AN7" t="s">
        <v>403</v>
      </c>
      <c r="AO7" t="s">
        <v>299</v>
      </c>
      <c r="AP7" t="s">
        <v>348</v>
      </c>
      <c r="AQ7" t="s">
        <v>294</v>
      </c>
      <c r="AR7" t="s">
        <v>404</v>
      </c>
      <c r="AS7" t="s">
        <v>405</v>
      </c>
      <c r="AT7" t="s">
        <v>406</v>
      </c>
      <c r="AU7" t="s">
        <v>354</v>
      </c>
      <c r="AV7"/>
      <c r="AW7" t="s">
        <v>308</v>
      </c>
      <c r="AX7" t="s">
        <v>309</v>
      </c>
      <c r="AY7"/>
      <c r="AZ7"/>
      <c r="BA7"/>
      <c r="BB7"/>
      <c r="BC7" t="s">
        <v>312</v>
      </c>
      <c r="BD7" t="s">
        <v>353</v>
      </c>
      <c r="BE7" t="s">
        <v>407</v>
      </c>
      <c r="BF7" t="s">
        <v>314</v>
      </c>
      <c r="BG7"/>
      <c r="BH7"/>
      <c r="BI7"/>
      <c r="BJ7"/>
      <c r="BK7"/>
      <c r="BL7"/>
      <c r="BM7" t="s">
        <v>305</v>
      </c>
      <c r="BN7" t="s">
        <v>305</v>
      </c>
      <c r="BO7" t="s">
        <v>408</v>
      </c>
      <c r="BP7"/>
      <c r="BQ7" t="s">
        <v>409</v>
      </c>
      <c r="BR7">
        <v>7.1</v>
      </c>
      <c r="BS7">
        <v>8.4</v>
      </c>
      <c r="BT7">
        <v>6.5</v>
      </c>
      <c r="BU7">
        <v>8.9</v>
      </c>
      <c r="BV7">
        <v>9.1999999999999993</v>
      </c>
      <c r="BW7">
        <v>8.6999999999999993</v>
      </c>
      <c r="BX7">
        <v>8.9</v>
      </c>
      <c r="BY7">
        <v>0</v>
      </c>
      <c r="BZ7">
        <v>0</v>
      </c>
      <c r="CA7">
        <v>0</v>
      </c>
      <c r="CB7">
        <v>7.9</v>
      </c>
      <c r="CC7">
        <v>8.4</v>
      </c>
      <c r="CD7">
        <v>0</v>
      </c>
      <c r="CE7">
        <v>0</v>
      </c>
      <c r="CF7">
        <v>0</v>
      </c>
      <c r="CG7">
        <v>0</v>
      </c>
      <c r="CH7">
        <v>0</v>
      </c>
      <c r="CI7">
        <v>0</v>
      </c>
      <c r="CJ7">
        <v>0</v>
      </c>
      <c r="CK7">
        <v>0</v>
      </c>
      <c r="CL7">
        <v>0</v>
      </c>
      <c r="CM7">
        <v>6.3</v>
      </c>
      <c r="CN7">
        <v>8.1</v>
      </c>
      <c r="CO7">
        <v>7.7</v>
      </c>
      <c r="CP7">
        <v>8.5</v>
      </c>
      <c r="CQ7">
        <v>8.3000000000000007</v>
      </c>
      <c r="CR7">
        <v>8.6999999999999993</v>
      </c>
      <c r="CS7">
        <v>9.3000000000000007</v>
      </c>
      <c r="CT7">
        <v>6.8</v>
      </c>
      <c r="CU7">
        <v>0</v>
      </c>
      <c r="CV7">
        <v>0</v>
      </c>
      <c r="CW7">
        <v>8.5</v>
      </c>
      <c r="CX7">
        <v>0</v>
      </c>
      <c r="CY7">
        <v>0</v>
      </c>
      <c r="CZ7">
        <v>0</v>
      </c>
      <c r="DA7">
        <v>0</v>
      </c>
      <c r="DB7">
        <v>0</v>
      </c>
      <c r="DC7">
        <v>0</v>
      </c>
      <c r="DD7">
        <v>0</v>
      </c>
      <c r="DE7">
        <v>0</v>
      </c>
      <c r="DF7">
        <v>0</v>
      </c>
      <c r="DG7">
        <v>0</v>
      </c>
      <c r="DH7">
        <v>6.9</v>
      </c>
      <c r="DI7">
        <v>8.1999999999999993</v>
      </c>
      <c r="DJ7">
        <v>7.6</v>
      </c>
      <c r="DK7">
        <v>9.1</v>
      </c>
      <c r="DL7">
        <v>8.9</v>
      </c>
      <c r="DM7">
        <v>9.4</v>
      </c>
      <c r="DN7">
        <v>9.3000000000000007</v>
      </c>
      <c r="DO7">
        <v>7.1</v>
      </c>
      <c r="DP7">
        <v>0</v>
      </c>
      <c r="DQ7">
        <v>0</v>
      </c>
      <c r="DR7">
        <v>9.1999999999999993</v>
      </c>
      <c r="DS7">
        <v>0</v>
      </c>
      <c r="DT7">
        <v>0</v>
      </c>
      <c r="DU7">
        <v>0</v>
      </c>
      <c r="DV7">
        <v>0</v>
      </c>
      <c r="DW7">
        <v>0</v>
      </c>
      <c r="DX7">
        <v>0</v>
      </c>
      <c r="DY7">
        <v>0</v>
      </c>
      <c r="DZ7">
        <v>0</v>
      </c>
      <c r="EA7">
        <v>0</v>
      </c>
      <c r="EB7">
        <v>0</v>
      </c>
      <c r="EC7">
        <v>4.25</v>
      </c>
      <c r="ED7">
        <v>7.5</v>
      </c>
      <c r="EE7">
        <v>4.75</v>
      </c>
      <c r="EF7"/>
      <c r="EG7"/>
      <c r="EH7"/>
      <c r="EI7">
        <v>5.75</v>
      </c>
      <c r="EJ7"/>
      <c r="EK7"/>
      <c r="EL7"/>
      <c r="EM7"/>
      <c r="EN7"/>
      <c r="EO7"/>
      <c r="EP7"/>
      <c r="EQ7"/>
      <c r="ER7"/>
      <c r="ES7"/>
      <c r="ET7"/>
      <c r="EU7"/>
      <c r="EV7"/>
      <c r="EW7">
        <v>89.5</v>
      </c>
      <c r="EX7">
        <v>105</v>
      </c>
      <c r="EY7">
        <v>67</v>
      </c>
      <c r="EZ7"/>
      <c r="FA7"/>
      <c r="FB7"/>
      <c r="FC7"/>
      <c r="FD7"/>
    </row>
    <row r="8" spans="1:160" x14ac:dyDescent="0.25">
      <c r="A8" s="1" t="str">
        <f t="shared" si="0"/>
        <v>086308005441</v>
      </c>
      <c r="B8" t="s">
        <v>410</v>
      </c>
      <c r="C8" t="s">
        <v>411</v>
      </c>
      <c r="D8" t="s">
        <v>412</v>
      </c>
      <c r="E8" t="s">
        <v>278</v>
      </c>
      <c r="F8" t="s">
        <v>413</v>
      </c>
      <c r="G8" t="s">
        <v>414</v>
      </c>
      <c r="H8" t="s">
        <v>415</v>
      </c>
      <c r="I8" t="s">
        <v>60</v>
      </c>
      <c r="J8" t="s">
        <v>416</v>
      </c>
      <c r="K8" t="s">
        <v>321</v>
      </c>
      <c r="L8"/>
      <c r="M8" t="s">
        <v>287</v>
      </c>
      <c r="N8" t="s">
        <v>288</v>
      </c>
      <c r="O8"/>
      <c r="P8" t="s">
        <v>289</v>
      </c>
      <c r="Q8" t="s">
        <v>417</v>
      </c>
      <c r="R8" t="s">
        <v>287</v>
      </c>
      <c r="S8" t="s">
        <v>287</v>
      </c>
      <c r="T8" t="s">
        <v>287</v>
      </c>
      <c r="U8"/>
      <c r="V8"/>
      <c r="W8" t="s">
        <v>294</v>
      </c>
      <c r="X8" t="s">
        <v>418</v>
      </c>
      <c r="Y8" t="s">
        <v>419</v>
      </c>
      <c r="Z8" t="s">
        <v>420</v>
      </c>
      <c r="AA8" t="s">
        <v>287</v>
      </c>
      <c r="AB8"/>
      <c r="AC8"/>
      <c r="AD8"/>
      <c r="AE8"/>
      <c r="AF8" t="s">
        <v>421</v>
      </c>
      <c r="AG8" t="s">
        <v>422</v>
      </c>
      <c r="AH8" t="s">
        <v>423</v>
      </c>
      <c r="AI8" t="s">
        <v>421</v>
      </c>
      <c r="AJ8" t="s">
        <v>422</v>
      </c>
      <c r="AK8" t="s">
        <v>423</v>
      </c>
      <c r="AL8" t="s">
        <v>421</v>
      </c>
      <c r="AM8" t="s">
        <v>422</v>
      </c>
      <c r="AN8" t="s">
        <v>423</v>
      </c>
      <c r="AO8" t="s">
        <v>299</v>
      </c>
      <c r="AP8" t="s">
        <v>348</v>
      </c>
      <c r="AQ8" t="s">
        <v>294</v>
      </c>
      <c r="AR8" t="s">
        <v>424</v>
      </c>
      <c r="AS8" t="s">
        <v>425</v>
      </c>
      <c r="AT8" t="s">
        <v>303</v>
      </c>
      <c r="AU8" t="s">
        <v>305</v>
      </c>
      <c r="AV8"/>
      <c r="AW8" t="s">
        <v>332</v>
      </c>
      <c r="AX8" t="s">
        <v>333</v>
      </c>
      <c r="AY8"/>
      <c r="AZ8"/>
      <c r="BA8"/>
      <c r="BB8"/>
      <c r="BC8" t="s">
        <v>312</v>
      </c>
      <c r="BD8" t="s">
        <v>353</v>
      </c>
      <c r="BE8"/>
      <c r="BF8" t="s">
        <v>314</v>
      </c>
      <c r="BG8"/>
      <c r="BH8"/>
      <c r="BI8"/>
      <c r="BJ8"/>
      <c r="BK8"/>
      <c r="BL8"/>
      <c r="BM8" t="s">
        <v>305</v>
      </c>
      <c r="BN8" t="s">
        <v>354</v>
      </c>
      <c r="BO8" t="s">
        <v>426</v>
      </c>
      <c r="BP8" t="s">
        <v>427</v>
      </c>
      <c r="BQ8"/>
      <c r="BR8">
        <v>8</v>
      </c>
      <c r="BS8">
        <v>8.4</v>
      </c>
      <c r="BT8">
        <v>8.3000000000000007</v>
      </c>
      <c r="BU8">
        <v>9.3000000000000007</v>
      </c>
      <c r="BV8">
        <v>8.6</v>
      </c>
      <c r="BW8">
        <v>8.1999999999999993</v>
      </c>
      <c r="BX8">
        <v>8</v>
      </c>
      <c r="BY8">
        <v>8.1</v>
      </c>
      <c r="BZ8">
        <v>0</v>
      </c>
      <c r="CA8">
        <v>0</v>
      </c>
      <c r="CB8">
        <v>0</v>
      </c>
      <c r="CC8">
        <v>0</v>
      </c>
      <c r="CD8">
        <v>0</v>
      </c>
      <c r="CE8">
        <v>0</v>
      </c>
      <c r="CF8">
        <v>0</v>
      </c>
      <c r="CG8">
        <v>0</v>
      </c>
      <c r="CH8">
        <v>0</v>
      </c>
      <c r="CI8">
        <v>0</v>
      </c>
      <c r="CJ8">
        <v>0</v>
      </c>
      <c r="CK8">
        <v>0</v>
      </c>
      <c r="CL8">
        <v>0</v>
      </c>
      <c r="CM8">
        <v>8.5</v>
      </c>
      <c r="CN8">
        <v>8.5</v>
      </c>
      <c r="CO8">
        <v>8.1</v>
      </c>
      <c r="CP8">
        <v>8.9</v>
      </c>
      <c r="CQ8">
        <v>9.1</v>
      </c>
      <c r="CR8">
        <v>8.9</v>
      </c>
      <c r="CS8">
        <v>9.1</v>
      </c>
      <c r="CT8">
        <v>8.1</v>
      </c>
      <c r="CU8">
        <v>0</v>
      </c>
      <c r="CV8">
        <v>0</v>
      </c>
      <c r="CW8">
        <v>0</v>
      </c>
      <c r="CX8">
        <v>0</v>
      </c>
      <c r="CY8">
        <v>0</v>
      </c>
      <c r="CZ8">
        <v>0</v>
      </c>
      <c r="DA8">
        <v>0</v>
      </c>
      <c r="DB8">
        <v>0</v>
      </c>
      <c r="DC8">
        <v>0</v>
      </c>
      <c r="DD8">
        <v>0</v>
      </c>
      <c r="DE8">
        <v>0</v>
      </c>
      <c r="DF8">
        <v>0</v>
      </c>
      <c r="DG8">
        <v>0</v>
      </c>
      <c r="DH8">
        <v>9</v>
      </c>
      <c r="DI8">
        <v>8.8000000000000007</v>
      </c>
      <c r="DJ8">
        <v>9.3000000000000007</v>
      </c>
      <c r="DK8">
        <v>9.4</v>
      </c>
      <c r="DL8">
        <v>8.8000000000000007</v>
      </c>
      <c r="DM8">
        <v>9.1</v>
      </c>
      <c r="DN8">
        <v>8.4</v>
      </c>
      <c r="DO8">
        <v>7.6</v>
      </c>
      <c r="DP8">
        <v>0</v>
      </c>
      <c r="DQ8">
        <v>0</v>
      </c>
      <c r="DR8">
        <v>0</v>
      </c>
      <c r="DS8">
        <v>0</v>
      </c>
      <c r="DT8">
        <v>0</v>
      </c>
      <c r="DU8">
        <v>0</v>
      </c>
      <c r="DV8">
        <v>0</v>
      </c>
      <c r="DW8">
        <v>0</v>
      </c>
      <c r="DX8">
        <v>0</v>
      </c>
      <c r="DY8">
        <v>0</v>
      </c>
      <c r="DZ8">
        <v>0</v>
      </c>
      <c r="EA8">
        <v>0</v>
      </c>
      <c r="EB8">
        <v>0</v>
      </c>
      <c r="EC8">
        <v>5.5</v>
      </c>
      <c r="ED8">
        <v>6</v>
      </c>
      <c r="EE8">
        <v>6.25</v>
      </c>
      <c r="EF8"/>
      <c r="EG8">
        <v>6.6</v>
      </c>
      <c r="EH8"/>
      <c r="EI8"/>
      <c r="EJ8"/>
      <c r="EK8"/>
      <c r="EL8"/>
      <c r="EM8"/>
      <c r="EN8"/>
      <c r="EO8"/>
      <c r="EP8"/>
      <c r="EQ8"/>
      <c r="ER8"/>
      <c r="ES8"/>
      <c r="ET8"/>
      <c r="EU8"/>
      <c r="EV8"/>
      <c r="EW8"/>
      <c r="EX8"/>
      <c r="EY8"/>
      <c r="EZ8"/>
      <c r="FA8"/>
      <c r="FB8">
        <v>89</v>
      </c>
      <c r="FC8">
        <v>94.5</v>
      </c>
      <c r="FD8"/>
    </row>
    <row r="9" spans="1:160" x14ac:dyDescent="0.25">
      <c r="A9" s="1" t="str">
        <f t="shared" si="0"/>
        <v>083308003866</v>
      </c>
      <c r="B9" t="s">
        <v>428</v>
      </c>
      <c r="C9" t="s">
        <v>429</v>
      </c>
      <c r="D9" t="s">
        <v>430</v>
      </c>
      <c r="E9" t="s">
        <v>278</v>
      </c>
      <c r="F9" t="s">
        <v>431</v>
      </c>
      <c r="G9" t="s">
        <v>432</v>
      </c>
      <c r="H9" t="s">
        <v>433</v>
      </c>
      <c r="I9" t="s">
        <v>79</v>
      </c>
      <c r="J9" t="s">
        <v>434</v>
      </c>
      <c r="K9" t="s">
        <v>321</v>
      </c>
      <c r="L9"/>
      <c r="M9" t="s">
        <v>287</v>
      </c>
      <c r="N9" t="s">
        <v>288</v>
      </c>
      <c r="O9"/>
      <c r="P9" t="s">
        <v>289</v>
      </c>
      <c r="Q9" t="s">
        <v>435</v>
      </c>
      <c r="R9" t="s">
        <v>287</v>
      </c>
      <c r="S9" t="s">
        <v>287</v>
      </c>
      <c r="T9" t="s">
        <v>287</v>
      </c>
      <c r="U9"/>
      <c r="V9"/>
      <c r="W9" t="s">
        <v>294</v>
      </c>
      <c r="X9" t="s">
        <v>436</v>
      </c>
      <c r="Y9" t="s">
        <v>437</v>
      </c>
      <c r="Z9" t="s">
        <v>438</v>
      </c>
      <c r="AA9" t="s">
        <v>287</v>
      </c>
      <c r="AB9"/>
      <c r="AC9"/>
      <c r="AD9"/>
      <c r="AE9"/>
      <c r="AF9" t="s">
        <v>421</v>
      </c>
      <c r="AG9" t="s">
        <v>439</v>
      </c>
      <c r="AH9" t="s">
        <v>440</v>
      </c>
      <c r="AI9" t="s">
        <v>421</v>
      </c>
      <c r="AJ9" t="s">
        <v>439</v>
      </c>
      <c r="AK9" t="s">
        <v>440</v>
      </c>
      <c r="AL9" t="s">
        <v>421</v>
      </c>
      <c r="AM9" t="s">
        <v>439</v>
      </c>
      <c r="AN9" t="s">
        <v>440</v>
      </c>
      <c r="AO9" t="s">
        <v>299</v>
      </c>
      <c r="AP9" t="s">
        <v>348</v>
      </c>
      <c r="AQ9" t="s">
        <v>424</v>
      </c>
      <c r="AR9" t="s">
        <v>441</v>
      </c>
      <c r="AS9" t="s">
        <v>442</v>
      </c>
      <c r="AT9" t="s">
        <v>443</v>
      </c>
      <c r="AU9" t="s">
        <v>305</v>
      </c>
      <c r="AV9"/>
      <c r="AW9" t="s">
        <v>349</v>
      </c>
      <c r="AX9" t="s">
        <v>350</v>
      </c>
      <c r="AY9" t="s">
        <v>444</v>
      </c>
      <c r="AZ9" t="s">
        <v>445</v>
      </c>
      <c r="BA9" t="s">
        <v>310</v>
      </c>
      <c r="BB9" t="s">
        <v>311</v>
      </c>
      <c r="BC9" t="s">
        <v>312</v>
      </c>
      <c r="BD9" t="s">
        <v>353</v>
      </c>
      <c r="BE9" t="s">
        <v>446</v>
      </c>
      <c r="BF9" t="s">
        <v>314</v>
      </c>
      <c r="BG9"/>
      <c r="BH9"/>
      <c r="BI9"/>
      <c r="BJ9"/>
      <c r="BK9"/>
      <c r="BL9"/>
      <c r="BM9" t="s">
        <v>305</v>
      </c>
      <c r="BN9" t="s">
        <v>354</v>
      </c>
      <c r="BO9" t="s">
        <v>447</v>
      </c>
      <c r="BP9" t="s">
        <v>448</v>
      </c>
      <c r="BQ9"/>
      <c r="BR9">
        <v>9.1999999999999993</v>
      </c>
      <c r="BS9">
        <v>9</v>
      </c>
      <c r="BT9">
        <v>8.6999999999999993</v>
      </c>
      <c r="BU9">
        <v>9.1</v>
      </c>
      <c r="BV9">
        <v>9</v>
      </c>
      <c r="BW9">
        <v>0</v>
      </c>
      <c r="BX9">
        <v>0</v>
      </c>
      <c r="BY9">
        <v>9.5</v>
      </c>
      <c r="BZ9">
        <v>9.4</v>
      </c>
      <c r="CA9">
        <v>8.9</v>
      </c>
      <c r="CB9">
        <v>8.8000000000000007</v>
      </c>
      <c r="CC9">
        <v>0</v>
      </c>
      <c r="CD9">
        <v>0</v>
      </c>
      <c r="CE9">
        <v>0</v>
      </c>
      <c r="CF9">
        <v>0</v>
      </c>
      <c r="CG9">
        <v>0</v>
      </c>
      <c r="CH9">
        <v>0</v>
      </c>
      <c r="CI9">
        <v>0</v>
      </c>
      <c r="CJ9">
        <v>0</v>
      </c>
      <c r="CK9">
        <v>0</v>
      </c>
      <c r="CL9">
        <v>0</v>
      </c>
      <c r="CM9">
        <v>9.6</v>
      </c>
      <c r="CN9">
        <v>7.5</v>
      </c>
      <c r="CO9">
        <v>9.6999999999999993</v>
      </c>
      <c r="CP9">
        <v>9.3000000000000007</v>
      </c>
      <c r="CQ9">
        <v>9.3000000000000007</v>
      </c>
      <c r="CR9">
        <v>0</v>
      </c>
      <c r="CS9">
        <v>0</v>
      </c>
      <c r="CT9">
        <v>9.6</v>
      </c>
      <c r="CU9">
        <v>9.6</v>
      </c>
      <c r="CV9">
        <v>9.8000000000000007</v>
      </c>
      <c r="CW9">
        <v>9.5</v>
      </c>
      <c r="CX9">
        <v>0</v>
      </c>
      <c r="CY9">
        <v>0</v>
      </c>
      <c r="CZ9">
        <v>0</v>
      </c>
      <c r="DA9">
        <v>0</v>
      </c>
      <c r="DB9">
        <v>0</v>
      </c>
      <c r="DC9">
        <v>0</v>
      </c>
      <c r="DD9">
        <v>0</v>
      </c>
      <c r="DE9">
        <v>0</v>
      </c>
      <c r="DF9">
        <v>0</v>
      </c>
      <c r="DG9">
        <v>0</v>
      </c>
      <c r="DH9">
        <v>9.6</v>
      </c>
      <c r="DI9">
        <v>8.8000000000000007</v>
      </c>
      <c r="DJ9">
        <v>9.5</v>
      </c>
      <c r="DK9">
        <v>9.8000000000000007</v>
      </c>
      <c r="DL9">
        <v>9.4</v>
      </c>
      <c r="DM9">
        <v>0</v>
      </c>
      <c r="DN9">
        <v>0</v>
      </c>
      <c r="DO9">
        <v>9.8000000000000007</v>
      </c>
      <c r="DP9">
        <v>9.8000000000000007</v>
      </c>
      <c r="DQ9">
        <v>9.5</v>
      </c>
      <c r="DR9">
        <v>9.6999999999999993</v>
      </c>
      <c r="DS9">
        <v>0</v>
      </c>
      <c r="DT9">
        <v>0</v>
      </c>
      <c r="DU9">
        <v>0</v>
      </c>
      <c r="DV9">
        <v>0</v>
      </c>
      <c r="DW9">
        <v>0</v>
      </c>
      <c r="DX9">
        <v>0</v>
      </c>
      <c r="DY9">
        <v>0</v>
      </c>
      <c r="DZ9">
        <v>0</v>
      </c>
      <c r="EA9">
        <v>0</v>
      </c>
      <c r="EB9">
        <v>0</v>
      </c>
      <c r="EC9">
        <v>6.75</v>
      </c>
      <c r="ED9">
        <v>6</v>
      </c>
      <c r="EE9"/>
      <c r="EF9"/>
      <c r="EG9"/>
      <c r="EH9"/>
      <c r="EI9"/>
      <c r="EJ9">
        <v>5.35</v>
      </c>
      <c r="EK9">
        <v>7.25</v>
      </c>
      <c r="EL9"/>
      <c r="EM9"/>
      <c r="EN9"/>
      <c r="EO9"/>
      <c r="EP9"/>
      <c r="EQ9"/>
      <c r="ER9"/>
      <c r="ES9"/>
      <c r="ET9"/>
      <c r="EU9"/>
      <c r="EV9"/>
      <c r="EW9"/>
      <c r="EX9"/>
      <c r="EY9"/>
      <c r="EZ9"/>
      <c r="FA9"/>
      <c r="FB9"/>
      <c r="FC9"/>
      <c r="FD9"/>
    </row>
    <row r="10" spans="1:160" x14ac:dyDescent="0.25">
      <c r="A10" s="1" t="str">
        <f t="shared" si="0"/>
        <v>089208022494</v>
      </c>
      <c r="B10" t="s">
        <v>449</v>
      </c>
      <c r="C10" t="s">
        <v>450</v>
      </c>
      <c r="D10" t="s">
        <v>451</v>
      </c>
      <c r="E10" t="s">
        <v>280</v>
      </c>
      <c r="F10" t="s">
        <v>452</v>
      </c>
      <c r="G10" t="s">
        <v>453</v>
      </c>
      <c r="H10" t="s">
        <v>454</v>
      </c>
      <c r="I10" t="s">
        <v>48</v>
      </c>
      <c r="J10" t="s">
        <v>455</v>
      </c>
      <c r="K10" t="s">
        <v>321</v>
      </c>
      <c r="L10"/>
      <c r="M10" t="s">
        <v>287</v>
      </c>
      <c r="N10" t="s">
        <v>288</v>
      </c>
      <c r="O10"/>
      <c r="P10" t="s">
        <v>289</v>
      </c>
      <c r="Q10" t="s">
        <v>456</v>
      </c>
      <c r="R10" t="s">
        <v>287</v>
      </c>
      <c r="S10" t="s">
        <v>287</v>
      </c>
      <c r="T10" t="s">
        <v>287</v>
      </c>
      <c r="U10"/>
      <c r="V10"/>
      <c r="W10" t="s">
        <v>294</v>
      </c>
      <c r="X10" t="s">
        <v>457</v>
      </c>
      <c r="Y10" t="s">
        <v>458</v>
      </c>
      <c r="Z10" t="s">
        <v>459</v>
      </c>
      <c r="AA10" t="s">
        <v>287</v>
      </c>
      <c r="AB10"/>
      <c r="AC10"/>
      <c r="AD10"/>
      <c r="AE10"/>
      <c r="AF10" t="s">
        <v>401</v>
      </c>
      <c r="AG10" t="s">
        <v>460</v>
      </c>
      <c r="AH10" t="s">
        <v>461</v>
      </c>
      <c r="AI10" t="s">
        <v>401</v>
      </c>
      <c r="AJ10" t="s">
        <v>460</v>
      </c>
      <c r="AK10" t="s">
        <v>461</v>
      </c>
      <c r="AL10" t="s">
        <v>401</v>
      </c>
      <c r="AM10" t="s">
        <v>460</v>
      </c>
      <c r="AN10" t="s">
        <v>461</v>
      </c>
      <c r="AO10" t="s">
        <v>299</v>
      </c>
      <c r="AP10" t="s">
        <v>348</v>
      </c>
      <c r="AQ10" t="s">
        <v>462</v>
      </c>
      <c r="AR10" t="s">
        <v>463</v>
      </c>
      <c r="AS10" t="s">
        <v>464</v>
      </c>
      <c r="AT10" t="s">
        <v>465</v>
      </c>
      <c r="AU10" t="s">
        <v>305</v>
      </c>
      <c r="AV10"/>
      <c r="AW10" t="s">
        <v>310</v>
      </c>
      <c r="AX10" t="s">
        <v>311</v>
      </c>
      <c r="AY10"/>
      <c r="AZ10"/>
      <c r="BA10"/>
      <c r="BB10"/>
      <c r="BC10" t="s">
        <v>312</v>
      </c>
      <c r="BD10" t="s">
        <v>353</v>
      </c>
      <c r="BE10" t="s">
        <v>466</v>
      </c>
      <c r="BF10" t="s">
        <v>314</v>
      </c>
      <c r="BG10"/>
      <c r="BH10"/>
      <c r="BI10"/>
      <c r="BJ10"/>
      <c r="BK10"/>
      <c r="BL10"/>
      <c r="BM10" t="s">
        <v>305</v>
      </c>
      <c r="BN10" t="s">
        <v>354</v>
      </c>
      <c r="BO10" t="s">
        <v>467</v>
      </c>
      <c r="BP10" t="s">
        <v>468</v>
      </c>
      <c r="BQ10"/>
      <c r="BR10">
        <v>7.9</v>
      </c>
      <c r="BS10">
        <v>8.4</v>
      </c>
      <c r="BT10">
        <v>7.8</v>
      </c>
      <c r="BU10">
        <v>9.4</v>
      </c>
      <c r="BV10">
        <v>8.5</v>
      </c>
      <c r="BW10">
        <v>9</v>
      </c>
      <c r="BX10">
        <v>9</v>
      </c>
      <c r="BY10">
        <v>7.2</v>
      </c>
      <c r="BZ10">
        <v>0</v>
      </c>
      <c r="CA10">
        <v>0</v>
      </c>
      <c r="CB10">
        <v>0</v>
      </c>
      <c r="CC10">
        <v>8.8000000000000007</v>
      </c>
      <c r="CD10">
        <v>0</v>
      </c>
      <c r="CE10">
        <v>0</v>
      </c>
      <c r="CF10">
        <v>0</v>
      </c>
      <c r="CG10">
        <v>0</v>
      </c>
      <c r="CH10">
        <v>0</v>
      </c>
      <c r="CI10">
        <v>0</v>
      </c>
      <c r="CJ10">
        <v>0</v>
      </c>
      <c r="CK10">
        <v>0</v>
      </c>
      <c r="CL10">
        <v>0</v>
      </c>
      <c r="CM10">
        <v>8.1999999999999993</v>
      </c>
      <c r="CN10">
        <v>8.5</v>
      </c>
      <c r="CO10">
        <v>8</v>
      </c>
      <c r="CP10">
        <v>9.4</v>
      </c>
      <c r="CQ10">
        <v>8.6</v>
      </c>
      <c r="CR10">
        <v>9.4</v>
      </c>
      <c r="CS10">
        <v>9.1999999999999993</v>
      </c>
      <c r="CT10">
        <v>7.5</v>
      </c>
      <c r="CU10">
        <v>0</v>
      </c>
      <c r="CV10">
        <v>0</v>
      </c>
      <c r="CW10">
        <v>0</v>
      </c>
      <c r="CX10">
        <v>8.9</v>
      </c>
      <c r="CY10">
        <v>0</v>
      </c>
      <c r="CZ10">
        <v>0</v>
      </c>
      <c r="DA10">
        <v>0</v>
      </c>
      <c r="DB10">
        <v>0</v>
      </c>
      <c r="DC10">
        <v>0</v>
      </c>
      <c r="DD10">
        <v>0</v>
      </c>
      <c r="DE10">
        <v>0</v>
      </c>
      <c r="DF10">
        <v>0</v>
      </c>
      <c r="DG10">
        <v>0</v>
      </c>
      <c r="DH10">
        <v>9.1999999999999993</v>
      </c>
      <c r="DI10">
        <v>9.3000000000000007</v>
      </c>
      <c r="DJ10">
        <v>9.4</v>
      </c>
      <c r="DK10">
        <v>9.6</v>
      </c>
      <c r="DL10">
        <v>9.3000000000000007</v>
      </c>
      <c r="DM10">
        <v>9.3000000000000007</v>
      </c>
      <c r="DN10">
        <v>8.8000000000000007</v>
      </c>
      <c r="DO10">
        <v>9</v>
      </c>
      <c r="DP10">
        <v>0</v>
      </c>
      <c r="DQ10">
        <v>0</v>
      </c>
      <c r="DR10">
        <v>0</v>
      </c>
      <c r="DS10">
        <v>9.3000000000000007</v>
      </c>
      <c r="DT10">
        <v>0</v>
      </c>
      <c r="DU10">
        <v>0</v>
      </c>
      <c r="DV10">
        <v>0</v>
      </c>
      <c r="DW10">
        <v>0</v>
      </c>
      <c r="DX10">
        <v>0</v>
      </c>
      <c r="DY10">
        <v>0</v>
      </c>
      <c r="DZ10">
        <v>0</v>
      </c>
      <c r="EA10">
        <v>0</v>
      </c>
      <c r="EB10">
        <v>0</v>
      </c>
      <c r="EC10">
        <v>4.25</v>
      </c>
      <c r="ED10">
        <v>6.75</v>
      </c>
      <c r="EE10"/>
      <c r="EF10"/>
      <c r="EG10">
        <v>8</v>
      </c>
      <c r="EH10">
        <v>7.25</v>
      </c>
      <c r="EI10"/>
      <c r="EJ10"/>
      <c r="EK10"/>
      <c r="EL10"/>
      <c r="EM10"/>
      <c r="EN10"/>
      <c r="EO10"/>
      <c r="EP10"/>
      <c r="EQ10"/>
      <c r="ER10"/>
      <c r="ES10"/>
      <c r="ET10"/>
      <c r="EU10"/>
      <c r="EV10"/>
      <c r="EW10"/>
      <c r="EX10"/>
      <c r="EY10"/>
      <c r="EZ10"/>
      <c r="FA10"/>
      <c r="FB10"/>
      <c r="FC10"/>
      <c r="FD10"/>
    </row>
    <row r="11" spans="1:160" x14ac:dyDescent="0.25">
      <c r="A11" s="1" t="str">
        <f t="shared" si="0"/>
        <v>084308005383</v>
      </c>
      <c r="B11" t="s">
        <v>469</v>
      </c>
      <c r="C11" t="s">
        <v>470</v>
      </c>
      <c r="D11" t="s">
        <v>471</v>
      </c>
      <c r="E11" t="s">
        <v>278</v>
      </c>
      <c r="F11" t="s">
        <v>472</v>
      </c>
      <c r="G11" t="s">
        <v>473</v>
      </c>
      <c r="H11" t="s">
        <v>474</v>
      </c>
      <c r="I11" t="s">
        <v>74</v>
      </c>
      <c r="J11" t="s">
        <v>475</v>
      </c>
      <c r="K11" t="s">
        <v>476</v>
      </c>
      <c r="L11" t="s">
        <v>477</v>
      </c>
      <c r="M11" t="s">
        <v>477</v>
      </c>
      <c r="N11" t="s">
        <v>478</v>
      </c>
      <c r="O11"/>
      <c r="P11" t="s">
        <v>289</v>
      </c>
      <c r="Q11" t="s">
        <v>479</v>
      </c>
      <c r="R11" t="s">
        <v>287</v>
      </c>
      <c r="S11" t="s">
        <v>287</v>
      </c>
      <c r="T11" t="s">
        <v>287</v>
      </c>
      <c r="U11"/>
      <c r="V11"/>
      <c r="W11"/>
      <c r="X11"/>
      <c r="Y11"/>
      <c r="Z11"/>
      <c r="AA11" t="s">
        <v>287</v>
      </c>
      <c r="AB11"/>
      <c r="AC11"/>
      <c r="AD11"/>
      <c r="AE11"/>
      <c r="AF11" t="s">
        <v>421</v>
      </c>
      <c r="AG11" t="s">
        <v>480</v>
      </c>
      <c r="AH11" t="s">
        <v>481</v>
      </c>
      <c r="AI11" t="s">
        <v>421</v>
      </c>
      <c r="AJ11" t="s">
        <v>482</v>
      </c>
      <c r="AK11" t="s">
        <v>483</v>
      </c>
      <c r="AL11" t="s">
        <v>421</v>
      </c>
      <c r="AM11" t="s">
        <v>482</v>
      </c>
      <c r="AN11" t="s">
        <v>483</v>
      </c>
      <c r="AO11" t="s">
        <v>299</v>
      </c>
      <c r="AP11" t="s">
        <v>348</v>
      </c>
      <c r="AQ11" t="s">
        <v>484</v>
      </c>
      <c r="AR11" t="s">
        <v>485</v>
      </c>
      <c r="AS11" t="s">
        <v>486</v>
      </c>
      <c r="AT11" t="s">
        <v>487</v>
      </c>
      <c r="AU11" t="s">
        <v>354</v>
      </c>
      <c r="AV11"/>
      <c r="AW11" t="s">
        <v>351</v>
      </c>
      <c r="AX11" t="s">
        <v>352</v>
      </c>
      <c r="AY11"/>
      <c r="AZ11"/>
      <c r="BA11"/>
      <c r="BB11"/>
      <c r="BC11" t="s">
        <v>312</v>
      </c>
      <c r="BD11" t="s">
        <v>353</v>
      </c>
      <c r="BE11"/>
      <c r="BF11" t="s">
        <v>314</v>
      </c>
      <c r="BG11"/>
      <c r="BH11"/>
      <c r="BI11"/>
      <c r="BJ11"/>
      <c r="BK11"/>
      <c r="BL11"/>
      <c r="BM11" t="s">
        <v>305</v>
      </c>
      <c r="BN11" t="s">
        <v>305</v>
      </c>
      <c r="BO11" t="s">
        <v>488</v>
      </c>
      <c r="BP11"/>
      <c r="BQ11" t="s">
        <v>489</v>
      </c>
      <c r="BR11">
        <v>9.4</v>
      </c>
      <c r="BS11">
        <v>7.7</v>
      </c>
      <c r="BT11">
        <v>8</v>
      </c>
      <c r="BU11">
        <v>8.5</v>
      </c>
      <c r="BV11">
        <v>9.1999999999999993</v>
      </c>
      <c r="BW11">
        <v>0</v>
      </c>
      <c r="BX11">
        <v>0</v>
      </c>
      <c r="BY11">
        <v>9.1</v>
      </c>
      <c r="BZ11">
        <v>9.5</v>
      </c>
      <c r="CA11">
        <v>8.5</v>
      </c>
      <c r="CB11">
        <v>0</v>
      </c>
      <c r="CC11">
        <v>8.8000000000000007</v>
      </c>
      <c r="CD11">
        <v>0</v>
      </c>
      <c r="CE11">
        <v>0</v>
      </c>
      <c r="CF11">
        <v>0</v>
      </c>
      <c r="CG11">
        <v>0</v>
      </c>
      <c r="CH11">
        <v>0</v>
      </c>
      <c r="CI11">
        <v>0</v>
      </c>
      <c r="CJ11">
        <v>0</v>
      </c>
      <c r="CK11">
        <v>0</v>
      </c>
      <c r="CL11">
        <v>0</v>
      </c>
      <c r="CM11">
        <v>8.5</v>
      </c>
      <c r="CN11">
        <v>8.3000000000000007</v>
      </c>
      <c r="CO11">
        <v>8.5</v>
      </c>
      <c r="CP11">
        <v>9.5</v>
      </c>
      <c r="CQ11">
        <v>9.6</v>
      </c>
      <c r="CR11">
        <v>0</v>
      </c>
      <c r="CS11">
        <v>0</v>
      </c>
      <c r="CT11">
        <v>9.1</v>
      </c>
      <c r="CU11">
        <v>9</v>
      </c>
      <c r="CV11">
        <v>9.1999999999999993</v>
      </c>
      <c r="CW11">
        <v>0</v>
      </c>
      <c r="CX11">
        <v>9.5</v>
      </c>
      <c r="CY11">
        <v>0</v>
      </c>
      <c r="CZ11">
        <v>0</v>
      </c>
      <c r="DA11">
        <v>0</v>
      </c>
      <c r="DB11">
        <v>0</v>
      </c>
      <c r="DC11">
        <v>0</v>
      </c>
      <c r="DD11">
        <v>0</v>
      </c>
      <c r="DE11">
        <v>0</v>
      </c>
      <c r="DF11">
        <v>0</v>
      </c>
      <c r="DG11">
        <v>0</v>
      </c>
      <c r="DH11">
        <v>9.5</v>
      </c>
      <c r="DI11">
        <v>9</v>
      </c>
      <c r="DJ11">
        <v>8.5</v>
      </c>
      <c r="DK11">
        <v>9.1</v>
      </c>
      <c r="DL11">
        <v>9.4</v>
      </c>
      <c r="DM11">
        <v>0</v>
      </c>
      <c r="DN11">
        <v>0</v>
      </c>
      <c r="DO11">
        <v>9.5</v>
      </c>
      <c r="DP11">
        <v>9</v>
      </c>
      <c r="DQ11">
        <v>9</v>
      </c>
      <c r="DR11">
        <v>0</v>
      </c>
      <c r="DS11">
        <v>9</v>
      </c>
      <c r="DT11">
        <v>0</v>
      </c>
      <c r="DU11">
        <v>0</v>
      </c>
      <c r="DV11">
        <v>0</v>
      </c>
      <c r="DW11">
        <v>0</v>
      </c>
      <c r="DX11">
        <v>0</v>
      </c>
      <c r="DY11">
        <v>0</v>
      </c>
      <c r="DZ11">
        <v>0</v>
      </c>
      <c r="EA11">
        <v>0</v>
      </c>
      <c r="EB11">
        <v>0</v>
      </c>
      <c r="EC11">
        <v>6.75</v>
      </c>
      <c r="ED11">
        <v>6.5</v>
      </c>
      <c r="EE11"/>
      <c r="EF11"/>
      <c r="EG11"/>
      <c r="EH11"/>
      <c r="EI11"/>
      <c r="EJ11">
        <v>6</v>
      </c>
      <c r="EK11">
        <v>8.5</v>
      </c>
      <c r="EL11"/>
      <c r="EM11"/>
      <c r="EN11"/>
      <c r="EO11"/>
      <c r="EP11"/>
      <c r="EQ11"/>
      <c r="ER11"/>
      <c r="ES11"/>
      <c r="ET11"/>
      <c r="EU11"/>
      <c r="EV11"/>
      <c r="EW11">
        <v>131</v>
      </c>
      <c r="EX11"/>
      <c r="EY11"/>
      <c r="EZ11"/>
      <c r="FA11"/>
      <c r="FB11"/>
      <c r="FC11"/>
      <c r="FD11"/>
    </row>
    <row r="12" spans="1:160" x14ac:dyDescent="0.25">
      <c r="A12" s="1" t="str">
        <f t="shared" si="0"/>
        <v>089308016620</v>
      </c>
      <c r="B12" t="s">
        <v>490</v>
      </c>
      <c r="C12" t="s">
        <v>491</v>
      </c>
      <c r="D12" t="s">
        <v>492</v>
      </c>
      <c r="E12" t="s">
        <v>278</v>
      </c>
      <c r="F12" t="s">
        <v>493</v>
      </c>
      <c r="G12" t="s">
        <v>494</v>
      </c>
      <c r="H12" t="s">
        <v>495</v>
      </c>
      <c r="I12" t="s">
        <v>41</v>
      </c>
      <c r="J12" t="s">
        <v>496</v>
      </c>
      <c r="K12" t="s">
        <v>321</v>
      </c>
      <c r="L12"/>
      <c r="M12" t="s">
        <v>287</v>
      </c>
      <c r="N12" t="s">
        <v>288</v>
      </c>
      <c r="O12"/>
      <c r="P12" t="s">
        <v>289</v>
      </c>
      <c r="Q12" t="s">
        <v>497</v>
      </c>
      <c r="R12" t="s">
        <v>287</v>
      </c>
      <c r="S12" t="s">
        <v>287</v>
      </c>
      <c r="T12" t="s">
        <v>287</v>
      </c>
      <c r="U12" t="s">
        <v>498</v>
      </c>
      <c r="V12" t="s">
        <v>499</v>
      </c>
      <c r="W12" t="s">
        <v>500</v>
      </c>
      <c r="X12" t="s">
        <v>501</v>
      </c>
      <c r="Y12" t="s">
        <v>502</v>
      </c>
      <c r="Z12" t="s">
        <v>503</v>
      </c>
      <c r="AA12" t="s">
        <v>287</v>
      </c>
      <c r="AB12"/>
      <c r="AC12"/>
      <c r="AD12"/>
      <c r="AE12"/>
      <c r="AF12" t="s">
        <v>401</v>
      </c>
      <c r="AG12" t="s">
        <v>402</v>
      </c>
      <c r="AH12" t="s">
        <v>403</v>
      </c>
      <c r="AI12" t="s">
        <v>401</v>
      </c>
      <c r="AJ12" t="s">
        <v>402</v>
      </c>
      <c r="AK12" t="s">
        <v>403</v>
      </c>
      <c r="AL12" t="s">
        <v>401</v>
      </c>
      <c r="AM12" t="s">
        <v>402</v>
      </c>
      <c r="AN12" t="s">
        <v>403</v>
      </c>
      <c r="AO12" t="s">
        <v>299</v>
      </c>
      <c r="AP12" t="s">
        <v>348</v>
      </c>
      <c r="AQ12" t="s">
        <v>294</v>
      </c>
      <c r="AR12" t="s">
        <v>504</v>
      </c>
      <c r="AS12" t="s">
        <v>505</v>
      </c>
      <c r="AT12" t="s">
        <v>404</v>
      </c>
      <c r="AU12" t="s">
        <v>305</v>
      </c>
      <c r="AV12"/>
      <c r="AW12" t="s">
        <v>349</v>
      </c>
      <c r="AX12" t="s">
        <v>350</v>
      </c>
      <c r="AY12"/>
      <c r="AZ12"/>
      <c r="BA12"/>
      <c r="BB12"/>
      <c r="BC12" t="s">
        <v>312</v>
      </c>
      <c r="BD12" t="s">
        <v>353</v>
      </c>
      <c r="BE12" t="s">
        <v>506</v>
      </c>
      <c r="BF12" t="s">
        <v>314</v>
      </c>
      <c r="BG12"/>
      <c r="BH12"/>
      <c r="BI12"/>
      <c r="BJ12"/>
      <c r="BK12"/>
      <c r="BL12"/>
      <c r="BM12" t="s">
        <v>305</v>
      </c>
      <c r="BN12" t="s">
        <v>354</v>
      </c>
      <c r="BO12" t="s">
        <v>507</v>
      </c>
      <c r="BP12" t="s">
        <v>508</v>
      </c>
      <c r="BQ12"/>
      <c r="BR12">
        <v>7.7</v>
      </c>
      <c r="BS12">
        <v>9.1999999999999993</v>
      </c>
      <c r="BT12">
        <v>7.6</v>
      </c>
      <c r="BU12">
        <v>9.1999999999999993</v>
      </c>
      <c r="BV12">
        <v>9.6999999999999993</v>
      </c>
      <c r="BW12">
        <v>8.4</v>
      </c>
      <c r="BX12">
        <v>8.6</v>
      </c>
      <c r="BY12">
        <v>0</v>
      </c>
      <c r="BZ12">
        <v>0</v>
      </c>
      <c r="CA12">
        <v>0</v>
      </c>
      <c r="CB12">
        <v>8.9</v>
      </c>
      <c r="CC12">
        <v>8.9</v>
      </c>
      <c r="CD12">
        <v>0</v>
      </c>
      <c r="CE12">
        <v>0</v>
      </c>
      <c r="CF12">
        <v>0</v>
      </c>
      <c r="CG12">
        <v>0</v>
      </c>
      <c r="CH12">
        <v>0</v>
      </c>
      <c r="CI12">
        <v>0</v>
      </c>
      <c r="CJ12">
        <v>0</v>
      </c>
      <c r="CK12">
        <v>0</v>
      </c>
      <c r="CL12">
        <v>0</v>
      </c>
      <c r="CM12">
        <v>8</v>
      </c>
      <c r="CN12">
        <v>7.9</v>
      </c>
      <c r="CO12">
        <v>7.9</v>
      </c>
      <c r="CP12">
        <v>9.1</v>
      </c>
      <c r="CQ12">
        <v>9</v>
      </c>
      <c r="CR12">
        <v>9</v>
      </c>
      <c r="CS12">
        <v>9.3000000000000007</v>
      </c>
      <c r="CT12">
        <v>0</v>
      </c>
      <c r="CU12">
        <v>0</v>
      </c>
      <c r="CV12">
        <v>0</v>
      </c>
      <c r="CW12">
        <v>8.4</v>
      </c>
      <c r="CX12">
        <v>8.6999999999999993</v>
      </c>
      <c r="CY12">
        <v>0</v>
      </c>
      <c r="CZ12">
        <v>0</v>
      </c>
      <c r="DA12">
        <v>0</v>
      </c>
      <c r="DB12">
        <v>0</v>
      </c>
      <c r="DC12">
        <v>0</v>
      </c>
      <c r="DD12">
        <v>0</v>
      </c>
      <c r="DE12">
        <v>0</v>
      </c>
      <c r="DF12">
        <v>0</v>
      </c>
      <c r="DG12">
        <v>0</v>
      </c>
      <c r="DH12">
        <v>6.7</v>
      </c>
      <c r="DI12">
        <v>8.1</v>
      </c>
      <c r="DJ12">
        <v>7.5</v>
      </c>
      <c r="DK12">
        <v>9.1</v>
      </c>
      <c r="DL12">
        <v>8.3000000000000007</v>
      </c>
      <c r="DM12">
        <v>8.6</v>
      </c>
      <c r="DN12">
        <v>8.6</v>
      </c>
      <c r="DO12">
        <v>0</v>
      </c>
      <c r="DP12">
        <v>0</v>
      </c>
      <c r="DQ12">
        <v>0</v>
      </c>
      <c r="DR12">
        <v>8.8000000000000007</v>
      </c>
      <c r="DS12">
        <v>8.3000000000000007</v>
      </c>
      <c r="DT12">
        <v>0</v>
      </c>
      <c r="DU12">
        <v>0</v>
      </c>
      <c r="DV12">
        <v>0</v>
      </c>
      <c r="DW12">
        <v>0</v>
      </c>
      <c r="DX12">
        <v>0</v>
      </c>
      <c r="DY12">
        <v>0</v>
      </c>
      <c r="DZ12">
        <v>0</v>
      </c>
      <c r="EA12">
        <v>0</v>
      </c>
      <c r="EB12">
        <v>0</v>
      </c>
      <c r="EC12">
        <v>6</v>
      </c>
      <c r="ED12">
        <v>7.25</v>
      </c>
      <c r="EE12">
        <v>3.5</v>
      </c>
      <c r="EF12"/>
      <c r="EG12"/>
      <c r="EH12"/>
      <c r="EI12">
        <v>6.25</v>
      </c>
      <c r="EJ12"/>
      <c r="EK12"/>
      <c r="EL12"/>
      <c r="EM12"/>
      <c r="EN12"/>
      <c r="EO12"/>
      <c r="EP12"/>
      <c r="EQ12"/>
      <c r="ER12"/>
      <c r="ES12"/>
      <c r="ET12"/>
      <c r="EU12"/>
      <c r="EV12"/>
      <c r="EW12"/>
      <c r="EX12"/>
      <c r="EY12"/>
      <c r="EZ12"/>
      <c r="FA12"/>
      <c r="FB12"/>
      <c r="FC12"/>
      <c r="FD12"/>
    </row>
    <row r="13" spans="1:160" x14ac:dyDescent="0.25">
      <c r="A13" s="1" t="str">
        <f t="shared" si="0"/>
        <v>087308004738</v>
      </c>
      <c r="B13" t="s">
        <v>509</v>
      </c>
      <c r="C13" t="s">
        <v>510</v>
      </c>
      <c r="D13" t="s">
        <v>511</v>
      </c>
      <c r="E13" t="s">
        <v>278</v>
      </c>
      <c r="F13" t="s">
        <v>512</v>
      </c>
      <c r="G13" t="s">
        <v>513</v>
      </c>
      <c r="H13" t="s">
        <v>514</v>
      </c>
      <c r="I13" t="s">
        <v>51</v>
      </c>
      <c r="J13" t="s">
        <v>515</v>
      </c>
      <c r="K13" t="s">
        <v>516</v>
      </c>
      <c r="L13"/>
      <c r="M13" t="s">
        <v>287</v>
      </c>
      <c r="N13" t="s">
        <v>288</v>
      </c>
      <c r="O13"/>
      <c r="P13" t="s">
        <v>289</v>
      </c>
      <c r="Q13" t="s">
        <v>517</v>
      </c>
      <c r="R13" t="s">
        <v>287</v>
      </c>
      <c r="S13" t="s">
        <v>287</v>
      </c>
      <c r="T13" t="s">
        <v>287</v>
      </c>
      <c r="U13"/>
      <c r="V13"/>
      <c r="W13" t="s">
        <v>294</v>
      </c>
      <c r="X13" t="s">
        <v>518</v>
      </c>
      <c r="Y13" t="s">
        <v>519</v>
      </c>
      <c r="Z13" t="s">
        <v>520</v>
      </c>
      <c r="AA13" t="s">
        <v>287</v>
      </c>
      <c r="AB13"/>
      <c r="AC13"/>
      <c r="AD13"/>
      <c r="AE13"/>
      <c r="AF13" t="s">
        <v>323</v>
      </c>
      <c r="AG13" t="s">
        <v>521</v>
      </c>
      <c r="AH13" t="s">
        <v>522</v>
      </c>
      <c r="AI13" t="s">
        <v>323</v>
      </c>
      <c r="AJ13" t="s">
        <v>521</v>
      </c>
      <c r="AK13" t="s">
        <v>522</v>
      </c>
      <c r="AL13" t="s">
        <v>323</v>
      </c>
      <c r="AM13" t="s">
        <v>523</v>
      </c>
      <c r="AN13" t="s">
        <v>524</v>
      </c>
      <c r="AO13" t="s">
        <v>299</v>
      </c>
      <c r="AP13" t="s">
        <v>348</v>
      </c>
      <c r="AQ13" t="s">
        <v>294</v>
      </c>
      <c r="AR13" t="s">
        <v>525</v>
      </c>
      <c r="AS13" t="s">
        <v>463</v>
      </c>
      <c r="AT13" t="s">
        <v>302</v>
      </c>
      <c r="AU13" t="s">
        <v>305</v>
      </c>
      <c r="AV13"/>
      <c r="AW13" t="s">
        <v>351</v>
      </c>
      <c r="AX13" t="s">
        <v>352</v>
      </c>
      <c r="AY13" t="s">
        <v>526</v>
      </c>
      <c r="AZ13" t="s">
        <v>527</v>
      </c>
      <c r="BA13" t="s">
        <v>444</v>
      </c>
      <c r="BB13" t="s">
        <v>445</v>
      </c>
      <c r="BC13" t="s">
        <v>312</v>
      </c>
      <c r="BD13" t="s">
        <v>353</v>
      </c>
      <c r="BE13" t="s">
        <v>528</v>
      </c>
      <c r="BF13" t="s">
        <v>314</v>
      </c>
      <c r="BG13"/>
      <c r="BH13"/>
      <c r="BI13"/>
      <c r="BJ13"/>
      <c r="BK13"/>
      <c r="BL13"/>
      <c r="BM13" t="s">
        <v>305</v>
      </c>
      <c r="BN13" t="s">
        <v>354</v>
      </c>
      <c r="BO13" t="s">
        <v>529</v>
      </c>
      <c r="BP13" t="s">
        <v>530</v>
      </c>
      <c r="BQ13"/>
      <c r="BR13">
        <v>8.5</v>
      </c>
      <c r="BS13">
        <v>7.9</v>
      </c>
      <c r="BT13">
        <v>8</v>
      </c>
      <c r="BU13">
        <v>9</v>
      </c>
      <c r="BV13">
        <v>8.9</v>
      </c>
      <c r="BW13">
        <v>7.9</v>
      </c>
      <c r="BX13">
        <v>8.5</v>
      </c>
      <c r="BY13">
        <v>0</v>
      </c>
      <c r="BZ13">
        <v>0</v>
      </c>
      <c r="CA13">
        <v>0</v>
      </c>
      <c r="CB13">
        <v>8.6999999999999993</v>
      </c>
      <c r="CC13">
        <v>8</v>
      </c>
      <c r="CD13">
        <v>0</v>
      </c>
      <c r="CE13">
        <v>0</v>
      </c>
      <c r="CF13">
        <v>0</v>
      </c>
      <c r="CG13">
        <v>0</v>
      </c>
      <c r="CH13">
        <v>0</v>
      </c>
      <c r="CI13">
        <v>0</v>
      </c>
      <c r="CJ13">
        <v>0</v>
      </c>
      <c r="CK13">
        <v>0</v>
      </c>
      <c r="CL13">
        <v>0</v>
      </c>
      <c r="CM13">
        <v>8.1</v>
      </c>
      <c r="CN13">
        <v>8.1999999999999993</v>
      </c>
      <c r="CO13">
        <v>8.3000000000000007</v>
      </c>
      <c r="CP13">
        <v>8.6999999999999993</v>
      </c>
      <c r="CQ13">
        <v>8.1</v>
      </c>
      <c r="CR13">
        <v>8.3000000000000007</v>
      </c>
      <c r="CS13">
        <v>8.1999999999999993</v>
      </c>
      <c r="CT13">
        <v>0</v>
      </c>
      <c r="CU13">
        <v>0</v>
      </c>
      <c r="CV13">
        <v>0</v>
      </c>
      <c r="CW13">
        <v>9.3000000000000007</v>
      </c>
      <c r="CX13">
        <v>8.8000000000000007</v>
      </c>
      <c r="CY13">
        <v>0</v>
      </c>
      <c r="CZ13">
        <v>0</v>
      </c>
      <c r="DA13">
        <v>0</v>
      </c>
      <c r="DB13">
        <v>0</v>
      </c>
      <c r="DC13">
        <v>0</v>
      </c>
      <c r="DD13">
        <v>0</v>
      </c>
      <c r="DE13">
        <v>0</v>
      </c>
      <c r="DF13">
        <v>0</v>
      </c>
      <c r="DG13">
        <v>0</v>
      </c>
      <c r="DH13">
        <v>8.5</v>
      </c>
      <c r="DI13">
        <v>7.8</v>
      </c>
      <c r="DJ13">
        <v>7.9</v>
      </c>
      <c r="DK13">
        <v>9.1999999999999993</v>
      </c>
      <c r="DL13">
        <v>8.6</v>
      </c>
      <c r="DM13">
        <v>8.9</v>
      </c>
      <c r="DN13">
        <v>8.3000000000000007</v>
      </c>
      <c r="DO13">
        <v>0</v>
      </c>
      <c r="DP13">
        <v>0</v>
      </c>
      <c r="DQ13">
        <v>0</v>
      </c>
      <c r="DR13">
        <v>8.4</v>
      </c>
      <c r="DS13">
        <v>9</v>
      </c>
      <c r="DT13">
        <v>0</v>
      </c>
      <c r="DU13">
        <v>0</v>
      </c>
      <c r="DV13">
        <v>0</v>
      </c>
      <c r="DW13">
        <v>0</v>
      </c>
      <c r="DX13">
        <v>0</v>
      </c>
      <c r="DY13">
        <v>0</v>
      </c>
      <c r="DZ13">
        <v>0</v>
      </c>
      <c r="EA13">
        <v>0</v>
      </c>
      <c r="EB13">
        <v>0</v>
      </c>
      <c r="EC13">
        <v>5.5</v>
      </c>
      <c r="ED13">
        <v>6.75</v>
      </c>
      <c r="EE13">
        <v>3.5</v>
      </c>
      <c r="EF13"/>
      <c r="EG13"/>
      <c r="EH13"/>
      <c r="EI13">
        <v>5.25</v>
      </c>
      <c r="EJ13"/>
      <c r="EK13"/>
      <c r="EL13"/>
      <c r="EM13"/>
      <c r="EN13"/>
      <c r="EO13"/>
      <c r="EP13"/>
      <c r="EQ13"/>
      <c r="ER13"/>
      <c r="ES13"/>
      <c r="ET13"/>
      <c r="EU13"/>
      <c r="EV13"/>
      <c r="EW13"/>
      <c r="EX13"/>
      <c r="EY13"/>
      <c r="EZ13"/>
      <c r="FA13"/>
      <c r="FB13">
        <v>84</v>
      </c>
      <c r="FC13">
        <v>106.5</v>
      </c>
      <c r="FD13"/>
    </row>
    <row r="14" spans="1:160" x14ac:dyDescent="0.25">
      <c r="A14" s="1" t="str">
        <f t="shared" si="0"/>
        <v>091308007131</v>
      </c>
      <c r="B14" t="s">
        <v>531</v>
      </c>
      <c r="C14" t="s">
        <v>314</v>
      </c>
      <c r="D14" t="s">
        <v>532</v>
      </c>
      <c r="E14" t="s">
        <v>278</v>
      </c>
      <c r="F14" t="s">
        <v>533</v>
      </c>
      <c r="G14" t="s">
        <v>534</v>
      </c>
      <c r="H14" t="s">
        <v>535</v>
      </c>
      <c r="I14" t="s">
        <v>38</v>
      </c>
      <c r="J14" t="s">
        <v>536</v>
      </c>
      <c r="K14" t="s">
        <v>516</v>
      </c>
      <c r="L14"/>
      <c r="M14" t="s">
        <v>287</v>
      </c>
      <c r="N14" t="s">
        <v>288</v>
      </c>
      <c r="O14"/>
      <c r="P14" t="s">
        <v>289</v>
      </c>
      <c r="Q14" t="s">
        <v>537</v>
      </c>
      <c r="R14" t="s">
        <v>287</v>
      </c>
      <c r="S14" t="s">
        <v>287</v>
      </c>
      <c r="T14" t="s">
        <v>287</v>
      </c>
      <c r="U14"/>
      <c r="V14"/>
      <c r="W14"/>
      <c r="X14"/>
      <c r="Y14"/>
      <c r="Z14"/>
      <c r="AA14" t="s">
        <v>287</v>
      </c>
      <c r="AB14"/>
      <c r="AC14"/>
      <c r="AD14"/>
      <c r="AE14"/>
      <c r="AF14" t="s">
        <v>401</v>
      </c>
      <c r="AG14" t="s">
        <v>538</v>
      </c>
      <c r="AH14" t="s">
        <v>539</v>
      </c>
      <c r="AI14" t="s">
        <v>401</v>
      </c>
      <c r="AJ14" t="s">
        <v>538</v>
      </c>
      <c r="AK14" t="s">
        <v>539</v>
      </c>
      <c r="AL14" t="s">
        <v>401</v>
      </c>
      <c r="AM14" t="s">
        <v>540</v>
      </c>
      <c r="AN14" t="s">
        <v>541</v>
      </c>
      <c r="AO14" t="s">
        <v>299</v>
      </c>
      <c r="AP14" t="s">
        <v>388</v>
      </c>
      <c r="AQ14" t="s">
        <v>542</v>
      </c>
      <c r="AR14" t="s">
        <v>543</v>
      </c>
      <c r="AS14" t="s">
        <v>544</v>
      </c>
      <c r="AT14" t="s">
        <v>542</v>
      </c>
      <c r="AU14" t="s">
        <v>354</v>
      </c>
      <c r="AV14"/>
      <c r="AW14" t="s">
        <v>545</v>
      </c>
      <c r="AX14" t="s">
        <v>546</v>
      </c>
      <c r="AY14"/>
      <c r="AZ14"/>
      <c r="BA14"/>
      <c r="BB14"/>
      <c r="BC14" t="s">
        <v>312</v>
      </c>
      <c r="BD14" t="s">
        <v>353</v>
      </c>
      <c r="BE14"/>
      <c r="BF14" t="s">
        <v>314</v>
      </c>
      <c r="BG14"/>
      <c r="BH14"/>
      <c r="BI14"/>
      <c r="BJ14"/>
      <c r="BK14"/>
      <c r="BL14"/>
      <c r="BM14" t="s">
        <v>305</v>
      </c>
      <c r="BN14" t="s">
        <v>305</v>
      </c>
      <c r="BO14" t="s">
        <v>547</v>
      </c>
      <c r="BP14"/>
      <c r="BQ14" t="s">
        <v>548</v>
      </c>
      <c r="BR14">
        <v>6.1</v>
      </c>
      <c r="BS14">
        <v>8.1</v>
      </c>
      <c r="BT14">
        <v>5.9</v>
      </c>
      <c r="BU14">
        <v>8.1</v>
      </c>
      <c r="BV14">
        <v>8</v>
      </c>
      <c r="BW14">
        <v>7.3</v>
      </c>
      <c r="BX14">
        <v>7.7</v>
      </c>
      <c r="BY14">
        <v>0</v>
      </c>
      <c r="BZ14">
        <v>0</v>
      </c>
      <c r="CA14">
        <v>0</v>
      </c>
      <c r="CB14">
        <v>0</v>
      </c>
      <c r="CC14">
        <v>6.5</v>
      </c>
      <c r="CD14">
        <v>0</v>
      </c>
      <c r="CE14">
        <v>0</v>
      </c>
      <c r="CF14">
        <v>0</v>
      </c>
      <c r="CG14">
        <v>0</v>
      </c>
      <c r="CH14">
        <v>0</v>
      </c>
      <c r="CI14">
        <v>0</v>
      </c>
      <c r="CJ14">
        <v>0</v>
      </c>
      <c r="CK14">
        <v>0</v>
      </c>
      <c r="CL14">
        <v>0</v>
      </c>
      <c r="CM14">
        <v>6</v>
      </c>
      <c r="CN14">
        <v>7.9</v>
      </c>
      <c r="CO14">
        <v>6.8</v>
      </c>
      <c r="CP14">
        <v>9.1</v>
      </c>
      <c r="CQ14">
        <v>7.5</v>
      </c>
      <c r="CR14">
        <v>8.4</v>
      </c>
      <c r="CS14">
        <v>8.1</v>
      </c>
      <c r="CT14">
        <v>0</v>
      </c>
      <c r="CU14">
        <v>0</v>
      </c>
      <c r="CV14">
        <v>0</v>
      </c>
      <c r="CW14">
        <v>0</v>
      </c>
      <c r="CX14">
        <v>8.4</v>
      </c>
      <c r="CY14">
        <v>0</v>
      </c>
      <c r="CZ14">
        <v>0</v>
      </c>
      <c r="DA14">
        <v>0</v>
      </c>
      <c r="DB14">
        <v>0</v>
      </c>
      <c r="DC14">
        <v>0</v>
      </c>
      <c r="DD14">
        <v>0</v>
      </c>
      <c r="DE14">
        <v>0</v>
      </c>
      <c r="DF14">
        <v>0</v>
      </c>
      <c r="DG14">
        <v>0</v>
      </c>
      <c r="DH14">
        <v>6.2</v>
      </c>
      <c r="DI14">
        <v>8</v>
      </c>
      <c r="DJ14">
        <v>6.7</v>
      </c>
      <c r="DK14">
        <v>7.8</v>
      </c>
      <c r="DL14">
        <v>7.3</v>
      </c>
      <c r="DM14">
        <v>8.6</v>
      </c>
      <c r="DN14">
        <v>8.3000000000000007</v>
      </c>
      <c r="DO14">
        <v>0</v>
      </c>
      <c r="DP14">
        <v>0</v>
      </c>
      <c r="DQ14">
        <v>0</v>
      </c>
      <c r="DR14">
        <v>0</v>
      </c>
      <c r="DS14">
        <v>7.8</v>
      </c>
      <c r="DT14">
        <v>0</v>
      </c>
      <c r="DU14">
        <v>0</v>
      </c>
      <c r="DV14">
        <v>0</v>
      </c>
      <c r="DW14">
        <v>0</v>
      </c>
      <c r="DX14">
        <v>0</v>
      </c>
      <c r="DY14">
        <v>0</v>
      </c>
      <c r="DZ14">
        <v>0</v>
      </c>
      <c r="EA14">
        <v>0</v>
      </c>
      <c r="EB14">
        <v>0</v>
      </c>
      <c r="EC14">
        <v>4.5</v>
      </c>
      <c r="ED14">
        <v>6.75</v>
      </c>
      <c r="EE14"/>
      <c r="EF14"/>
      <c r="EG14"/>
      <c r="EH14">
        <v>6.75</v>
      </c>
      <c r="EI14">
        <v>4.8499999999999996</v>
      </c>
      <c r="EJ14"/>
      <c r="EK14"/>
      <c r="EL14"/>
      <c r="EM14"/>
      <c r="EN14"/>
      <c r="EO14"/>
      <c r="EP14"/>
      <c r="EQ14"/>
      <c r="ER14"/>
      <c r="ES14"/>
      <c r="ET14"/>
      <c r="EU14"/>
      <c r="EV14"/>
      <c r="EW14">
        <v>46.5</v>
      </c>
      <c r="EX14">
        <v>114</v>
      </c>
      <c r="EY14">
        <v>60.5</v>
      </c>
      <c r="EZ14">
        <v>67</v>
      </c>
      <c r="FA14">
        <v>74.5</v>
      </c>
      <c r="FB14"/>
      <c r="FC14"/>
      <c r="FD14"/>
    </row>
    <row r="15" spans="1:160" x14ac:dyDescent="0.25">
      <c r="A15" s="1" t="str">
        <f t="shared" si="0"/>
        <v>068208012324</v>
      </c>
      <c r="B15" t="s">
        <v>549</v>
      </c>
      <c r="C15" t="s">
        <v>550</v>
      </c>
      <c r="D15" t="s">
        <v>551</v>
      </c>
      <c r="E15" t="s">
        <v>280</v>
      </c>
      <c r="F15" t="s">
        <v>552</v>
      </c>
      <c r="G15" t="s">
        <v>553</v>
      </c>
      <c r="H15" t="s">
        <v>554</v>
      </c>
      <c r="I15" t="s">
        <v>103</v>
      </c>
      <c r="J15" t="s">
        <v>555</v>
      </c>
      <c r="K15" t="s">
        <v>321</v>
      </c>
      <c r="L15"/>
      <c r="M15" t="s">
        <v>287</v>
      </c>
      <c r="N15" t="s">
        <v>288</v>
      </c>
      <c r="O15"/>
      <c r="P15" t="s">
        <v>289</v>
      </c>
      <c r="Q15" t="s">
        <v>556</v>
      </c>
      <c r="R15" t="s">
        <v>287</v>
      </c>
      <c r="S15" t="s">
        <v>287</v>
      </c>
      <c r="T15" t="s">
        <v>287</v>
      </c>
      <c r="U15"/>
      <c r="V15"/>
      <c r="W15"/>
      <c r="X15"/>
      <c r="Y15"/>
      <c r="Z15"/>
      <c r="AA15" t="s">
        <v>287</v>
      </c>
      <c r="AB15"/>
      <c r="AC15"/>
      <c r="AD15"/>
      <c r="AE15"/>
      <c r="AF15" t="s">
        <v>365</v>
      </c>
      <c r="AG15" t="s">
        <v>557</v>
      </c>
      <c r="AH15" t="s">
        <v>558</v>
      </c>
      <c r="AI15" t="s">
        <v>365</v>
      </c>
      <c r="AJ15" t="s">
        <v>557</v>
      </c>
      <c r="AK15" t="s">
        <v>558</v>
      </c>
      <c r="AL15" t="s">
        <v>365</v>
      </c>
      <c r="AM15" t="s">
        <v>557</v>
      </c>
      <c r="AN15" t="s">
        <v>558</v>
      </c>
      <c r="AO15" t="s">
        <v>299</v>
      </c>
      <c r="AP15" t="s">
        <v>300</v>
      </c>
      <c r="AQ15" t="s">
        <v>559</v>
      </c>
      <c r="AR15" t="s">
        <v>560</v>
      </c>
      <c r="AS15" t="s">
        <v>561</v>
      </c>
      <c r="AT15" t="s">
        <v>559</v>
      </c>
      <c r="AU15" t="s">
        <v>354</v>
      </c>
      <c r="AV15"/>
      <c r="AW15" t="s">
        <v>545</v>
      </c>
      <c r="AX15" t="s">
        <v>546</v>
      </c>
      <c r="AY15" t="s">
        <v>562</v>
      </c>
      <c r="AZ15" t="s">
        <v>563</v>
      </c>
      <c r="BA15"/>
      <c r="BB15"/>
      <c r="BC15" t="s">
        <v>312</v>
      </c>
      <c r="BD15" t="s">
        <v>353</v>
      </c>
      <c r="BE15"/>
      <c r="BF15" t="s">
        <v>314</v>
      </c>
      <c r="BG15"/>
      <c r="BH15"/>
      <c r="BI15"/>
      <c r="BJ15"/>
      <c r="BK15"/>
      <c r="BL15"/>
      <c r="BM15" t="s">
        <v>305</v>
      </c>
      <c r="BN15" t="s">
        <v>354</v>
      </c>
      <c r="BO15" t="s">
        <v>564</v>
      </c>
      <c r="BP15"/>
      <c r="BQ15"/>
      <c r="BR15">
        <v>8.3000000000000007</v>
      </c>
      <c r="BS15">
        <v>6.7</v>
      </c>
      <c r="BT15">
        <v>4.9000000000000004</v>
      </c>
      <c r="BU15">
        <v>7.7</v>
      </c>
      <c r="BV15">
        <v>7.1</v>
      </c>
      <c r="BW15">
        <v>0</v>
      </c>
      <c r="BX15">
        <v>7.4</v>
      </c>
      <c r="BY15">
        <v>9.3000000000000007</v>
      </c>
      <c r="BZ15">
        <v>7.9</v>
      </c>
      <c r="CA15">
        <v>0</v>
      </c>
      <c r="CB15">
        <v>0</v>
      </c>
      <c r="CC15">
        <v>5.9</v>
      </c>
      <c r="CD15">
        <v>0</v>
      </c>
      <c r="CE15">
        <v>0</v>
      </c>
      <c r="CF15">
        <v>0</v>
      </c>
      <c r="CG15">
        <v>0</v>
      </c>
      <c r="CH15">
        <v>0</v>
      </c>
      <c r="CI15">
        <v>0</v>
      </c>
      <c r="CJ15">
        <v>0</v>
      </c>
      <c r="CK15">
        <v>0</v>
      </c>
      <c r="CL15">
        <v>0</v>
      </c>
      <c r="CM15">
        <v>8.8000000000000007</v>
      </c>
      <c r="CN15">
        <v>5.8</v>
      </c>
      <c r="CO15">
        <v>4.8</v>
      </c>
      <c r="CP15">
        <v>7.1</v>
      </c>
      <c r="CQ15">
        <v>6.9</v>
      </c>
      <c r="CR15">
        <v>0</v>
      </c>
      <c r="CS15">
        <v>6.6</v>
      </c>
      <c r="CT15">
        <v>9.1</v>
      </c>
      <c r="CU15">
        <v>7.7</v>
      </c>
      <c r="CV15">
        <v>0</v>
      </c>
      <c r="CW15">
        <v>0</v>
      </c>
      <c r="CX15">
        <v>6.4</v>
      </c>
      <c r="CY15">
        <v>0</v>
      </c>
      <c r="CZ15">
        <v>0</v>
      </c>
      <c r="DA15">
        <v>0</v>
      </c>
      <c r="DB15">
        <v>0</v>
      </c>
      <c r="DC15">
        <v>0</v>
      </c>
      <c r="DD15">
        <v>0</v>
      </c>
      <c r="DE15">
        <v>0</v>
      </c>
      <c r="DF15">
        <v>0</v>
      </c>
      <c r="DG15">
        <v>0</v>
      </c>
      <c r="DH15">
        <v>8.8000000000000007</v>
      </c>
      <c r="DI15">
        <v>6</v>
      </c>
      <c r="DJ15">
        <v>6.1</v>
      </c>
      <c r="DK15">
        <v>7.4</v>
      </c>
      <c r="DL15">
        <v>6.1</v>
      </c>
      <c r="DM15">
        <v>0</v>
      </c>
      <c r="DN15">
        <v>7.5</v>
      </c>
      <c r="DO15">
        <v>9.1999999999999993</v>
      </c>
      <c r="DP15">
        <v>8.6999999999999993</v>
      </c>
      <c r="DQ15">
        <v>0</v>
      </c>
      <c r="DR15">
        <v>0</v>
      </c>
      <c r="DS15">
        <v>6.9</v>
      </c>
      <c r="DT15">
        <v>0</v>
      </c>
      <c r="DU15">
        <v>0</v>
      </c>
      <c r="DV15">
        <v>0</v>
      </c>
      <c r="DW15">
        <v>0</v>
      </c>
      <c r="DX15">
        <v>0</v>
      </c>
      <c r="DY15">
        <v>0</v>
      </c>
      <c r="DZ15">
        <v>0</v>
      </c>
      <c r="EA15">
        <v>0</v>
      </c>
      <c r="EB15">
        <v>0</v>
      </c>
      <c r="EC15">
        <v>7</v>
      </c>
      <c r="ED15">
        <v>5.75</v>
      </c>
      <c r="EE15"/>
      <c r="EF15"/>
      <c r="EG15"/>
      <c r="EH15"/>
      <c r="EI15"/>
      <c r="EJ15">
        <v>5.5</v>
      </c>
      <c r="EK15">
        <v>5.75</v>
      </c>
      <c r="EL15"/>
      <c r="EM15"/>
      <c r="EN15"/>
      <c r="EO15"/>
      <c r="EP15"/>
      <c r="EQ15"/>
      <c r="ER15"/>
      <c r="ES15"/>
      <c r="ET15"/>
      <c r="EU15"/>
      <c r="EV15"/>
      <c r="EW15"/>
      <c r="EX15"/>
      <c r="EY15"/>
      <c r="EZ15"/>
      <c r="FA15"/>
      <c r="FB15"/>
      <c r="FC15"/>
      <c r="FD15"/>
    </row>
    <row r="16" spans="1:160" x14ac:dyDescent="0.25">
      <c r="A16" s="1" t="str">
        <f t="shared" si="0"/>
        <v>080308005311</v>
      </c>
      <c r="B16" t="s">
        <v>565</v>
      </c>
      <c r="C16" t="s">
        <v>566</v>
      </c>
      <c r="D16" t="s">
        <v>567</v>
      </c>
      <c r="E16" t="s">
        <v>278</v>
      </c>
      <c r="F16" t="s">
        <v>568</v>
      </c>
      <c r="G16" t="s">
        <v>569</v>
      </c>
      <c r="H16" t="s">
        <v>570</v>
      </c>
      <c r="I16" t="s">
        <v>92</v>
      </c>
      <c r="J16" t="s">
        <v>571</v>
      </c>
      <c r="K16" t="s">
        <v>516</v>
      </c>
      <c r="L16"/>
      <c r="M16" t="s">
        <v>287</v>
      </c>
      <c r="N16" t="s">
        <v>288</v>
      </c>
      <c r="O16"/>
      <c r="P16" t="s">
        <v>289</v>
      </c>
      <c r="Q16" t="s">
        <v>572</v>
      </c>
      <c r="R16" t="s">
        <v>287</v>
      </c>
      <c r="S16" t="s">
        <v>287</v>
      </c>
      <c r="T16" t="s">
        <v>287</v>
      </c>
      <c r="U16"/>
      <c r="V16"/>
      <c r="W16" t="s">
        <v>294</v>
      </c>
      <c r="X16" t="s">
        <v>573</v>
      </c>
      <c r="Y16" t="s">
        <v>574</v>
      </c>
      <c r="Z16" t="s">
        <v>575</v>
      </c>
      <c r="AA16" t="s">
        <v>287</v>
      </c>
      <c r="AB16"/>
      <c r="AC16"/>
      <c r="AD16"/>
      <c r="AE16"/>
      <c r="AF16" t="s">
        <v>576</v>
      </c>
      <c r="AG16" t="s">
        <v>577</v>
      </c>
      <c r="AH16" t="s">
        <v>578</v>
      </c>
      <c r="AI16" t="s">
        <v>576</v>
      </c>
      <c r="AJ16" t="s">
        <v>577</v>
      </c>
      <c r="AK16" t="s">
        <v>578</v>
      </c>
      <c r="AL16" t="s">
        <v>576</v>
      </c>
      <c r="AM16" t="s">
        <v>577</v>
      </c>
      <c r="AN16" t="s">
        <v>578</v>
      </c>
      <c r="AO16" t="s">
        <v>299</v>
      </c>
      <c r="AP16" t="s">
        <v>348</v>
      </c>
      <c r="AQ16" t="s">
        <v>579</v>
      </c>
      <c r="AR16" t="s">
        <v>580</v>
      </c>
      <c r="AS16" t="s">
        <v>581</v>
      </c>
      <c r="AT16" t="s">
        <v>505</v>
      </c>
      <c r="AU16" t="s">
        <v>305</v>
      </c>
      <c r="AV16"/>
      <c r="AW16" t="s">
        <v>562</v>
      </c>
      <c r="AX16" t="s">
        <v>563</v>
      </c>
      <c r="AY16" t="s">
        <v>545</v>
      </c>
      <c r="AZ16" t="s">
        <v>546</v>
      </c>
      <c r="BA16" t="s">
        <v>332</v>
      </c>
      <c r="BB16" t="s">
        <v>333</v>
      </c>
      <c r="BC16" t="s">
        <v>312</v>
      </c>
      <c r="BD16" t="s">
        <v>353</v>
      </c>
      <c r="BE16"/>
      <c r="BF16" t="s">
        <v>314</v>
      </c>
      <c r="BG16"/>
      <c r="BH16"/>
      <c r="BI16"/>
      <c r="BJ16"/>
      <c r="BK16"/>
      <c r="BL16"/>
      <c r="BM16" t="s">
        <v>305</v>
      </c>
      <c r="BN16" t="s">
        <v>354</v>
      </c>
      <c r="BO16" t="s">
        <v>582</v>
      </c>
      <c r="BP16" t="s">
        <v>583</v>
      </c>
      <c r="BQ16"/>
      <c r="BR16">
        <v>8</v>
      </c>
      <c r="BS16">
        <v>7.8</v>
      </c>
      <c r="BT16">
        <v>8.1</v>
      </c>
      <c r="BU16">
        <v>9.3000000000000007</v>
      </c>
      <c r="BV16">
        <v>9.1999999999999993</v>
      </c>
      <c r="BW16">
        <v>0</v>
      </c>
      <c r="BX16">
        <v>0</v>
      </c>
      <c r="BY16">
        <v>8.6999999999999993</v>
      </c>
      <c r="BZ16">
        <v>7.8</v>
      </c>
      <c r="CA16">
        <v>0</v>
      </c>
      <c r="CB16">
        <v>9.4</v>
      </c>
      <c r="CC16">
        <v>9.5</v>
      </c>
      <c r="CD16">
        <v>0</v>
      </c>
      <c r="CE16">
        <v>0</v>
      </c>
      <c r="CF16">
        <v>0</v>
      </c>
      <c r="CG16">
        <v>0</v>
      </c>
      <c r="CH16">
        <v>0</v>
      </c>
      <c r="CI16">
        <v>0</v>
      </c>
      <c r="CJ16">
        <v>0</v>
      </c>
      <c r="CK16">
        <v>0</v>
      </c>
      <c r="CL16">
        <v>0</v>
      </c>
      <c r="CM16">
        <v>8.3000000000000007</v>
      </c>
      <c r="CN16">
        <v>7.2</v>
      </c>
      <c r="CO16">
        <v>8.3000000000000007</v>
      </c>
      <c r="CP16">
        <v>8.8000000000000007</v>
      </c>
      <c r="CQ16">
        <v>9.1999999999999993</v>
      </c>
      <c r="CR16">
        <v>0</v>
      </c>
      <c r="CS16">
        <v>0</v>
      </c>
      <c r="CT16">
        <v>9.1</v>
      </c>
      <c r="CU16">
        <v>7.3</v>
      </c>
      <c r="CV16">
        <v>0</v>
      </c>
      <c r="CW16">
        <v>9.3000000000000007</v>
      </c>
      <c r="CX16">
        <v>9.6</v>
      </c>
      <c r="CY16">
        <v>0</v>
      </c>
      <c r="CZ16">
        <v>0</v>
      </c>
      <c r="DA16">
        <v>0</v>
      </c>
      <c r="DB16">
        <v>0</v>
      </c>
      <c r="DC16">
        <v>0</v>
      </c>
      <c r="DD16">
        <v>0</v>
      </c>
      <c r="DE16">
        <v>0</v>
      </c>
      <c r="DF16">
        <v>0</v>
      </c>
      <c r="DG16">
        <v>0</v>
      </c>
      <c r="DH16">
        <v>8.1999999999999993</v>
      </c>
      <c r="DI16">
        <v>8</v>
      </c>
      <c r="DJ16">
        <v>8.3000000000000007</v>
      </c>
      <c r="DK16">
        <v>8.9</v>
      </c>
      <c r="DL16">
        <v>8.9</v>
      </c>
      <c r="DM16">
        <v>0</v>
      </c>
      <c r="DN16">
        <v>0</v>
      </c>
      <c r="DO16">
        <v>8.6999999999999993</v>
      </c>
      <c r="DP16">
        <v>7.2</v>
      </c>
      <c r="DQ16">
        <v>0</v>
      </c>
      <c r="DR16">
        <v>9.3000000000000007</v>
      </c>
      <c r="DS16">
        <v>9.8000000000000007</v>
      </c>
      <c r="DT16">
        <v>0</v>
      </c>
      <c r="DU16">
        <v>0</v>
      </c>
      <c r="DV16">
        <v>0</v>
      </c>
      <c r="DW16">
        <v>0</v>
      </c>
      <c r="DX16">
        <v>0</v>
      </c>
      <c r="DY16">
        <v>0</v>
      </c>
      <c r="DZ16">
        <v>0</v>
      </c>
      <c r="EA16">
        <v>0</v>
      </c>
      <c r="EB16">
        <v>0</v>
      </c>
      <c r="EC16">
        <v>6.75</v>
      </c>
      <c r="ED16">
        <v>6.75</v>
      </c>
      <c r="EE16">
        <v>5.75</v>
      </c>
      <c r="EF16"/>
      <c r="EG16"/>
      <c r="EH16"/>
      <c r="EI16"/>
      <c r="EJ16">
        <v>6.75</v>
      </c>
      <c r="EK16"/>
      <c r="EL16"/>
      <c r="EM16"/>
      <c r="EN16"/>
      <c r="EO16"/>
      <c r="EP16"/>
      <c r="EQ16"/>
      <c r="ER16"/>
      <c r="ES16"/>
      <c r="ET16"/>
      <c r="EU16"/>
      <c r="EV16"/>
      <c r="EW16"/>
      <c r="EX16"/>
      <c r="EY16"/>
      <c r="EZ16"/>
      <c r="FA16"/>
      <c r="FB16"/>
      <c r="FC16"/>
      <c r="FD16"/>
    </row>
    <row r="17" spans="1:160" x14ac:dyDescent="0.25">
      <c r="A17" s="1" t="str">
        <f t="shared" si="0"/>
        <v>084308006597</v>
      </c>
      <c r="B17" t="s">
        <v>614</v>
      </c>
      <c r="C17" t="s">
        <v>615</v>
      </c>
      <c r="D17" t="s">
        <v>616</v>
      </c>
      <c r="E17" t="s">
        <v>278</v>
      </c>
      <c r="F17" t="s">
        <v>617</v>
      </c>
      <c r="G17" t="s">
        <v>618</v>
      </c>
      <c r="H17" t="s">
        <v>619</v>
      </c>
      <c r="I17" t="s">
        <v>73</v>
      </c>
      <c r="J17" t="s">
        <v>620</v>
      </c>
      <c r="K17" t="s">
        <v>476</v>
      </c>
      <c r="L17"/>
      <c r="M17" t="s">
        <v>287</v>
      </c>
      <c r="N17" t="s">
        <v>288</v>
      </c>
      <c r="O17"/>
      <c r="P17" t="s">
        <v>289</v>
      </c>
      <c r="Q17" t="s">
        <v>621</v>
      </c>
      <c r="R17" t="s">
        <v>287</v>
      </c>
      <c r="S17" t="s">
        <v>287</v>
      </c>
      <c r="T17" t="s">
        <v>287</v>
      </c>
      <c r="U17"/>
      <c r="V17"/>
      <c r="W17" t="s">
        <v>294</v>
      </c>
      <c r="X17" t="s">
        <v>622</v>
      </c>
      <c r="Y17" t="s">
        <v>623</v>
      </c>
      <c r="Z17" t="s">
        <v>624</v>
      </c>
      <c r="AA17" t="s">
        <v>287</v>
      </c>
      <c r="AB17"/>
      <c r="AC17"/>
      <c r="AD17"/>
      <c r="AE17"/>
      <c r="AF17" t="s">
        <v>421</v>
      </c>
      <c r="AG17" t="s">
        <v>625</v>
      </c>
      <c r="AH17" t="s">
        <v>626</v>
      </c>
      <c r="AI17" t="s">
        <v>421</v>
      </c>
      <c r="AJ17" t="s">
        <v>625</v>
      </c>
      <c r="AK17" t="s">
        <v>626</v>
      </c>
      <c r="AL17" t="s">
        <v>421</v>
      </c>
      <c r="AM17" t="s">
        <v>625</v>
      </c>
      <c r="AN17" t="s">
        <v>626</v>
      </c>
      <c r="AO17" t="s">
        <v>299</v>
      </c>
      <c r="AP17" t="s">
        <v>348</v>
      </c>
      <c r="AQ17" t="s">
        <v>369</v>
      </c>
      <c r="AR17" t="s">
        <v>463</v>
      </c>
      <c r="AS17" t="s">
        <v>627</v>
      </c>
      <c r="AT17" t="s">
        <v>628</v>
      </c>
      <c r="AU17" t="s">
        <v>305</v>
      </c>
      <c r="AV17"/>
      <c r="AW17" t="s">
        <v>308</v>
      </c>
      <c r="AX17" t="s">
        <v>309</v>
      </c>
      <c r="AY17" t="s">
        <v>351</v>
      </c>
      <c r="AZ17" t="s">
        <v>352</v>
      </c>
      <c r="BA17" t="s">
        <v>526</v>
      </c>
      <c r="BB17" t="s">
        <v>527</v>
      </c>
      <c r="BC17" t="s">
        <v>312</v>
      </c>
      <c r="BD17" t="s">
        <v>353</v>
      </c>
      <c r="BE17"/>
      <c r="BF17" t="s">
        <v>314</v>
      </c>
      <c r="BG17"/>
      <c r="BH17"/>
      <c r="BI17"/>
      <c r="BJ17"/>
      <c r="BK17"/>
      <c r="BL17"/>
      <c r="BM17" t="s">
        <v>305</v>
      </c>
      <c r="BN17" t="s">
        <v>305</v>
      </c>
      <c r="BO17" t="s">
        <v>629</v>
      </c>
      <c r="BP17" t="s">
        <v>630</v>
      </c>
      <c r="BQ17" t="s">
        <v>631</v>
      </c>
      <c r="BR17">
        <v>7.9</v>
      </c>
      <c r="BS17">
        <v>8.1999999999999993</v>
      </c>
      <c r="BT17">
        <v>8.6999999999999993</v>
      </c>
      <c r="BU17">
        <v>8.9</v>
      </c>
      <c r="BV17">
        <v>9.1999999999999993</v>
      </c>
      <c r="BW17">
        <v>0</v>
      </c>
      <c r="BX17">
        <v>7.3</v>
      </c>
      <c r="BY17">
        <v>7.6</v>
      </c>
      <c r="BZ17">
        <v>0</v>
      </c>
      <c r="CA17">
        <v>9.1</v>
      </c>
      <c r="CB17">
        <v>9.1</v>
      </c>
      <c r="CC17">
        <v>0</v>
      </c>
      <c r="CD17">
        <v>0</v>
      </c>
      <c r="CE17">
        <v>0</v>
      </c>
      <c r="CF17">
        <v>0</v>
      </c>
      <c r="CG17">
        <v>0</v>
      </c>
      <c r="CH17">
        <v>0</v>
      </c>
      <c r="CI17">
        <v>0</v>
      </c>
      <c r="CJ17">
        <v>0</v>
      </c>
      <c r="CK17">
        <v>0</v>
      </c>
      <c r="CL17">
        <v>0</v>
      </c>
      <c r="CM17">
        <v>6.8</v>
      </c>
      <c r="CN17">
        <v>8.4</v>
      </c>
      <c r="CO17">
        <v>8.8000000000000007</v>
      </c>
      <c r="CP17">
        <v>9.3000000000000007</v>
      </c>
      <c r="CQ17">
        <v>9.1999999999999993</v>
      </c>
      <c r="CR17">
        <v>0</v>
      </c>
      <c r="CS17">
        <v>7.9</v>
      </c>
      <c r="CT17">
        <v>7.2</v>
      </c>
      <c r="CU17">
        <v>0</v>
      </c>
      <c r="CV17">
        <v>8.4</v>
      </c>
      <c r="CW17">
        <v>9.5</v>
      </c>
      <c r="CX17">
        <v>0</v>
      </c>
      <c r="CY17">
        <v>0</v>
      </c>
      <c r="CZ17">
        <v>0</v>
      </c>
      <c r="DA17">
        <v>0</v>
      </c>
      <c r="DB17">
        <v>0</v>
      </c>
      <c r="DC17">
        <v>0</v>
      </c>
      <c r="DD17">
        <v>0</v>
      </c>
      <c r="DE17">
        <v>0</v>
      </c>
      <c r="DF17">
        <v>0</v>
      </c>
      <c r="DG17">
        <v>0</v>
      </c>
      <c r="DH17">
        <v>7.8</v>
      </c>
      <c r="DI17">
        <v>8.8000000000000007</v>
      </c>
      <c r="DJ17">
        <v>8.6</v>
      </c>
      <c r="DK17">
        <v>10</v>
      </c>
      <c r="DL17">
        <v>8.8000000000000007</v>
      </c>
      <c r="DM17">
        <v>0</v>
      </c>
      <c r="DN17">
        <v>8.8000000000000007</v>
      </c>
      <c r="DO17">
        <v>7.6</v>
      </c>
      <c r="DP17">
        <v>0</v>
      </c>
      <c r="DQ17">
        <v>8.8000000000000007</v>
      </c>
      <c r="DR17">
        <v>9.3000000000000007</v>
      </c>
      <c r="DS17">
        <v>0</v>
      </c>
      <c r="DT17">
        <v>0</v>
      </c>
      <c r="DU17">
        <v>0</v>
      </c>
      <c r="DV17">
        <v>0</v>
      </c>
      <c r="DW17">
        <v>0</v>
      </c>
      <c r="DX17">
        <v>0</v>
      </c>
      <c r="DY17">
        <v>0</v>
      </c>
      <c r="DZ17">
        <v>0</v>
      </c>
      <c r="EA17">
        <v>0</v>
      </c>
      <c r="EB17">
        <v>0</v>
      </c>
      <c r="EC17">
        <v>4</v>
      </c>
      <c r="ED17">
        <v>5.25</v>
      </c>
      <c r="EE17">
        <v>2.5</v>
      </c>
      <c r="EF17"/>
      <c r="EG17">
        <v>7.35</v>
      </c>
      <c r="EH17"/>
      <c r="EI17"/>
      <c r="EJ17"/>
      <c r="EK17"/>
      <c r="EL17"/>
      <c r="EM17"/>
      <c r="EN17"/>
      <c r="EO17"/>
      <c r="EP17"/>
      <c r="EQ17"/>
      <c r="ER17"/>
      <c r="ES17"/>
      <c r="ET17"/>
      <c r="EU17"/>
      <c r="EV17"/>
      <c r="EW17">
        <v>67.5</v>
      </c>
      <c r="EX17">
        <v>112</v>
      </c>
      <c r="EY17"/>
      <c r="EZ17">
        <v>111</v>
      </c>
      <c r="FA17"/>
      <c r="FB17"/>
      <c r="FC17"/>
      <c r="FD17"/>
    </row>
    <row r="18" spans="1:160" x14ac:dyDescent="0.25">
      <c r="A18" s="1" t="str">
        <f t="shared" si="0"/>
        <v>086308010041</v>
      </c>
      <c r="B18" t="s">
        <v>632</v>
      </c>
      <c r="C18" t="s">
        <v>633</v>
      </c>
      <c r="D18" t="s">
        <v>634</v>
      </c>
      <c r="E18" t="s">
        <v>278</v>
      </c>
      <c r="F18" t="s">
        <v>635</v>
      </c>
      <c r="G18" t="s">
        <v>636</v>
      </c>
      <c r="H18" t="s">
        <v>637</v>
      </c>
      <c r="I18" t="s">
        <v>55</v>
      </c>
      <c r="J18" t="s">
        <v>638</v>
      </c>
      <c r="K18" t="s">
        <v>516</v>
      </c>
      <c r="L18"/>
      <c r="M18" t="s">
        <v>287</v>
      </c>
      <c r="N18" t="s">
        <v>288</v>
      </c>
      <c r="O18"/>
      <c r="P18" t="s">
        <v>289</v>
      </c>
      <c r="Q18" t="s">
        <v>639</v>
      </c>
      <c r="R18" t="s">
        <v>287</v>
      </c>
      <c r="S18" t="s">
        <v>287</v>
      </c>
      <c r="T18" t="s">
        <v>287</v>
      </c>
      <c r="U18"/>
      <c r="V18"/>
      <c r="W18"/>
      <c r="X18"/>
      <c r="Y18"/>
      <c r="Z18"/>
      <c r="AA18" t="s">
        <v>287</v>
      </c>
      <c r="AB18"/>
      <c r="AC18"/>
      <c r="AD18"/>
      <c r="AE18"/>
      <c r="AF18" t="s">
        <v>421</v>
      </c>
      <c r="AG18" t="s">
        <v>640</v>
      </c>
      <c r="AH18" t="s">
        <v>641</v>
      </c>
      <c r="AI18" t="s">
        <v>421</v>
      </c>
      <c r="AJ18" t="s">
        <v>640</v>
      </c>
      <c r="AK18" t="s">
        <v>641</v>
      </c>
      <c r="AL18" t="s">
        <v>421</v>
      </c>
      <c r="AM18" t="s">
        <v>640</v>
      </c>
      <c r="AN18" t="s">
        <v>641</v>
      </c>
      <c r="AO18" t="s">
        <v>299</v>
      </c>
      <c r="AP18" t="s">
        <v>348</v>
      </c>
      <c r="AQ18" t="s">
        <v>642</v>
      </c>
      <c r="AR18" t="s">
        <v>643</v>
      </c>
      <c r="AS18" t="s">
        <v>644</v>
      </c>
      <c r="AT18" t="s">
        <v>463</v>
      </c>
      <c r="AU18" t="s">
        <v>354</v>
      </c>
      <c r="AV18"/>
      <c r="AW18" t="s">
        <v>444</v>
      </c>
      <c r="AX18" t="s">
        <v>445</v>
      </c>
      <c r="AY18"/>
      <c r="AZ18"/>
      <c r="BA18"/>
      <c r="BB18"/>
      <c r="BC18" t="s">
        <v>312</v>
      </c>
      <c r="BD18" t="s">
        <v>353</v>
      </c>
      <c r="BE18" t="s">
        <v>645</v>
      </c>
      <c r="BF18" t="s">
        <v>314</v>
      </c>
      <c r="BG18"/>
      <c r="BH18"/>
      <c r="BI18"/>
      <c r="BJ18"/>
      <c r="BK18"/>
      <c r="BL18"/>
      <c r="BM18" t="s">
        <v>305</v>
      </c>
      <c r="BN18" t="s">
        <v>305</v>
      </c>
      <c r="BO18" t="s">
        <v>646</v>
      </c>
      <c r="BP18"/>
      <c r="BQ18" t="s">
        <v>647</v>
      </c>
      <c r="BR18">
        <v>7.1</v>
      </c>
      <c r="BS18">
        <v>8</v>
      </c>
      <c r="BT18">
        <v>7.8</v>
      </c>
      <c r="BU18">
        <v>8.8000000000000007</v>
      </c>
      <c r="BV18">
        <v>8.1</v>
      </c>
      <c r="BW18">
        <v>8.1999999999999993</v>
      </c>
      <c r="BX18">
        <v>8</v>
      </c>
      <c r="BY18">
        <v>7.7</v>
      </c>
      <c r="BZ18">
        <v>0</v>
      </c>
      <c r="CA18">
        <v>0</v>
      </c>
      <c r="CB18">
        <v>0</v>
      </c>
      <c r="CC18">
        <v>8.1999999999999993</v>
      </c>
      <c r="CD18">
        <v>0</v>
      </c>
      <c r="CE18">
        <v>0</v>
      </c>
      <c r="CF18">
        <v>0</v>
      </c>
      <c r="CG18">
        <v>0</v>
      </c>
      <c r="CH18">
        <v>0</v>
      </c>
      <c r="CI18">
        <v>0</v>
      </c>
      <c r="CJ18">
        <v>0</v>
      </c>
      <c r="CK18">
        <v>0</v>
      </c>
      <c r="CL18">
        <v>0</v>
      </c>
      <c r="CM18">
        <v>7.3</v>
      </c>
      <c r="CN18">
        <v>7.6</v>
      </c>
      <c r="CO18">
        <v>7.8</v>
      </c>
      <c r="CP18">
        <v>8.3000000000000007</v>
      </c>
      <c r="CQ18">
        <v>8.6</v>
      </c>
      <c r="CR18">
        <v>8.9</v>
      </c>
      <c r="CS18">
        <v>6.8</v>
      </c>
      <c r="CT18">
        <v>7.1</v>
      </c>
      <c r="CU18">
        <v>0</v>
      </c>
      <c r="CV18">
        <v>0</v>
      </c>
      <c r="CW18">
        <v>0</v>
      </c>
      <c r="CX18">
        <v>8.3000000000000007</v>
      </c>
      <c r="CY18">
        <v>0</v>
      </c>
      <c r="CZ18">
        <v>0</v>
      </c>
      <c r="DA18">
        <v>0</v>
      </c>
      <c r="DB18">
        <v>0</v>
      </c>
      <c r="DC18">
        <v>0</v>
      </c>
      <c r="DD18">
        <v>0</v>
      </c>
      <c r="DE18">
        <v>0</v>
      </c>
      <c r="DF18">
        <v>0</v>
      </c>
      <c r="DG18">
        <v>0</v>
      </c>
      <c r="DH18">
        <v>7.8</v>
      </c>
      <c r="DI18">
        <v>6.9</v>
      </c>
      <c r="DJ18">
        <v>8.6</v>
      </c>
      <c r="DK18">
        <v>9</v>
      </c>
      <c r="DL18">
        <v>8.6999999999999993</v>
      </c>
      <c r="DM18">
        <v>9.1999999999999993</v>
      </c>
      <c r="DN18">
        <v>8.4</v>
      </c>
      <c r="DO18">
        <v>7.8</v>
      </c>
      <c r="DP18">
        <v>0</v>
      </c>
      <c r="DQ18">
        <v>0</v>
      </c>
      <c r="DR18">
        <v>0</v>
      </c>
      <c r="DS18">
        <v>9.6</v>
      </c>
      <c r="DT18">
        <v>0</v>
      </c>
      <c r="DU18">
        <v>0</v>
      </c>
      <c r="DV18">
        <v>0</v>
      </c>
      <c r="DW18">
        <v>0</v>
      </c>
      <c r="DX18">
        <v>0</v>
      </c>
      <c r="DY18">
        <v>0</v>
      </c>
      <c r="DZ18">
        <v>0</v>
      </c>
      <c r="EA18">
        <v>0</v>
      </c>
      <c r="EB18">
        <v>0</v>
      </c>
      <c r="EC18">
        <v>6</v>
      </c>
      <c r="ED18">
        <v>6</v>
      </c>
      <c r="EE18">
        <v>3</v>
      </c>
      <c r="EF18"/>
      <c r="EG18"/>
      <c r="EH18"/>
      <c r="EI18"/>
      <c r="EJ18">
        <v>4.5</v>
      </c>
      <c r="EK18"/>
      <c r="EL18"/>
      <c r="EM18"/>
      <c r="EN18"/>
      <c r="EO18"/>
      <c r="EP18"/>
      <c r="EQ18"/>
      <c r="ER18"/>
      <c r="ES18"/>
      <c r="ET18"/>
      <c r="EU18"/>
      <c r="EV18"/>
      <c r="EW18">
        <v>89</v>
      </c>
      <c r="EX18"/>
      <c r="EY18">
        <v>90.5</v>
      </c>
      <c r="EZ18"/>
      <c r="FA18"/>
      <c r="FB18"/>
      <c r="FC18"/>
      <c r="FD18"/>
    </row>
    <row r="19" spans="1:160" x14ac:dyDescent="0.25">
      <c r="A19" s="1" t="str">
        <f t="shared" si="0"/>
        <v>095307002559</v>
      </c>
      <c r="B19" t="s">
        <v>648</v>
      </c>
      <c r="C19" t="s">
        <v>649</v>
      </c>
      <c r="D19" t="s">
        <v>650</v>
      </c>
      <c r="E19" t="s">
        <v>278</v>
      </c>
      <c r="F19" t="s">
        <v>651</v>
      </c>
      <c r="G19" t="s">
        <v>652</v>
      </c>
      <c r="H19" t="s">
        <v>653</v>
      </c>
      <c r="I19" t="s">
        <v>26</v>
      </c>
      <c r="J19" t="s">
        <v>654</v>
      </c>
      <c r="K19" t="s">
        <v>476</v>
      </c>
      <c r="L19"/>
      <c r="M19" t="s">
        <v>287</v>
      </c>
      <c r="N19" t="s">
        <v>288</v>
      </c>
      <c r="O19"/>
      <c r="P19" t="s">
        <v>655</v>
      </c>
      <c r="Q19" t="s">
        <v>656</v>
      </c>
      <c r="R19" t="s">
        <v>287</v>
      </c>
      <c r="S19" t="s">
        <v>287</v>
      </c>
      <c r="T19" t="s">
        <v>287</v>
      </c>
      <c r="U19" t="s">
        <v>657</v>
      </c>
      <c r="V19" t="s">
        <v>658</v>
      </c>
      <c r="W19" t="s">
        <v>659</v>
      </c>
      <c r="X19" t="s">
        <v>660</v>
      </c>
      <c r="Y19" t="s">
        <v>661</v>
      </c>
      <c r="Z19" t="s">
        <v>662</v>
      </c>
      <c r="AA19" t="s">
        <v>287</v>
      </c>
      <c r="AB19"/>
      <c r="AC19"/>
      <c r="AD19"/>
      <c r="AE19"/>
      <c r="AF19" t="s">
        <v>663</v>
      </c>
      <c r="AG19" t="s">
        <v>664</v>
      </c>
      <c r="AH19" t="s">
        <v>665</v>
      </c>
      <c r="AI19" t="s">
        <v>663</v>
      </c>
      <c r="AJ19" t="s">
        <v>664</v>
      </c>
      <c r="AK19" t="s">
        <v>665</v>
      </c>
      <c r="AL19" t="s">
        <v>663</v>
      </c>
      <c r="AM19" t="s">
        <v>664</v>
      </c>
      <c r="AN19" t="s">
        <v>665</v>
      </c>
      <c r="AO19" t="s">
        <v>299</v>
      </c>
      <c r="AP19" t="s">
        <v>388</v>
      </c>
      <c r="AQ19" t="s">
        <v>294</v>
      </c>
      <c r="AR19" t="s">
        <v>666</v>
      </c>
      <c r="AS19" t="s">
        <v>667</v>
      </c>
      <c r="AT19" t="s">
        <v>668</v>
      </c>
      <c r="AU19" t="s">
        <v>305</v>
      </c>
      <c r="AV19"/>
      <c r="AW19" t="s">
        <v>351</v>
      </c>
      <c r="AX19" t="s">
        <v>352</v>
      </c>
      <c r="AY19" t="s">
        <v>526</v>
      </c>
      <c r="AZ19" t="s">
        <v>527</v>
      </c>
      <c r="BA19" t="s">
        <v>610</v>
      </c>
      <c r="BB19" t="s">
        <v>611</v>
      </c>
      <c r="BC19" t="s">
        <v>669</v>
      </c>
      <c r="BD19" t="s">
        <v>353</v>
      </c>
      <c r="BE19" t="s">
        <v>670</v>
      </c>
      <c r="BF19" t="s">
        <v>314</v>
      </c>
      <c r="BG19"/>
      <c r="BH19"/>
      <c r="BI19"/>
      <c r="BJ19"/>
      <c r="BK19"/>
      <c r="BL19"/>
      <c r="BM19" t="s">
        <v>305</v>
      </c>
      <c r="BN19" t="s">
        <v>305</v>
      </c>
      <c r="BO19" t="s">
        <v>671</v>
      </c>
      <c r="BP19" t="s">
        <v>672</v>
      </c>
      <c r="BQ19" t="s">
        <v>673</v>
      </c>
      <c r="BR19">
        <v>6.3</v>
      </c>
      <c r="BS19">
        <v>7.7</v>
      </c>
      <c r="BT19">
        <v>7.7</v>
      </c>
      <c r="BU19">
        <v>7.9</v>
      </c>
      <c r="BV19">
        <v>6.6</v>
      </c>
      <c r="BW19">
        <v>8.1</v>
      </c>
      <c r="BX19">
        <v>0</v>
      </c>
      <c r="BY19">
        <v>7.5</v>
      </c>
      <c r="BZ19">
        <v>7.2</v>
      </c>
      <c r="CA19">
        <v>0</v>
      </c>
      <c r="CB19">
        <v>0</v>
      </c>
      <c r="CC19">
        <v>9</v>
      </c>
      <c r="CD19">
        <v>0</v>
      </c>
      <c r="CE19">
        <v>0</v>
      </c>
      <c r="CF19">
        <v>0</v>
      </c>
      <c r="CG19">
        <v>0</v>
      </c>
      <c r="CH19">
        <v>0</v>
      </c>
      <c r="CI19">
        <v>0</v>
      </c>
      <c r="CJ19">
        <v>0</v>
      </c>
      <c r="CK19">
        <v>0</v>
      </c>
      <c r="CL19">
        <v>0</v>
      </c>
      <c r="CM19">
        <v>7.3</v>
      </c>
      <c r="CN19">
        <v>7.5</v>
      </c>
      <c r="CO19">
        <v>8.6999999999999993</v>
      </c>
      <c r="CP19">
        <v>8.9</v>
      </c>
      <c r="CQ19">
        <v>7</v>
      </c>
      <c r="CR19">
        <v>9.1</v>
      </c>
      <c r="CS19">
        <v>0</v>
      </c>
      <c r="CT19">
        <v>7.4</v>
      </c>
      <c r="CU19">
        <v>7.4</v>
      </c>
      <c r="CV19">
        <v>0</v>
      </c>
      <c r="CW19">
        <v>0</v>
      </c>
      <c r="CX19">
        <v>9.3000000000000007</v>
      </c>
      <c r="CY19">
        <v>0</v>
      </c>
      <c r="CZ19">
        <v>0</v>
      </c>
      <c r="DA19">
        <v>0</v>
      </c>
      <c r="DB19">
        <v>0</v>
      </c>
      <c r="DC19">
        <v>0</v>
      </c>
      <c r="DD19">
        <v>0</v>
      </c>
      <c r="DE19">
        <v>0</v>
      </c>
      <c r="DF19">
        <v>0</v>
      </c>
      <c r="DG19">
        <v>0</v>
      </c>
      <c r="DH19">
        <v>7.4</v>
      </c>
      <c r="DI19">
        <v>7.5</v>
      </c>
      <c r="DJ19">
        <v>8</v>
      </c>
      <c r="DK19">
        <v>8.1</v>
      </c>
      <c r="DL19">
        <v>7.3</v>
      </c>
      <c r="DM19">
        <v>7.9</v>
      </c>
      <c r="DN19">
        <v>0</v>
      </c>
      <c r="DO19">
        <v>7.8</v>
      </c>
      <c r="DP19">
        <v>6.4</v>
      </c>
      <c r="DQ19">
        <v>0</v>
      </c>
      <c r="DR19">
        <v>0</v>
      </c>
      <c r="DS19">
        <v>8.6</v>
      </c>
      <c r="DT19">
        <v>0</v>
      </c>
      <c r="DU19">
        <v>0</v>
      </c>
      <c r="DV19">
        <v>0</v>
      </c>
      <c r="DW19">
        <v>0</v>
      </c>
      <c r="DX19">
        <v>0</v>
      </c>
      <c r="DY19">
        <v>0</v>
      </c>
      <c r="DZ19">
        <v>0</v>
      </c>
      <c r="EA19">
        <v>0</v>
      </c>
      <c r="EB19">
        <v>0</v>
      </c>
      <c r="EC19">
        <v>5.5</v>
      </c>
      <c r="ED19">
        <v>7.25</v>
      </c>
      <c r="EE19">
        <v>4</v>
      </c>
      <c r="EF19"/>
      <c r="EG19">
        <v>5.75</v>
      </c>
      <c r="EH19"/>
      <c r="EI19"/>
      <c r="EJ19"/>
      <c r="EK19"/>
      <c r="EL19"/>
      <c r="EM19"/>
      <c r="EN19"/>
      <c r="EO19"/>
      <c r="EP19"/>
      <c r="EQ19"/>
      <c r="ER19"/>
      <c r="ES19"/>
      <c r="ET19"/>
      <c r="EU19"/>
      <c r="EV19"/>
      <c r="EW19">
        <v>111</v>
      </c>
      <c r="EX19">
        <v>103.5</v>
      </c>
      <c r="EY19">
        <v>75.5</v>
      </c>
      <c r="EZ19"/>
      <c r="FA19"/>
      <c r="FB19"/>
      <c r="FC19"/>
      <c r="FD19"/>
    </row>
    <row r="20" spans="1:160" x14ac:dyDescent="0.25">
      <c r="A20" s="1" t="str">
        <f t="shared" si="0"/>
        <v>083208009377</v>
      </c>
      <c r="B20" t="s">
        <v>674</v>
      </c>
      <c r="C20" t="s">
        <v>675</v>
      </c>
      <c r="D20" t="s">
        <v>676</v>
      </c>
      <c r="E20" t="s">
        <v>280</v>
      </c>
      <c r="F20" t="s">
        <v>677</v>
      </c>
      <c r="G20" t="s">
        <v>678</v>
      </c>
      <c r="H20" t="s">
        <v>679</v>
      </c>
      <c r="I20" t="s">
        <v>81</v>
      </c>
      <c r="J20" t="s">
        <v>680</v>
      </c>
      <c r="K20" t="s">
        <v>321</v>
      </c>
      <c r="L20"/>
      <c r="M20" t="s">
        <v>287</v>
      </c>
      <c r="N20" t="s">
        <v>288</v>
      </c>
      <c r="O20"/>
      <c r="P20" t="s">
        <v>289</v>
      </c>
      <c r="Q20" t="s">
        <v>681</v>
      </c>
      <c r="R20" t="s">
        <v>287</v>
      </c>
      <c r="S20" t="s">
        <v>287</v>
      </c>
      <c r="T20" t="s">
        <v>287</v>
      </c>
      <c r="U20"/>
      <c r="V20"/>
      <c r="W20" t="s">
        <v>294</v>
      </c>
      <c r="X20" t="s">
        <v>682</v>
      </c>
      <c r="Y20" t="s">
        <v>683</v>
      </c>
      <c r="Z20" t="s">
        <v>684</v>
      </c>
      <c r="AA20" t="s">
        <v>596</v>
      </c>
      <c r="AB20" t="s">
        <v>597</v>
      </c>
      <c r="AC20" t="s">
        <v>598</v>
      </c>
      <c r="AD20" t="s">
        <v>685</v>
      </c>
      <c r="AE20" t="s">
        <v>686</v>
      </c>
      <c r="AF20" t="s">
        <v>421</v>
      </c>
      <c r="AG20" t="s">
        <v>687</v>
      </c>
      <c r="AH20" t="s">
        <v>688</v>
      </c>
      <c r="AI20" t="s">
        <v>421</v>
      </c>
      <c r="AJ20" t="s">
        <v>687</v>
      </c>
      <c r="AK20" t="s">
        <v>688</v>
      </c>
      <c r="AL20" t="s">
        <v>421</v>
      </c>
      <c r="AM20" t="s">
        <v>687</v>
      </c>
      <c r="AN20" t="s">
        <v>688</v>
      </c>
      <c r="AO20" t="s">
        <v>299</v>
      </c>
      <c r="AP20" t="s">
        <v>348</v>
      </c>
      <c r="AQ20" t="s">
        <v>689</v>
      </c>
      <c r="AR20" t="s">
        <v>690</v>
      </c>
      <c r="AS20" t="s">
        <v>691</v>
      </c>
      <c r="AT20" t="s">
        <v>689</v>
      </c>
      <c r="AU20" t="s">
        <v>305</v>
      </c>
      <c r="AV20"/>
      <c r="AW20" t="s">
        <v>310</v>
      </c>
      <c r="AX20" t="s">
        <v>311</v>
      </c>
      <c r="AY20" t="s">
        <v>308</v>
      </c>
      <c r="AZ20" t="s">
        <v>309</v>
      </c>
      <c r="BA20" t="s">
        <v>332</v>
      </c>
      <c r="BB20" t="s">
        <v>333</v>
      </c>
      <c r="BC20" t="s">
        <v>312</v>
      </c>
      <c r="BD20" t="s">
        <v>353</v>
      </c>
      <c r="BE20" t="s">
        <v>692</v>
      </c>
      <c r="BF20" t="s">
        <v>314</v>
      </c>
      <c r="BG20"/>
      <c r="BH20"/>
      <c r="BI20"/>
      <c r="BJ20"/>
      <c r="BK20"/>
      <c r="BL20"/>
      <c r="BM20" t="s">
        <v>305</v>
      </c>
      <c r="BN20" t="s">
        <v>354</v>
      </c>
      <c r="BO20" t="s">
        <v>693</v>
      </c>
      <c r="BP20" t="s">
        <v>694</v>
      </c>
      <c r="BQ20"/>
      <c r="BR20">
        <v>6.8</v>
      </c>
      <c r="BS20">
        <v>7.1</v>
      </c>
      <c r="BT20">
        <v>6.7</v>
      </c>
      <c r="BU20">
        <v>9</v>
      </c>
      <c r="BV20">
        <v>7.5</v>
      </c>
      <c r="BW20">
        <v>7.3</v>
      </c>
      <c r="BX20">
        <v>7.7</v>
      </c>
      <c r="BY20">
        <v>0</v>
      </c>
      <c r="BZ20">
        <v>6.9</v>
      </c>
      <c r="CA20">
        <v>0</v>
      </c>
      <c r="CB20">
        <v>8</v>
      </c>
      <c r="CC20">
        <v>0</v>
      </c>
      <c r="CD20">
        <v>0</v>
      </c>
      <c r="CE20">
        <v>0</v>
      </c>
      <c r="CF20">
        <v>0</v>
      </c>
      <c r="CG20">
        <v>0</v>
      </c>
      <c r="CH20">
        <v>0</v>
      </c>
      <c r="CI20">
        <v>0</v>
      </c>
      <c r="CJ20">
        <v>0</v>
      </c>
      <c r="CK20">
        <v>0</v>
      </c>
      <c r="CL20">
        <v>0</v>
      </c>
      <c r="CM20">
        <v>8.5</v>
      </c>
      <c r="CN20">
        <v>6.8</v>
      </c>
      <c r="CO20">
        <v>6.3</v>
      </c>
      <c r="CP20">
        <v>9.3000000000000007</v>
      </c>
      <c r="CQ20">
        <v>8.3000000000000007</v>
      </c>
      <c r="CR20">
        <v>7.8</v>
      </c>
      <c r="CS20">
        <v>6.8</v>
      </c>
      <c r="CT20">
        <v>0</v>
      </c>
      <c r="CU20">
        <v>8.3000000000000007</v>
      </c>
      <c r="CV20">
        <v>0</v>
      </c>
      <c r="CW20">
        <v>8.6999999999999993</v>
      </c>
      <c r="CX20">
        <v>0</v>
      </c>
      <c r="CY20">
        <v>0</v>
      </c>
      <c r="CZ20">
        <v>0</v>
      </c>
      <c r="DA20">
        <v>0</v>
      </c>
      <c r="DB20">
        <v>0</v>
      </c>
      <c r="DC20">
        <v>0</v>
      </c>
      <c r="DD20">
        <v>0</v>
      </c>
      <c r="DE20">
        <v>0</v>
      </c>
      <c r="DF20">
        <v>0</v>
      </c>
      <c r="DG20">
        <v>0</v>
      </c>
      <c r="DH20">
        <v>8.1999999999999993</v>
      </c>
      <c r="DI20">
        <v>8.4</v>
      </c>
      <c r="DJ20">
        <v>7.4</v>
      </c>
      <c r="DK20">
        <v>9.3000000000000007</v>
      </c>
      <c r="DL20">
        <v>9.1</v>
      </c>
      <c r="DM20">
        <v>7.4</v>
      </c>
      <c r="DN20">
        <v>8</v>
      </c>
      <c r="DO20">
        <v>0</v>
      </c>
      <c r="DP20">
        <v>6.5</v>
      </c>
      <c r="DQ20">
        <v>0</v>
      </c>
      <c r="DR20">
        <v>9.1</v>
      </c>
      <c r="DS20">
        <v>0</v>
      </c>
      <c r="DT20">
        <v>0</v>
      </c>
      <c r="DU20">
        <v>0</v>
      </c>
      <c r="DV20">
        <v>0</v>
      </c>
      <c r="DW20">
        <v>0</v>
      </c>
      <c r="DX20">
        <v>0</v>
      </c>
      <c r="DY20">
        <v>0</v>
      </c>
      <c r="DZ20">
        <v>0</v>
      </c>
      <c r="EA20">
        <v>0</v>
      </c>
      <c r="EB20">
        <v>0</v>
      </c>
      <c r="EC20">
        <v>4.75</v>
      </c>
      <c r="ED20">
        <v>6.25</v>
      </c>
      <c r="EE20">
        <v>3.25</v>
      </c>
      <c r="EF20"/>
      <c r="EG20">
        <v>7.75</v>
      </c>
      <c r="EH20"/>
      <c r="EI20"/>
      <c r="EJ20"/>
      <c r="EK20"/>
      <c r="EL20"/>
      <c r="EM20"/>
      <c r="EN20"/>
      <c r="EO20"/>
      <c r="EP20"/>
      <c r="EQ20"/>
      <c r="ER20"/>
      <c r="ES20"/>
      <c r="ET20"/>
      <c r="EU20"/>
      <c r="EV20"/>
      <c r="EW20"/>
      <c r="EX20"/>
      <c r="EY20"/>
      <c r="EZ20"/>
      <c r="FA20"/>
      <c r="FB20"/>
      <c r="FC20"/>
      <c r="FD20"/>
    </row>
    <row r="21" spans="1:160" x14ac:dyDescent="0.25">
      <c r="A21" s="1" t="str">
        <f t="shared" si="0"/>
        <v>077308001983</v>
      </c>
      <c r="B21" t="s">
        <v>695</v>
      </c>
      <c r="C21" t="s">
        <v>696</v>
      </c>
      <c r="D21" t="s">
        <v>697</v>
      </c>
      <c r="E21" t="s">
        <v>278</v>
      </c>
      <c r="F21" t="s">
        <v>698</v>
      </c>
      <c r="G21" t="s">
        <v>699</v>
      </c>
      <c r="H21" t="s">
        <v>700</v>
      </c>
      <c r="I21" t="s">
        <v>98</v>
      </c>
      <c r="J21" t="s">
        <v>701</v>
      </c>
      <c r="K21" t="s">
        <v>321</v>
      </c>
      <c r="L21"/>
      <c r="M21" t="s">
        <v>287</v>
      </c>
      <c r="N21" t="s">
        <v>288</v>
      </c>
      <c r="O21"/>
      <c r="P21" t="s">
        <v>289</v>
      </c>
      <c r="Q21" t="s">
        <v>702</v>
      </c>
      <c r="R21" t="s">
        <v>287</v>
      </c>
      <c r="S21" t="s">
        <v>287</v>
      </c>
      <c r="T21" t="s">
        <v>287</v>
      </c>
      <c r="U21" t="s">
        <v>703</v>
      </c>
      <c r="V21" t="s">
        <v>704</v>
      </c>
      <c r="W21" t="s">
        <v>705</v>
      </c>
      <c r="X21"/>
      <c r="Y21"/>
      <c r="Z21" t="s">
        <v>294</v>
      </c>
      <c r="AA21" t="s">
        <v>287</v>
      </c>
      <c r="AB21"/>
      <c r="AC21"/>
      <c r="AD21"/>
      <c r="AE21"/>
      <c r="AF21" t="s">
        <v>706</v>
      </c>
      <c r="AG21" t="s">
        <v>707</v>
      </c>
      <c r="AH21" t="s">
        <v>708</v>
      </c>
      <c r="AI21" t="s">
        <v>706</v>
      </c>
      <c r="AJ21" t="s">
        <v>707</v>
      </c>
      <c r="AK21" t="s">
        <v>708</v>
      </c>
      <c r="AL21" t="s">
        <v>706</v>
      </c>
      <c r="AM21" t="s">
        <v>707</v>
      </c>
      <c r="AN21" t="s">
        <v>708</v>
      </c>
      <c r="AO21" t="s">
        <v>299</v>
      </c>
      <c r="AP21" t="s">
        <v>388</v>
      </c>
      <c r="AQ21" t="s">
        <v>709</v>
      </c>
      <c r="AR21" t="s">
        <v>710</v>
      </c>
      <c r="AS21" t="s">
        <v>711</v>
      </c>
      <c r="AT21" t="s">
        <v>712</v>
      </c>
      <c r="AU21" t="s">
        <v>305</v>
      </c>
      <c r="AV21"/>
      <c r="AW21" t="s">
        <v>444</v>
      </c>
      <c r="AX21" t="s">
        <v>445</v>
      </c>
      <c r="AY21" t="s">
        <v>545</v>
      </c>
      <c r="AZ21" t="s">
        <v>546</v>
      </c>
      <c r="BA21" t="s">
        <v>610</v>
      </c>
      <c r="BB21" t="s">
        <v>611</v>
      </c>
      <c r="BC21" t="s">
        <v>312</v>
      </c>
      <c r="BD21" t="s">
        <v>353</v>
      </c>
      <c r="BE21"/>
      <c r="BF21" t="s">
        <v>314</v>
      </c>
      <c r="BG21"/>
      <c r="BH21"/>
      <c r="BI21"/>
      <c r="BJ21"/>
      <c r="BK21"/>
      <c r="BL21"/>
      <c r="BM21" t="s">
        <v>305</v>
      </c>
      <c r="BN21" t="s">
        <v>354</v>
      </c>
      <c r="BO21" t="s">
        <v>713</v>
      </c>
      <c r="BP21" t="s">
        <v>714</v>
      </c>
      <c r="BQ21"/>
      <c r="BR21">
        <v>8.6999999999999993</v>
      </c>
      <c r="BS21">
        <v>6.4</v>
      </c>
      <c r="BT21">
        <v>6.4</v>
      </c>
      <c r="BU21">
        <v>9</v>
      </c>
      <c r="BV21">
        <v>6.6</v>
      </c>
      <c r="BW21">
        <v>0</v>
      </c>
      <c r="BX21">
        <v>7.1</v>
      </c>
      <c r="BY21">
        <v>8.9</v>
      </c>
      <c r="BZ21">
        <v>0</v>
      </c>
      <c r="CA21">
        <v>0</v>
      </c>
      <c r="CB21">
        <v>7.4</v>
      </c>
      <c r="CC21">
        <v>7.6</v>
      </c>
      <c r="CD21">
        <v>0</v>
      </c>
      <c r="CE21">
        <v>0</v>
      </c>
      <c r="CF21">
        <v>0</v>
      </c>
      <c r="CG21">
        <v>0</v>
      </c>
      <c r="CH21">
        <v>0</v>
      </c>
      <c r="CI21">
        <v>0</v>
      </c>
      <c r="CJ21">
        <v>0</v>
      </c>
      <c r="CK21">
        <v>0</v>
      </c>
      <c r="CL21">
        <v>0</v>
      </c>
      <c r="CM21">
        <v>8</v>
      </c>
      <c r="CN21">
        <v>7</v>
      </c>
      <c r="CO21">
        <v>7.8</v>
      </c>
      <c r="CP21">
        <v>6.8</v>
      </c>
      <c r="CQ21">
        <v>7</v>
      </c>
      <c r="CR21">
        <v>0</v>
      </c>
      <c r="CS21">
        <v>7.6</v>
      </c>
      <c r="CT21">
        <v>8.8000000000000007</v>
      </c>
      <c r="CU21">
        <v>0</v>
      </c>
      <c r="CV21">
        <v>0</v>
      </c>
      <c r="CW21">
        <v>9</v>
      </c>
      <c r="CX21">
        <v>8.9</v>
      </c>
      <c r="CY21">
        <v>0</v>
      </c>
      <c r="CZ21">
        <v>0</v>
      </c>
      <c r="DA21">
        <v>0</v>
      </c>
      <c r="DB21">
        <v>0</v>
      </c>
      <c r="DC21">
        <v>0</v>
      </c>
      <c r="DD21">
        <v>0</v>
      </c>
      <c r="DE21">
        <v>0</v>
      </c>
      <c r="DF21">
        <v>0</v>
      </c>
      <c r="DG21">
        <v>0</v>
      </c>
      <c r="DH21">
        <v>8.1</v>
      </c>
      <c r="DI21">
        <v>7.1</v>
      </c>
      <c r="DJ21">
        <v>7.5</v>
      </c>
      <c r="DK21">
        <v>8.6999999999999993</v>
      </c>
      <c r="DL21">
        <v>7.9</v>
      </c>
      <c r="DM21">
        <v>0</v>
      </c>
      <c r="DN21">
        <v>7.9</v>
      </c>
      <c r="DO21">
        <v>8.6999999999999993</v>
      </c>
      <c r="DP21">
        <v>0</v>
      </c>
      <c r="DQ21">
        <v>0</v>
      </c>
      <c r="DR21">
        <v>8.9</v>
      </c>
      <c r="DS21">
        <v>9.1</v>
      </c>
      <c r="DT21">
        <v>0</v>
      </c>
      <c r="DU21">
        <v>0</v>
      </c>
      <c r="DV21">
        <v>0</v>
      </c>
      <c r="DW21">
        <v>0</v>
      </c>
      <c r="DX21">
        <v>0</v>
      </c>
      <c r="DY21">
        <v>0</v>
      </c>
      <c r="DZ21">
        <v>0</v>
      </c>
      <c r="EA21">
        <v>0</v>
      </c>
      <c r="EB21">
        <v>0</v>
      </c>
      <c r="EC21">
        <v>8</v>
      </c>
      <c r="ED21">
        <v>6.75</v>
      </c>
      <c r="EE21">
        <v>2.25</v>
      </c>
      <c r="EF21"/>
      <c r="EG21"/>
      <c r="EH21"/>
      <c r="EI21"/>
      <c r="EJ21">
        <v>5.75</v>
      </c>
      <c r="EK21"/>
      <c r="EL21"/>
      <c r="EM21"/>
      <c r="EN21"/>
      <c r="EO21"/>
      <c r="EP21"/>
      <c r="EQ21"/>
      <c r="ER21"/>
      <c r="ES21"/>
      <c r="ET21"/>
      <c r="EU21"/>
      <c r="EV21"/>
      <c r="EW21"/>
      <c r="EX21"/>
      <c r="EY21"/>
      <c r="EZ21"/>
      <c r="FA21"/>
      <c r="FB21"/>
      <c r="FC21"/>
      <c r="FD21"/>
    </row>
    <row r="22" spans="1:160" x14ac:dyDescent="0.25">
      <c r="A22" s="1" t="str">
        <f t="shared" si="0"/>
        <v>095308002044</v>
      </c>
      <c r="B22" t="s">
        <v>715</v>
      </c>
      <c r="C22" t="s">
        <v>716</v>
      </c>
      <c r="D22" t="s">
        <v>717</v>
      </c>
      <c r="E22" t="s">
        <v>278</v>
      </c>
      <c r="F22" t="s">
        <v>718</v>
      </c>
      <c r="G22" t="s">
        <v>719</v>
      </c>
      <c r="H22" t="s">
        <v>720</v>
      </c>
      <c r="I22" t="s">
        <v>25</v>
      </c>
      <c r="J22" t="s">
        <v>721</v>
      </c>
      <c r="K22" t="s">
        <v>516</v>
      </c>
      <c r="L22"/>
      <c r="M22" t="s">
        <v>287</v>
      </c>
      <c r="N22" t="s">
        <v>288</v>
      </c>
      <c r="O22"/>
      <c r="P22" t="s">
        <v>289</v>
      </c>
      <c r="Q22" t="s">
        <v>722</v>
      </c>
      <c r="R22" t="s">
        <v>287</v>
      </c>
      <c r="S22" t="s">
        <v>287</v>
      </c>
      <c r="T22" t="s">
        <v>287</v>
      </c>
      <c r="U22" t="s">
        <v>723</v>
      </c>
      <c r="V22" t="s">
        <v>724</v>
      </c>
      <c r="W22" t="s">
        <v>725</v>
      </c>
      <c r="X22"/>
      <c r="Y22"/>
      <c r="Z22" t="s">
        <v>294</v>
      </c>
      <c r="AA22" t="s">
        <v>287</v>
      </c>
      <c r="AB22"/>
      <c r="AC22"/>
      <c r="AD22"/>
      <c r="AE22"/>
      <c r="AF22" t="s">
        <v>663</v>
      </c>
      <c r="AG22" t="s">
        <v>726</v>
      </c>
      <c r="AH22" t="s">
        <v>727</v>
      </c>
      <c r="AI22" t="s">
        <v>663</v>
      </c>
      <c r="AJ22" t="s">
        <v>726</v>
      </c>
      <c r="AK22" t="s">
        <v>727</v>
      </c>
      <c r="AL22" t="s">
        <v>663</v>
      </c>
      <c r="AM22" t="s">
        <v>728</v>
      </c>
      <c r="AN22" t="s">
        <v>727</v>
      </c>
      <c r="AO22" t="s">
        <v>299</v>
      </c>
      <c r="AP22" t="s">
        <v>388</v>
      </c>
      <c r="AQ22" t="s">
        <v>294</v>
      </c>
      <c r="AR22" t="s">
        <v>729</v>
      </c>
      <c r="AS22" t="s">
        <v>730</v>
      </c>
      <c r="AT22" t="s">
        <v>731</v>
      </c>
      <c r="AU22" t="s">
        <v>305</v>
      </c>
      <c r="AV22"/>
      <c r="AW22" t="s">
        <v>310</v>
      </c>
      <c r="AX22" t="s">
        <v>311</v>
      </c>
      <c r="AY22"/>
      <c r="AZ22"/>
      <c r="BA22"/>
      <c r="BB22"/>
      <c r="BC22" t="s">
        <v>312</v>
      </c>
      <c r="BD22" t="s">
        <v>353</v>
      </c>
      <c r="BE22" t="s">
        <v>732</v>
      </c>
      <c r="BF22" t="s">
        <v>314</v>
      </c>
      <c r="BG22"/>
      <c r="BH22"/>
      <c r="BI22"/>
      <c r="BJ22"/>
      <c r="BK22"/>
      <c r="BL22"/>
      <c r="BM22" t="s">
        <v>305</v>
      </c>
      <c r="BN22" t="s">
        <v>354</v>
      </c>
      <c r="BO22" t="s">
        <v>733</v>
      </c>
      <c r="BP22" t="s">
        <v>734</v>
      </c>
      <c r="BQ22"/>
      <c r="BR22">
        <v>6.8</v>
      </c>
      <c r="BS22">
        <v>7.5</v>
      </c>
      <c r="BT22">
        <v>7.6</v>
      </c>
      <c r="BU22">
        <v>9</v>
      </c>
      <c r="BV22">
        <v>8.8000000000000007</v>
      </c>
      <c r="BW22">
        <v>0</v>
      </c>
      <c r="BX22">
        <v>8.6999999999999993</v>
      </c>
      <c r="BY22">
        <v>5.9</v>
      </c>
      <c r="BZ22">
        <v>6.5</v>
      </c>
      <c r="CA22">
        <v>6.6</v>
      </c>
      <c r="CB22">
        <v>0</v>
      </c>
      <c r="CC22">
        <v>0</v>
      </c>
      <c r="CD22">
        <v>0</v>
      </c>
      <c r="CE22">
        <v>0</v>
      </c>
      <c r="CF22">
        <v>0</v>
      </c>
      <c r="CG22">
        <v>0</v>
      </c>
      <c r="CH22">
        <v>0</v>
      </c>
      <c r="CI22">
        <v>0</v>
      </c>
      <c r="CJ22">
        <v>0</v>
      </c>
      <c r="CK22">
        <v>0</v>
      </c>
      <c r="CL22">
        <v>0</v>
      </c>
      <c r="CM22">
        <v>6.3</v>
      </c>
      <c r="CN22">
        <v>7.7</v>
      </c>
      <c r="CO22">
        <v>7.8</v>
      </c>
      <c r="CP22">
        <v>9</v>
      </c>
      <c r="CQ22">
        <v>8.4</v>
      </c>
      <c r="CR22">
        <v>0</v>
      </c>
      <c r="CS22">
        <v>8.1999999999999993</v>
      </c>
      <c r="CT22">
        <v>6.7</v>
      </c>
      <c r="CU22">
        <v>6.6</v>
      </c>
      <c r="CV22">
        <v>8.4</v>
      </c>
      <c r="CW22">
        <v>0</v>
      </c>
      <c r="CX22">
        <v>0</v>
      </c>
      <c r="CY22">
        <v>0</v>
      </c>
      <c r="CZ22">
        <v>0</v>
      </c>
      <c r="DA22">
        <v>0</v>
      </c>
      <c r="DB22">
        <v>0</v>
      </c>
      <c r="DC22">
        <v>0</v>
      </c>
      <c r="DD22">
        <v>0</v>
      </c>
      <c r="DE22">
        <v>0</v>
      </c>
      <c r="DF22">
        <v>0</v>
      </c>
      <c r="DG22">
        <v>0</v>
      </c>
      <c r="DH22">
        <v>7.1</v>
      </c>
      <c r="DI22">
        <v>8.1</v>
      </c>
      <c r="DJ22">
        <v>6.8</v>
      </c>
      <c r="DK22">
        <v>9</v>
      </c>
      <c r="DL22">
        <v>9.5</v>
      </c>
      <c r="DM22">
        <v>0</v>
      </c>
      <c r="DN22">
        <v>8.4</v>
      </c>
      <c r="DO22">
        <v>7</v>
      </c>
      <c r="DP22">
        <v>7.7</v>
      </c>
      <c r="DQ22">
        <v>8.6999999999999993</v>
      </c>
      <c r="DR22">
        <v>0</v>
      </c>
      <c r="DS22">
        <v>0</v>
      </c>
      <c r="DT22">
        <v>0</v>
      </c>
      <c r="DU22">
        <v>0</v>
      </c>
      <c r="DV22">
        <v>0</v>
      </c>
      <c r="DW22">
        <v>0</v>
      </c>
      <c r="DX22">
        <v>0</v>
      </c>
      <c r="DY22">
        <v>0</v>
      </c>
      <c r="DZ22">
        <v>0</v>
      </c>
      <c r="EA22">
        <v>0</v>
      </c>
      <c r="EB22">
        <v>0</v>
      </c>
      <c r="EC22">
        <v>5.5</v>
      </c>
      <c r="ED22">
        <v>7.5</v>
      </c>
      <c r="EE22"/>
      <c r="EF22"/>
      <c r="EG22"/>
      <c r="EH22"/>
      <c r="EI22"/>
      <c r="EJ22">
        <v>5.75</v>
      </c>
      <c r="EK22"/>
      <c r="EL22">
        <v>6.5</v>
      </c>
      <c r="EM22"/>
      <c r="EN22"/>
      <c r="EO22"/>
      <c r="EP22"/>
      <c r="EQ22"/>
      <c r="ER22"/>
      <c r="ES22"/>
      <c r="ET22"/>
      <c r="EU22"/>
      <c r="EV22"/>
      <c r="EW22"/>
      <c r="EX22"/>
      <c r="EY22"/>
      <c r="EZ22"/>
      <c r="FA22"/>
      <c r="FB22">
        <v>106.5</v>
      </c>
      <c r="FC22"/>
      <c r="FD22"/>
    </row>
    <row r="23" spans="1:160" x14ac:dyDescent="0.25">
      <c r="A23" s="1" t="str">
        <f t="shared" si="0"/>
        <v>086302008256</v>
      </c>
      <c r="B23" t="s">
        <v>735</v>
      </c>
      <c r="C23" t="s">
        <v>736</v>
      </c>
      <c r="D23" t="s">
        <v>737</v>
      </c>
      <c r="E23" t="s">
        <v>280</v>
      </c>
      <c r="F23" t="s">
        <v>738</v>
      </c>
      <c r="G23" t="s">
        <v>319</v>
      </c>
      <c r="H23" t="s">
        <v>320</v>
      </c>
      <c r="I23" t="s">
        <v>739</v>
      </c>
      <c r="J23" t="s">
        <v>740</v>
      </c>
      <c r="K23" t="s">
        <v>321</v>
      </c>
      <c r="L23" t="s">
        <v>322</v>
      </c>
      <c r="M23" t="s">
        <v>322</v>
      </c>
      <c r="N23" t="s">
        <v>288</v>
      </c>
      <c r="O23"/>
      <c r="P23" t="s">
        <v>289</v>
      </c>
      <c r="Q23" t="s">
        <v>741</v>
      </c>
      <c r="R23" t="s">
        <v>742</v>
      </c>
      <c r="S23" t="s">
        <v>289</v>
      </c>
      <c r="T23" t="s">
        <v>743</v>
      </c>
      <c r="U23" t="s">
        <v>744</v>
      </c>
      <c r="V23" t="s">
        <v>745</v>
      </c>
      <c r="W23" t="s">
        <v>746</v>
      </c>
      <c r="X23"/>
      <c r="Y23"/>
      <c r="Z23" t="s">
        <v>294</v>
      </c>
      <c r="AA23" t="s">
        <v>596</v>
      </c>
      <c r="AB23" t="s">
        <v>747</v>
      </c>
      <c r="AC23" t="s">
        <v>566</v>
      </c>
      <c r="AD23" t="s">
        <v>748</v>
      </c>
      <c r="AE23" t="s">
        <v>749</v>
      </c>
      <c r="AF23" t="s">
        <v>421</v>
      </c>
      <c r="AG23" t="s">
        <v>750</v>
      </c>
      <c r="AH23" t="s">
        <v>751</v>
      </c>
      <c r="AI23" t="s">
        <v>421</v>
      </c>
      <c r="AJ23" t="s">
        <v>750</v>
      </c>
      <c r="AK23" t="s">
        <v>751</v>
      </c>
      <c r="AL23" t="s">
        <v>421</v>
      </c>
      <c r="AM23" t="s">
        <v>750</v>
      </c>
      <c r="AN23" t="s">
        <v>751</v>
      </c>
      <c r="AO23" t="s">
        <v>299</v>
      </c>
      <c r="AP23" t="s">
        <v>348</v>
      </c>
      <c r="AQ23" t="s">
        <v>326</v>
      </c>
      <c r="AR23" t="s">
        <v>404</v>
      </c>
      <c r="AS23" t="s">
        <v>752</v>
      </c>
      <c r="AT23" t="s">
        <v>370</v>
      </c>
      <c r="AU23" t="s">
        <v>305</v>
      </c>
      <c r="AV23"/>
      <c r="AW23" t="s">
        <v>310</v>
      </c>
      <c r="AX23" t="s">
        <v>311</v>
      </c>
      <c r="AY23" t="s">
        <v>545</v>
      </c>
      <c r="AZ23" t="s">
        <v>546</v>
      </c>
      <c r="BA23" t="s">
        <v>562</v>
      </c>
      <c r="BB23" t="s">
        <v>563</v>
      </c>
      <c r="BC23" t="s">
        <v>312</v>
      </c>
      <c r="BD23" t="s">
        <v>313</v>
      </c>
      <c r="BE23"/>
      <c r="BF23" t="s">
        <v>314</v>
      </c>
      <c r="BG23"/>
      <c r="BH23"/>
      <c r="BI23"/>
      <c r="BJ23"/>
      <c r="BK23"/>
      <c r="BL23"/>
      <c r="BM23" t="s">
        <v>305</v>
      </c>
      <c r="BN23" t="s">
        <v>305</v>
      </c>
      <c r="BO23" t="s">
        <v>753</v>
      </c>
      <c r="BP23" t="s">
        <v>754</v>
      </c>
      <c r="BQ23" t="s">
        <v>755</v>
      </c>
      <c r="BR23">
        <v>7.5</v>
      </c>
      <c r="BS23">
        <v>8</v>
      </c>
      <c r="BT23">
        <v>9</v>
      </c>
      <c r="BU23">
        <v>8</v>
      </c>
      <c r="BV23">
        <v>0</v>
      </c>
      <c r="BW23">
        <v>8.5</v>
      </c>
      <c r="BX23">
        <v>8</v>
      </c>
      <c r="BY23">
        <v>9.5</v>
      </c>
      <c r="BZ23">
        <v>6</v>
      </c>
      <c r="CA23">
        <v>0</v>
      </c>
      <c r="CB23">
        <v>0</v>
      </c>
      <c r="CC23">
        <v>9.5</v>
      </c>
      <c r="CD23">
        <v>0</v>
      </c>
      <c r="CE23">
        <v>0</v>
      </c>
      <c r="CF23">
        <v>0</v>
      </c>
      <c r="CG23">
        <v>0</v>
      </c>
      <c r="CH23">
        <v>0</v>
      </c>
      <c r="CI23">
        <v>0</v>
      </c>
      <c r="CJ23">
        <v>0</v>
      </c>
      <c r="CK23">
        <v>0</v>
      </c>
      <c r="CL23">
        <v>0</v>
      </c>
      <c r="CM23">
        <v>8.8000000000000007</v>
      </c>
      <c r="CN23">
        <v>7</v>
      </c>
      <c r="CO23">
        <v>9.5</v>
      </c>
      <c r="CP23">
        <v>9</v>
      </c>
      <c r="CQ23">
        <v>0</v>
      </c>
      <c r="CR23">
        <v>8.5</v>
      </c>
      <c r="CS23">
        <v>7</v>
      </c>
      <c r="CT23">
        <v>9.5</v>
      </c>
      <c r="CU23">
        <v>6.8</v>
      </c>
      <c r="CV23">
        <v>0</v>
      </c>
      <c r="CW23">
        <v>0</v>
      </c>
      <c r="CX23">
        <v>8.5</v>
      </c>
      <c r="CY23">
        <v>0</v>
      </c>
      <c r="CZ23">
        <v>0</v>
      </c>
      <c r="DA23">
        <v>0</v>
      </c>
      <c r="DB23">
        <v>0</v>
      </c>
      <c r="DC23">
        <v>0</v>
      </c>
      <c r="DD23">
        <v>0</v>
      </c>
      <c r="DE23">
        <v>0</v>
      </c>
      <c r="DF23">
        <v>0</v>
      </c>
      <c r="DG23">
        <v>0</v>
      </c>
      <c r="DH23">
        <v>9</v>
      </c>
      <c r="DI23">
        <v>6.5</v>
      </c>
      <c r="DJ23">
        <v>9</v>
      </c>
      <c r="DK23">
        <v>9.5</v>
      </c>
      <c r="DL23">
        <v>0</v>
      </c>
      <c r="DM23">
        <v>9</v>
      </c>
      <c r="DN23">
        <v>8</v>
      </c>
      <c r="DO23">
        <v>9</v>
      </c>
      <c r="DP23">
        <v>7</v>
      </c>
      <c r="DQ23">
        <v>0</v>
      </c>
      <c r="DR23">
        <v>0</v>
      </c>
      <c r="DS23">
        <v>10</v>
      </c>
      <c r="DT23">
        <v>0</v>
      </c>
      <c r="DU23">
        <v>0</v>
      </c>
      <c r="DV23">
        <v>0</v>
      </c>
      <c r="DW23">
        <v>0</v>
      </c>
      <c r="DX23">
        <v>0</v>
      </c>
      <c r="DY23">
        <v>0</v>
      </c>
      <c r="DZ23">
        <v>0</v>
      </c>
      <c r="EA23">
        <v>0</v>
      </c>
      <c r="EB23">
        <v>0</v>
      </c>
      <c r="EC23">
        <v>9</v>
      </c>
      <c r="ED23">
        <v>6</v>
      </c>
      <c r="EE23">
        <v>9</v>
      </c>
      <c r="EF23"/>
      <c r="EG23"/>
      <c r="EH23"/>
      <c r="EI23"/>
      <c r="EJ23">
        <v>8.5</v>
      </c>
      <c r="EK23"/>
      <c r="EL23"/>
      <c r="EM23"/>
      <c r="EN23"/>
      <c r="EO23"/>
      <c r="EP23"/>
      <c r="EQ23"/>
      <c r="ER23"/>
      <c r="ES23"/>
      <c r="ET23"/>
      <c r="EU23"/>
      <c r="EV23"/>
      <c r="EW23">
        <v>100</v>
      </c>
      <c r="EX23">
        <v>96.5</v>
      </c>
      <c r="EY23">
        <v>80</v>
      </c>
      <c r="EZ23"/>
      <c r="FA23"/>
      <c r="FB23"/>
      <c r="FC23"/>
      <c r="FD23"/>
    </row>
    <row r="24" spans="1:160" x14ac:dyDescent="0.25">
      <c r="A24" s="1" t="str">
        <f t="shared" si="0"/>
        <v>034308005716</v>
      </c>
      <c r="B24" t="s">
        <v>758</v>
      </c>
      <c r="C24" t="s">
        <v>759</v>
      </c>
      <c r="D24" t="s">
        <v>584</v>
      </c>
      <c r="E24" t="s">
        <v>278</v>
      </c>
      <c r="F24" t="s">
        <v>585</v>
      </c>
      <c r="G24" t="s">
        <v>586</v>
      </c>
      <c r="H24" t="s">
        <v>587</v>
      </c>
      <c r="I24" t="s">
        <v>117</v>
      </c>
      <c r="J24" t="s">
        <v>588</v>
      </c>
      <c r="K24" t="s">
        <v>286</v>
      </c>
      <c r="L24"/>
      <c r="M24" t="s">
        <v>287</v>
      </c>
      <c r="N24" t="s">
        <v>288</v>
      </c>
      <c r="O24"/>
      <c r="P24" t="s">
        <v>289</v>
      </c>
      <c r="Q24" t="s">
        <v>589</v>
      </c>
      <c r="R24" t="s">
        <v>287</v>
      </c>
      <c r="S24" t="s">
        <v>287</v>
      </c>
      <c r="T24" t="s">
        <v>287</v>
      </c>
      <c r="U24" t="s">
        <v>590</v>
      </c>
      <c r="V24" t="s">
        <v>591</v>
      </c>
      <c r="W24" t="s">
        <v>592</v>
      </c>
      <c r="X24" t="s">
        <v>593</v>
      </c>
      <c r="Y24" t="s">
        <v>594</v>
      </c>
      <c r="Z24" t="s">
        <v>595</v>
      </c>
      <c r="AA24" t="s">
        <v>596</v>
      </c>
      <c r="AB24" t="s">
        <v>597</v>
      </c>
      <c r="AC24" t="s">
        <v>598</v>
      </c>
      <c r="AD24" t="s">
        <v>599</v>
      </c>
      <c r="AE24" t="s">
        <v>760</v>
      </c>
      <c r="AF24" t="s">
        <v>600</v>
      </c>
      <c r="AG24" t="s">
        <v>601</v>
      </c>
      <c r="AH24" t="s">
        <v>602</v>
      </c>
      <c r="AI24" t="s">
        <v>600</v>
      </c>
      <c r="AJ24" t="s">
        <v>601</v>
      </c>
      <c r="AK24" t="s">
        <v>602</v>
      </c>
      <c r="AL24" t="s">
        <v>600</v>
      </c>
      <c r="AM24" t="s">
        <v>601</v>
      </c>
      <c r="AN24" t="s">
        <v>602</v>
      </c>
      <c r="AO24" t="s">
        <v>299</v>
      </c>
      <c r="AP24" t="s">
        <v>348</v>
      </c>
      <c r="AQ24" t="s">
        <v>604</v>
      </c>
      <c r="AR24" t="s">
        <v>605</v>
      </c>
      <c r="AS24" t="s">
        <v>606</v>
      </c>
      <c r="AT24" t="s">
        <v>607</v>
      </c>
      <c r="AU24" t="s">
        <v>305</v>
      </c>
      <c r="AV24"/>
      <c r="AW24" t="s">
        <v>444</v>
      </c>
      <c r="AX24" t="s">
        <v>445</v>
      </c>
      <c r="AY24" t="s">
        <v>608</v>
      </c>
      <c r="AZ24" t="s">
        <v>609</v>
      </c>
      <c r="BA24" t="s">
        <v>610</v>
      </c>
      <c r="BB24" t="s">
        <v>611</v>
      </c>
      <c r="BC24" t="s">
        <v>312</v>
      </c>
      <c r="BD24" t="s">
        <v>353</v>
      </c>
      <c r="BE24"/>
      <c r="BF24" t="s">
        <v>314</v>
      </c>
      <c r="BG24"/>
      <c r="BH24"/>
      <c r="BI24"/>
      <c r="BJ24"/>
      <c r="BK24"/>
      <c r="BL24"/>
      <c r="BM24" t="s">
        <v>305</v>
      </c>
      <c r="BN24" t="s">
        <v>354</v>
      </c>
      <c r="BO24" t="s">
        <v>761</v>
      </c>
      <c r="BP24" t="s">
        <v>762</v>
      </c>
      <c r="BQ24"/>
      <c r="BR24">
        <v>8.5</v>
      </c>
      <c r="BS24">
        <v>7.2</v>
      </c>
      <c r="BT24">
        <v>8.6999999999999993</v>
      </c>
      <c r="BU24">
        <v>9.4</v>
      </c>
      <c r="BV24">
        <v>8.6999999999999993</v>
      </c>
      <c r="BW24">
        <v>0</v>
      </c>
      <c r="BX24">
        <v>0</v>
      </c>
      <c r="BY24">
        <v>8.9</v>
      </c>
      <c r="BZ24">
        <v>8.6</v>
      </c>
      <c r="CA24">
        <v>8.6999999999999993</v>
      </c>
      <c r="CB24">
        <v>9.4</v>
      </c>
      <c r="CC24">
        <v>0</v>
      </c>
      <c r="CD24">
        <v>0</v>
      </c>
      <c r="CE24">
        <v>0</v>
      </c>
      <c r="CF24">
        <v>0</v>
      </c>
      <c r="CG24">
        <v>0</v>
      </c>
      <c r="CH24">
        <v>0</v>
      </c>
      <c r="CI24">
        <v>0</v>
      </c>
      <c r="CJ24">
        <v>0</v>
      </c>
      <c r="CK24">
        <v>0</v>
      </c>
      <c r="CL24">
        <v>0</v>
      </c>
      <c r="CM24">
        <v>7.4</v>
      </c>
      <c r="CN24">
        <v>7.5</v>
      </c>
      <c r="CO24">
        <v>8.5</v>
      </c>
      <c r="CP24">
        <v>9.4</v>
      </c>
      <c r="CQ24">
        <v>8.5</v>
      </c>
      <c r="CR24">
        <v>0</v>
      </c>
      <c r="CS24">
        <v>0</v>
      </c>
      <c r="CT24">
        <v>7.9</v>
      </c>
      <c r="CU24">
        <v>7.4</v>
      </c>
      <c r="CV24">
        <v>7.6</v>
      </c>
      <c r="CW24">
        <v>8.8000000000000007</v>
      </c>
      <c r="CX24">
        <v>0</v>
      </c>
      <c r="CY24">
        <v>0</v>
      </c>
      <c r="CZ24">
        <v>0</v>
      </c>
      <c r="DA24">
        <v>0</v>
      </c>
      <c r="DB24">
        <v>0</v>
      </c>
      <c r="DC24">
        <v>0</v>
      </c>
      <c r="DD24">
        <v>0</v>
      </c>
      <c r="DE24">
        <v>0</v>
      </c>
      <c r="DF24">
        <v>0</v>
      </c>
      <c r="DG24">
        <v>0</v>
      </c>
      <c r="DH24">
        <v>8.8000000000000007</v>
      </c>
      <c r="DI24">
        <v>7.5</v>
      </c>
      <c r="DJ24">
        <v>9.3000000000000007</v>
      </c>
      <c r="DK24">
        <v>9.6</v>
      </c>
      <c r="DL24">
        <v>9.4</v>
      </c>
      <c r="DM24">
        <v>0</v>
      </c>
      <c r="DN24">
        <v>0</v>
      </c>
      <c r="DO24">
        <v>8.9</v>
      </c>
      <c r="DP24">
        <v>8.8000000000000007</v>
      </c>
      <c r="DQ24">
        <v>8.5</v>
      </c>
      <c r="DR24">
        <v>9.6</v>
      </c>
      <c r="DS24">
        <v>0</v>
      </c>
      <c r="DT24">
        <v>0</v>
      </c>
      <c r="DU24">
        <v>0</v>
      </c>
      <c r="DV24">
        <v>0</v>
      </c>
      <c r="DW24">
        <v>0</v>
      </c>
      <c r="DX24">
        <v>0</v>
      </c>
      <c r="DY24">
        <v>0</v>
      </c>
      <c r="DZ24">
        <v>0</v>
      </c>
      <c r="EA24">
        <v>0</v>
      </c>
      <c r="EB24">
        <v>0</v>
      </c>
      <c r="EC24">
        <v>5.75</v>
      </c>
      <c r="ED24">
        <v>7.5</v>
      </c>
      <c r="EE24">
        <v>3.25</v>
      </c>
      <c r="EF24"/>
      <c r="EG24"/>
      <c r="EH24"/>
      <c r="EI24"/>
      <c r="EJ24">
        <v>5.5</v>
      </c>
      <c r="EK24"/>
      <c r="EL24"/>
      <c r="EM24"/>
      <c r="EN24"/>
      <c r="EO24"/>
      <c r="EP24"/>
      <c r="EQ24"/>
      <c r="ER24"/>
      <c r="ES24"/>
      <c r="ET24"/>
      <c r="EU24"/>
      <c r="EV24"/>
      <c r="EW24"/>
      <c r="EX24"/>
      <c r="EY24"/>
      <c r="EZ24"/>
      <c r="FA24"/>
      <c r="FB24"/>
      <c r="FC24"/>
      <c r="FD24"/>
    </row>
    <row r="25" spans="1:160" x14ac:dyDescent="0.25">
      <c r="A25" s="1" t="str">
        <f t="shared" si="0"/>
        <v>079308045991</v>
      </c>
      <c r="B25" t="s">
        <v>763</v>
      </c>
      <c r="C25" t="s">
        <v>764</v>
      </c>
      <c r="D25" t="s">
        <v>765</v>
      </c>
      <c r="E25" t="s">
        <v>278</v>
      </c>
      <c r="F25" t="s">
        <v>766</v>
      </c>
      <c r="G25" t="s">
        <v>767</v>
      </c>
      <c r="H25" t="s">
        <v>768</v>
      </c>
      <c r="I25" t="s">
        <v>94</v>
      </c>
      <c r="J25" t="s">
        <v>769</v>
      </c>
      <c r="K25" t="s">
        <v>516</v>
      </c>
      <c r="L25"/>
      <c r="M25" t="s">
        <v>287</v>
      </c>
      <c r="N25" t="s">
        <v>288</v>
      </c>
      <c r="O25"/>
      <c r="P25" t="s">
        <v>289</v>
      </c>
      <c r="Q25" t="s">
        <v>770</v>
      </c>
      <c r="R25" t="s">
        <v>287</v>
      </c>
      <c r="S25" t="s">
        <v>287</v>
      </c>
      <c r="T25" t="s">
        <v>287</v>
      </c>
      <c r="U25" t="s">
        <v>771</v>
      </c>
      <c r="V25" t="s">
        <v>772</v>
      </c>
      <c r="W25" t="s">
        <v>773</v>
      </c>
      <c r="X25" t="s">
        <v>774</v>
      </c>
      <c r="Y25" t="s">
        <v>775</v>
      </c>
      <c r="Z25" t="s">
        <v>776</v>
      </c>
      <c r="AA25" t="s">
        <v>287</v>
      </c>
      <c r="AB25"/>
      <c r="AC25"/>
      <c r="AD25"/>
      <c r="AE25"/>
      <c r="AF25" t="s">
        <v>421</v>
      </c>
      <c r="AG25" t="s">
        <v>777</v>
      </c>
      <c r="AH25" t="s">
        <v>778</v>
      </c>
      <c r="AI25" t="s">
        <v>421</v>
      </c>
      <c r="AJ25" t="s">
        <v>777</v>
      </c>
      <c r="AK25" t="s">
        <v>778</v>
      </c>
      <c r="AL25" t="s">
        <v>421</v>
      </c>
      <c r="AM25" t="s">
        <v>777</v>
      </c>
      <c r="AN25" t="s">
        <v>778</v>
      </c>
      <c r="AO25" t="s">
        <v>299</v>
      </c>
      <c r="AP25" t="s">
        <v>348</v>
      </c>
      <c r="AQ25" t="s">
        <v>294</v>
      </c>
      <c r="AR25" t="s">
        <v>779</v>
      </c>
      <c r="AS25" t="s">
        <v>780</v>
      </c>
      <c r="AT25" t="s">
        <v>781</v>
      </c>
      <c r="AU25" t="s">
        <v>305</v>
      </c>
      <c r="AV25"/>
      <c r="AW25" t="s">
        <v>608</v>
      </c>
      <c r="AX25" t="s">
        <v>609</v>
      </c>
      <c r="AY25"/>
      <c r="AZ25"/>
      <c r="BA25"/>
      <c r="BB25"/>
      <c r="BC25" t="s">
        <v>312</v>
      </c>
      <c r="BD25" t="s">
        <v>353</v>
      </c>
      <c r="BE25"/>
      <c r="BF25" t="s">
        <v>314</v>
      </c>
      <c r="BG25"/>
      <c r="BH25"/>
      <c r="BI25"/>
      <c r="BJ25"/>
      <c r="BK25"/>
      <c r="BL25"/>
      <c r="BM25" t="s">
        <v>305</v>
      </c>
      <c r="BN25" t="s">
        <v>354</v>
      </c>
      <c r="BO25" t="s">
        <v>782</v>
      </c>
      <c r="BP25" t="s">
        <v>783</v>
      </c>
      <c r="BQ25"/>
      <c r="BR25">
        <v>8.1999999999999993</v>
      </c>
      <c r="BS25">
        <v>9.4</v>
      </c>
      <c r="BT25">
        <v>8</v>
      </c>
      <c r="BU25">
        <v>8.6</v>
      </c>
      <c r="BV25">
        <v>8.1</v>
      </c>
      <c r="BW25">
        <v>0</v>
      </c>
      <c r="BX25">
        <v>7.9</v>
      </c>
      <c r="BY25">
        <v>0</v>
      </c>
      <c r="BZ25">
        <v>0</v>
      </c>
      <c r="CA25">
        <v>8</v>
      </c>
      <c r="CB25">
        <v>9.1999999999999993</v>
      </c>
      <c r="CC25">
        <v>8.8000000000000007</v>
      </c>
      <c r="CD25">
        <v>0</v>
      </c>
      <c r="CE25">
        <v>0</v>
      </c>
      <c r="CF25">
        <v>0</v>
      </c>
      <c r="CG25">
        <v>0</v>
      </c>
      <c r="CH25">
        <v>0</v>
      </c>
      <c r="CI25">
        <v>0</v>
      </c>
      <c r="CJ25">
        <v>0</v>
      </c>
      <c r="CK25">
        <v>0</v>
      </c>
      <c r="CL25">
        <v>0</v>
      </c>
      <c r="CM25">
        <v>7</v>
      </c>
      <c r="CN25">
        <v>9</v>
      </c>
      <c r="CO25">
        <v>7.5</v>
      </c>
      <c r="CP25">
        <v>8.6</v>
      </c>
      <c r="CQ25">
        <v>9.1999999999999993</v>
      </c>
      <c r="CR25">
        <v>0</v>
      </c>
      <c r="CS25">
        <v>8.5</v>
      </c>
      <c r="CT25">
        <v>0</v>
      </c>
      <c r="CU25">
        <v>0</v>
      </c>
      <c r="CV25">
        <v>8.4</v>
      </c>
      <c r="CW25">
        <v>9.1999999999999993</v>
      </c>
      <c r="CX25">
        <v>9</v>
      </c>
      <c r="CY25">
        <v>0</v>
      </c>
      <c r="CZ25">
        <v>0</v>
      </c>
      <c r="DA25">
        <v>0</v>
      </c>
      <c r="DB25">
        <v>0</v>
      </c>
      <c r="DC25">
        <v>0</v>
      </c>
      <c r="DD25">
        <v>0</v>
      </c>
      <c r="DE25">
        <v>0</v>
      </c>
      <c r="DF25">
        <v>0</v>
      </c>
      <c r="DG25">
        <v>0</v>
      </c>
      <c r="DH25">
        <v>7.1</v>
      </c>
      <c r="DI25">
        <v>8.5</v>
      </c>
      <c r="DJ25">
        <v>7.3</v>
      </c>
      <c r="DK25">
        <v>9.6999999999999993</v>
      </c>
      <c r="DL25">
        <v>8</v>
      </c>
      <c r="DM25">
        <v>0</v>
      </c>
      <c r="DN25">
        <v>8.3000000000000007</v>
      </c>
      <c r="DO25">
        <v>0</v>
      </c>
      <c r="DP25">
        <v>0</v>
      </c>
      <c r="DQ25">
        <v>7.6</v>
      </c>
      <c r="DR25">
        <v>9.4</v>
      </c>
      <c r="DS25">
        <v>9</v>
      </c>
      <c r="DT25">
        <v>0</v>
      </c>
      <c r="DU25">
        <v>0</v>
      </c>
      <c r="DV25">
        <v>0</v>
      </c>
      <c r="DW25">
        <v>0</v>
      </c>
      <c r="DX25">
        <v>0</v>
      </c>
      <c r="DY25">
        <v>0</v>
      </c>
      <c r="DZ25">
        <v>0</v>
      </c>
      <c r="EA25">
        <v>0</v>
      </c>
      <c r="EB25">
        <v>0</v>
      </c>
      <c r="EC25">
        <v>5.25</v>
      </c>
      <c r="ED25">
        <v>7</v>
      </c>
      <c r="EE25">
        <v>3.5</v>
      </c>
      <c r="EF25"/>
      <c r="EG25">
        <v>6.75</v>
      </c>
      <c r="EH25"/>
      <c r="EI25"/>
      <c r="EJ25"/>
      <c r="EK25"/>
      <c r="EL25"/>
      <c r="EM25"/>
      <c r="EN25"/>
      <c r="EO25"/>
      <c r="EP25"/>
      <c r="EQ25"/>
      <c r="ER25"/>
      <c r="ES25"/>
      <c r="ET25"/>
      <c r="EU25"/>
      <c r="EV25"/>
      <c r="EW25"/>
      <c r="EX25"/>
      <c r="EY25"/>
      <c r="EZ25"/>
      <c r="FA25"/>
      <c r="FB25"/>
      <c r="FC25"/>
      <c r="FD25"/>
    </row>
    <row r="26" spans="1:160" x14ac:dyDescent="0.25">
      <c r="A26" s="1" t="str">
        <f t="shared" si="0"/>
        <v>086308009238</v>
      </c>
      <c r="B26" t="s">
        <v>784</v>
      </c>
      <c r="C26" t="s">
        <v>785</v>
      </c>
      <c r="D26" t="s">
        <v>786</v>
      </c>
      <c r="E26" t="s">
        <v>278</v>
      </c>
      <c r="F26" t="s">
        <v>787</v>
      </c>
      <c r="G26" t="s">
        <v>788</v>
      </c>
      <c r="H26" t="s">
        <v>789</v>
      </c>
      <c r="I26" t="s">
        <v>56</v>
      </c>
      <c r="J26" t="s">
        <v>790</v>
      </c>
      <c r="K26" t="s">
        <v>516</v>
      </c>
      <c r="L26"/>
      <c r="M26" t="s">
        <v>287</v>
      </c>
      <c r="N26" t="s">
        <v>288</v>
      </c>
      <c r="O26"/>
      <c r="P26" t="s">
        <v>289</v>
      </c>
      <c r="Q26" t="s">
        <v>791</v>
      </c>
      <c r="R26" t="s">
        <v>287</v>
      </c>
      <c r="S26" t="s">
        <v>287</v>
      </c>
      <c r="T26" t="s">
        <v>287</v>
      </c>
      <c r="U26" t="s">
        <v>792</v>
      </c>
      <c r="V26" t="s">
        <v>793</v>
      </c>
      <c r="W26" t="s">
        <v>794</v>
      </c>
      <c r="X26"/>
      <c r="Y26"/>
      <c r="Z26" t="s">
        <v>294</v>
      </c>
      <c r="AA26" t="s">
        <v>287</v>
      </c>
      <c r="AB26"/>
      <c r="AC26"/>
      <c r="AD26"/>
      <c r="AE26"/>
      <c r="AF26" t="s">
        <v>421</v>
      </c>
      <c r="AG26" t="s">
        <v>777</v>
      </c>
      <c r="AH26" t="s">
        <v>778</v>
      </c>
      <c r="AI26" t="s">
        <v>421</v>
      </c>
      <c r="AJ26" t="s">
        <v>777</v>
      </c>
      <c r="AK26" t="s">
        <v>778</v>
      </c>
      <c r="AL26" t="s">
        <v>421</v>
      </c>
      <c r="AM26" t="s">
        <v>777</v>
      </c>
      <c r="AN26" t="s">
        <v>778</v>
      </c>
      <c r="AO26" t="s">
        <v>299</v>
      </c>
      <c r="AP26" t="s">
        <v>348</v>
      </c>
      <c r="AQ26" t="s">
        <v>294</v>
      </c>
      <c r="AR26" t="s">
        <v>779</v>
      </c>
      <c r="AS26" t="s">
        <v>579</v>
      </c>
      <c r="AT26" t="s">
        <v>580</v>
      </c>
      <c r="AU26" t="s">
        <v>305</v>
      </c>
      <c r="AV26"/>
      <c r="AW26" t="s">
        <v>308</v>
      </c>
      <c r="AX26" t="s">
        <v>309</v>
      </c>
      <c r="AY26"/>
      <c r="AZ26"/>
      <c r="BA26"/>
      <c r="BB26"/>
      <c r="BC26" t="s">
        <v>312</v>
      </c>
      <c r="BD26" t="s">
        <v>353</v>
      </c>
      <c r="BE26"/>
      <c r="BF26" t="s">
        <v>314</v>
      </c>
      <c r="BG26"/>
      <c r="BH26"/>
      <c r="BI26"/>
      <c r="BJ26"/>
      <c r="BK26"/>
      <c r="BL26"/>
      <c r="BM26" t="s">
        <v>305</v>
      </c>
      <c r="BN26" t="s">
        <v>305</v>
      </c>
      <c r="BO26" t="s">
        <v>795</v>
      </c>
      <c r="BP26" t="s">
        <v>796</v>
      </c>
      <c r="BQ26" t="s">
        <v>797</v>
      </c>
      <c r="BR26">
        <v>8.4</v>
      </c>
      <c r="BS26">
        <v>8.1</v>
      </c>
      <c r="BT26">
        <v>8</v>
      </c>
      <c r="BU26">
        <v>10</v>
      </c>
      <c r="BV26">
        <v>8.8000000000000007</v>
      </c>
      <c r="BW26">
        <v>0</v>
      </c>
      <c r="BX26">
        <v>8.1999999999999993</v>
      </c>
      <c r="BY26">
        <v>5.8</v>
      </c>
      <c r="BZ26">
        <v>0</v>
      </c>
      <c r="CA26">
        <v>0</v>
      </c>
      <c r="CB26">
        <v>9.8000000000000007</v>
      </c>
      <c r="CC26">
        <v>9.1</v>
      </c>
      <c r="CD26">
        <v>0</v>
      </c>
      <c r="CE26">
        <v>0</v>
      </c>
      <c r="CF26">
        <v>0</v>
      </c>
      <c r="CG26">
        <v>0</v>
      </c>
      <c r="CH26">
        <v>0</v>
      </c>
      <c r="CI26">
        <v>0</v>
      </c>
      <c r="CJ26">
        <v>0</v>
      </c>
      <c r="CK26">
        <v>0</v>
      </c>
      <c r="CL26">
        <v>0</v>
      </c>
      <c r="CM26">
        <v>7.4</v>
      </c>
      <c r="CN26">
        <v>7.8</v>
      </c>
      <c r="CO26">
        <v>8.1</v>
      </c>
      <c r="CP26">
        <v>9.1999999999999993</v>
      </c>
      <c r="CQ26">
        <v>9.8000000000000007</v>
      </c>
      <c r="CR26">
        <v>0</v>
      </c>
      <c r="CS26">
        <v>8.1</v>
      </c>
      <c r="CT26">
        <v>8.4</v>
      </c>
      <c r="CU26">
        <v>0</v>
      </c>
      <c r="CV26">
        <v>0</v>
      </c>
      <c r="CW26">
        <v>9.4</v>
      </c>
      <c r="CX26">
        <v>9.1999999999999993</v>
      </c>
      <c r="CY26">
        <v>0</v>
      </c>
      <c r="CZ26">
        <v>0</v>
      </c>
      <c r="DA26">
        <v>0</v>
      </c>
      <c r="DB26">
        <v>0</v>
      </c>
      <c r="DC26">
        <v>0</v>
      </c>
      <c r="DD26">
        <v>0</v>
      </c>
      <c r="DE26">
        <v>0</v>
      </c>
      <c r="DF26">
        <v>0</v>
      </c>
      <c r="DG26">
        <v>0</v>
      </c>
      <c r="DH26">
        <v>8.9</v>
      </c>
      <c r="DI26">
        <v>8.1</v>
      </c>
      <c r="DJ26">
        <v>7.3</v>
      </c>
      <c r="DK26">
        <v>9.8000000000000007</v>
      </c>
      <c r="DL26">
        <v>9</v>
      </c>
      <c r="DM26">
        <v>0</v>
      </c>
      <c r="DN26">
        <v>9.1999999999999993</v>
      </c>
      <c r="DO26">
        <v>6.8</v>
      </c>
      <c r="DP26">
        <v>0</v>
      </c>
      <c r="DQ26">
        <v>0</v>
      </c>
      <c r="DR26">
        <v>9.6999999999999993</v>
      </c>
      <c r="DS26">
        <v>9</v>
      </c>
      <c r="DT26">
        <v>0</v>
      </c>
      <c r="DU26">
        <v>0</v>
      </c>
      <c r="DV26">
        <v>0</v>
      </c>
      <c r="DW26">
        <v>0</v>
      </c>
      <c r="DX26">
        <v>0</v>
      </c>
      <c r="DY26">
        <v>0</v>
      </c>
      <c r="DZ26">
        <v>0</v>
      </c>
      <c r="EA26">
        <v>0</v>
      </c>
      <c r="EB26">
        <v>0</v>
      </c>
      <c r="EC26">
        <v>5.25</v>
      </c>
      <c r="ED26">
        <v>6.5</v>
      </c>
      <c r="EE26"/>
      <c r="EF26"/>
      <c r="EG26">
        <v>7.75</v>
      </c>
      <c r="EH26"/>
      <c r="EI26">
        <v>5</v>
      </c>
      <c r="EJ26"/>
      <c r="EK26"/>
      <c r="EL26"/>
      <c r="EM26"/>
      <c r="EN26"/>
      <c r="EO26"/>
      <c r="EP26"/>
      <c r="EQ26"/>
      <c r="ER26"/>
      <c r="ES26"/>
      <c r="ET26"/>
      <c r="EU26"/>
      <c r="EV26"/>
      <c r="EW26"/>
      <c r="EX26">
        <v>107.5</v>
      </c>
      <c r="EY26"/>
      <c r="EZ26">
        <v>117</v>
      </c>
      <c r="FA26">
        <v>92</v>
      </c>
      <c r="FB26"/>
      <c r="FC26"/>
      <c r="FD26"/>
    </row>
    <row r="27" spans="1:160" x14ac:dyDescent="0.25">
      <c r="A27" s="1" t="str">
        <f t="shared" si="0"/>
        <v>086308004288</v>
      </c>
      <c r="B27" t="s">
        <v>798</v>
      </c>
      <c r="C27" t="s">
        <v>799</v>
      </c>
      <c r="D27" t="s">
        <v>800</v>
      </c>
      <c r="E27" t="s">
        <v>278</v>
      </c>
      <c r="F27" t="s">
        <v>801</v>
      </c>
      <c r="G27" t="s">
        <v>802</v>
      </c>
      <c r="H27" t="s">
        <v>803</v>
      </c>
      <c r="I27" t="s">
        <v>62</v>
      </c>
      <c r="J27" t="s">
        <v>804</v>
      </c>
      <c r="K27" t="s">
        <v>321</v>
      </c>
      <c r="L27"/>
      <c r="M27" t="s">
        <v>287</v>
      </c>
      <c r="N27" t="s">
        <v>288</v>
      </c>
      <c r="O27"/>
      <c r="P27" t="s">
        <v>289</v>
      </c>
      <c r="Q27" t="s">
        <v>805</v>
      </c>
      <c r="R27" t="s">
        <v>287</v>
      </c>
      <c r="S27" t="s">
        <v>287</v>
      </c>
      <c r="T27" t="s">
        <v>287</v>
      </c>
      <c r="U27"/>
      <c r="V27"/>
      <c r="W27"/>
      <c r="X27"/>
      <c r="Y27"/>
      <c r="Z27"/>
      <c r="AA27" t="s">
        <v>287</v>
      </c>
      <c r="AB27"/>
      <c r="AC27"/>
      <c r="AD27"/>
      <c r="AE27"/>
      <c r="AF27" t="s">
        <v>421</v>
      </c>
      <c r="AG27" t="s">
        <v>422</v>
      </c>
      <c r="AH27" t="s">
        <v>423</v>
      </c>
      <c r="AI27" t="s">
        <v>421</v>
      </c>
      <c r="AJ27" t="s">
        <v>422</v>
      </c>
      <c r="AK27" t="s">
        <v>423</v>
      </c>
      <c r="AL27" t="s">
        <v>421</v>
      </c>
      <c r="AM27" t="s">
        <v>422</v>
      </c>
      <c r="AN27" t="s">
        <v>423</v>
      </c>
      <c r="AO27" t="s">
        <v>299</v>
      </c>
      <c r="AP27" t="s">
        <v>348</v>
      </c>
      <c r="AQ27" t="s">
        <v>806</v>
      </c>
      <c r="AR27" t="s">
        <v>807</v>
      </c>
      <c r="AS27" t="s">
        <v>808</v>
      </c>
      <c r="AT27" t="s">
        <v>809</v>
      </c>
      <c r="AU27" t="s">
        <v>354</v>
      </c>
      <c r="AV27"/>
      <c r="AW27" t="s">
        <v>308</v>
      </c>
      <c r="AX27" t="s">
        <v>309</v>
      </c>
      <c r="AY27"/>
      <c r="AZ27"/>
      <c r="BA27"/>
      <c r="BB27"/>
      <c r="BC27" t="s">
        <v>312</v>
      </c>
      <c r="BD27" t="s">
        <v>353</v>
      </c>
      <c r="BE27" t="s">
        <v>810</v>
      </c>
      <c r="BF27" t="s">
        <v>314</v>
      </c>
      <c r="BG27"/>
      <c r="BH27"/>
      <c r="BI27"/>
      <c r="BJ27"/>
      <c r="BK27"/>
      <c r="BL27"/>
      <c r="BM27" t="s">
        <v>305</v>
      </c>
      <c r="BN27" t="s">
        <v>305</v>
      </c>
      <c r="BO27" t="s">
        <v>811</v>
      </c>
      <c r="BP27"/>
      <c r="BQ27" t="s">
        <v>812</v>
      </c>
      <c r="BR27">
        <v>7.4</v>
      </c>
      <c r="BS27">
        <v>7.2</v>
      </c>
      <c r="BT27">
        <v>7.6</v>
      </c>
      <c r="BU27">
        <v>8.9</v>
      </c>
      <c r="BV27">
        <v>8.9</v>
      </c>
      <c r="BW27">
        <v>0</v>
      </c>
      <c r="BX27">
        <v>0</v>
      </c>
      <c r="BY27">
        <v>8.1</v>
      </c>
      <c r="BZ27">
        <v>7.5</v>
      </c>
      <c r="CA27">
        <v>0</v>
      </c>
      <c r="CB27">
        <v>9.4</v>
      </c>
      <c r="CC27">
        <v>8.5</v>
      </c>
      <c r="CD27">
        <v>0</v>
      </c>
      <c r="CE27">
        <v>0</v>
      </c>
      <c r="CF27">
        <v>0</v>
      </c>
      <c r="CG27">
        <v>0</v>
      </c>
      <c r="CH27">
        <v>0</v>
      </c>
      <c r="CI27">
        <v>0</v>
      </c>
      <c r="CJ27">
        <v>0</v>
      </c>
      <c r="CK27">
        <v>0</v>
      </c>
      <c r="CL27">
        <v>0</v>
      </c>
      <c r="CM27">
        <v>8</v>
      </c>
      <c r="CN27">
        <v>7.8</v>
      </c>
      <c r="CO27">
        <v>9.1999999999999993</v>
      </c>
      <c r="CP27">
        <v>9.9</v>
      </c>
      <c r="CQ27">
        <v>9</v>
      </c>
      <c r="CR27">
        <v>0</v>
      </c>
      <c r="CS27">
        <v>0</v>
      </c>
      <c r="CT27">
        <v>9.1999999999999993</v>
      </c>
      <c r="CU27">
        <v>8.1999999999999993</v>
      </c>
      <c r="CV27">
        <v>0</v>
      </c>
      <c r="CW27">
        <v>9.9</v>
      </c>
      <c r="CX27">
        <v>9.6</v>
      </c>
      <c r="CY27">
        <v>0</v>
      </c>
      <c r="CZ27">
        <v>0</v>
      </c>
      <c r="DA27">
        <v>0</v>
      </c>
      <c r="DB27">
        <v>0</v>
      </c>
      <c r="DC27">
        <v>0</v>
      </c>
      <c r="DD27">
        <v>0</v>
      </c>
      <c r="DE27">
        <v>0</v>
      </c>
      <c r="DF27">
        <v>0</v>
      </c>
      <c r="DG27">
        <v>0</v>
      </c>
      <c r="DH27">
        <v>9.1999999999999993</v>
      </c>
      <c r="DI27">
        <v>9.1</v>
      </c>
      <c r="DJ27">
        <v>8.9</v>
      </c>
      <c r="DK27">
        <v>9.4</v>
      </c>
      <c r="DL27">
        <v>8.4</v>
      </c>
      <c r="DM27">
        <v>0</v>
      </c>
      <c r="DN27">
        <v>0</v>
      </c>
      <c r="DO27">
        <v>8.9</v>
      </c>
      <c r="DP27">
        <v>9.5</v>
      </c>
      <c r="DQ27">
        <v>0</v>
      </c>
      <c r="DR27">
        <v>9.6999999999999993</v>
      </c>
      <c r="DS27">
        <v>9</v>
      </c>
      <c r="DT27">
        <v>0</v>
      </c>
      <c r="DU27">
        <v>0</v>
      </c>
      <c r="DV27">
        <v>0</v>
      </c>
      <c r="DW27">
        <v>0</v>
      </c>
      <c r="DX27">
        <v>0</v>
      </c>
      <c r="DY27">
        <v>0</v>
      </c>
      <c r="DZ27">
        <v>0</v>
      </c>
      <c r="EA27">
        <v>0</v>
      </c>
      <c r="EB27">
        <v>0</v>
      </c>
      <c r="EC27">
        <v>5</v>
      </c>
      <c r="ED27">
        <v>5.08</v>
      </c>
      <c r="EE27">
        <v>3.5</v>
      </c>
      <c r="EF27"/>
      <c r="EG27"/>
      <c r="EH27"/>
      <c r="EI27"/>
      <c r="EJ27">
        <v>5</v>
      </c>
      <c r="EK27"/>
      <c r="EL27"/>
      <c r="EM27"/>
      <c r="EN27"/>
      <c r="EO27"/>
      <c r="EP27"/>
      <c r="EQ27"/>
      <c r="ER27"/>
      <c r="ES27"/>
      <c r="ET27"/>
      <c r="EU27"/>
      <c r="EV27"/>
      <c r="EW27">
        <v>96</v>
      </c>
      <c r="EX27">
        <v>106</v>
      </c>
      <c r="EY27">
        <v>80.5</v>
      </c>
      <c r="EZ27"/>
      <c r="FA27"/>
      <c r="FB27"/>
      <c r="FC27"/>
      <c r="FD27"/>
    </row>
    <row r="28" spans="1:160" x14ac:dyDescent="0.25">
      <c r="A28" s="1" t="str">
        <f t="shared" si="0"/>
        <v>080308005425</v>
      </c>
      <c r="B28" t="s">
        <v>813</v>
      </c>
      <c r="C28" t="s">
        <v>814</v>
      </c>
      <c r="D28" t="s">
        <v>815</v>
      </c>
      <c r="E28" t="s">
        <v>278</v>
      </c>
      <c r="F28" t="s">
        <v>816</v>
      </c>
      <c r="G28" t="s">
        <v>817</v>
      </c>
      <c r="H28" t="s">
        <v>818</v>
      </c>
      <c r="I28" t="s">
        <v>91</v>
      </c>
      <c r="J28" t="s">
        <v>819</v>
      </c>
      <c r="K28" t="s">
        <v>321</v>
      </c>
      <c r="L28"/>
      <c r="M28" t="s">
        <v>287</v>
      </c>
      <c r="N28" t="s">
        <v>288</v>
      </c>
      <c r="O28"/>
      <c r="P28" t="s">
        <v>289</v>
      </c>
      <c r="Q28" t="s">
        <v>820</v>
      </c>
      <c r="R28" t="s">
        <v>287</v>
      </c>
      <c r="S28" t="s">
        <v>287</v>
      </c>
      <c r="T28" t="s">
        <v>287</v>
      </c>
      <c r="U28"/>
      <c r="V28"/>
      <c r="W28"/>
      <c r="X28"/>
      <c r="Y28"/>
      <c r="Z28"/>
      <c r="AA28" t="s">
        <v>287</v>
      </c>
      <c r="AB28"/>
      <c r="AC28"/>
      <c r="AD28"/>
      <c r="AE28"/>
      <c r="AF28" t="s">
        <v>576</v>
      </c>
      <c r="AG28" t="s">
        <v>821</v>
      </c>
      <c r="AH28" t="s">
        <v>822</v>
      </c>
      <c r="AI28" t="s">
        <v>576</v>
      </c>
      <c r="AJ28" t="s">
        <v>821</v>
      </c>
      <c r="AK28" t="s">
        <v>822</v>
      </c>
      <c r="AL28" t="s">
        <v>576</v>
      </c>
      <c r="AM28" t="s">
        <v>821</v>
      </c>
      <c r="AN28" t="s">
        <v>822</v>
      </c>
      <c r="AO28" t="s">
        <v>299</v>
      </c>
      <c r="AP28" t="s">
        <v>348</v>
      </c>
      <c r="AQ28" t="s">
        <v>294</v>
      </c>
      <c r="AR28" t="s">
        <v>823</v>
      </c>
      <c r="AS28" t="s">
        <v>757</v>
      </c>
      <c r="AT28" t="s">
        <v>824</v>
      </c>
      <c r="AU28" t="s">
        <v>354</v>
      </c>
      <c r="AV28"/>
      <c r="AW28" t="s">
        <v>526</v>
      </c>
      <c r="AX28" t="s">
        <v>527</v>
      </c>
      <c r="AY28"/>
      <c r="AZ28"/>
      <c r="BA28"/>
      <c r="BB28"/>
      <c r="BC28" t="s">
        <v>312</v>
      </c>
      <c r="BD28" t="s">
        <v>353</v>
      </c>
      <c r="BE28"/>
      <c r="BF28" t="s">
        <v>314</v>
      </c>
      <c r="BG28"/>
      <c r="BH28"/>
      <c r="BI28"/>
      <c r="BJ28"/>
      <c r="BK28"/>
      <c r="BL28"/>
      <c r="BM28" t="s">
        <v>305</v>
      </c>
      <c r="BN28" t="s">
        <v>354</v>
      </c>
      <c r="BO28" t="s">
        <v>825</v>
      </c>
      <c r="BP28"/>
      <c r="BQ28"/>
      <c r="BR28">
        <v>7</v>
      </c>
      <c r="BS28">
        <v>6.2</v>
      </c>
      <c r="BT28">
        <v>7.2</v>
      </c>
      <c r="BU28">
        <v>7.9</v>
      </c>
      <c r="BV28">
        <v>7.5</v>
      </c>
      <c r="BW28">
        <v>7</v>
      </c>
      <c r="BX28">
        <v>6.5</v>
      </c>
      <c r="BY28">
        <v>0</v>
      </c>
      <c r="BZ28">
        <v>0</v>
      </c>
      <c r="CA28">
        <v>0</v>
      </c>
      <c r="CB28">
        <v>7.8</v>
      </c>
      <c r="CC28">
        <v>9.4</v>
      </c>
      <c r="CD28">
        <v>0</v>
      </c>
      <c r="CE28">
        <v>0</v>
      </c>
      <c r="CF28">
        <v>0</v>
      </c>
      <c r="CG28">
        <v>0</v>
      </c>
      <c r="CH28">
        <v>0</v>
      </c>
      <c r="CI28">
        <v>0</v>
      </c>
      <c r="CJ28">
        <v>0</v>
      </c>
      <c r="CK28">
        <v>0</v>
      </c>
      <c r="CL28">
        <v>0</v>
      </c>
      <c r="CM28">
        <v>7.7</v>
      </c>
      <c r="CN28">
        <v>6.9</v>
      </c>
      <c r="CO28">
        <v>8.6</v>
      </c>
      <c r="CP28">
        <v>9.1</v>
      </c>
      <c r="CQ28">
        <v>8.5</v>
      </c>
      <c r="CR28">
        <v>8.6</v>
      </c>
      <c r="CS28">
        <v>9.1999999999999993</v>
      </c>
      <c r="CT28">
        <v>0</v>
      </c>
      <c r="CU28">
        <v>0</v>
      </c>
      <c r="CV28">
        <v>0</v>
      </c>
      <c r="CW28">
        <v>9.8000000000000007</v>
      </c>
      <c r="CX28">
        <v>9.6</v>
      </c>
      <c r="CY28">
        <v>0</v>
      </c>
      <c r="CZ28">
        <v>0</v>
      </c>
      <c r="DA28">
        <v>0</v>
      </c>
      <c r="DB28">
        <v>0</v>
      </c>
      <c r="DC28">
        <v>0</v>
      </c>
      <c r="DD28">
        <v>0</v>
      </c>
      <c r="DE28">
        <v>0</v>
      </c>
      <c r="DF28">
        <v>0</v>
      </c>
      <c r="DG28">
        <v>0</v>
      </c>
      <c r="DH28">
        <v>9.4</v>
      </c>
      <c r="DI28">
        <v>8</v>
      </c>
      <c r="DJ28">
        <v>7.3</v>
      </c>
      <c r="DK28">
        <v>9</v>
      </c>
      <c r="DL28">
        <v>9.4</v>
      </c>
      <c r="DM28">
        <v>9.6</v>
      </c>
      <c r="DN28">
        <v>9.6</v>
      </c>
      <c r="DO28">
        <v>0</v>
      </c>
      <c r="DP28">
        <v>0</v>
      </c>
      <c r="DQ28">
        <v>0</v>
      </c>
      <c r="DR28">
        <v>9.4</v>
      </c>
      <c r="DS28">
        <v>9.6999999999999993</v>
      </c>
      <c r="DT28">
        <v>0</v>
      </c>
      <c r="DU28">
        <v>0</v>
      </c>
      <c r="DV28">
        <v>0</v>
      </c>
      <c r="DW28">
        <v>0</v>
      </c>
      <c r="DX28">
        <v>0</v>
      </c>
      <c r="DY28">
        <v>0</v>
      </c>
      <c r="DZ28">
        <v>0</v>
      </c>
      <c r="EA28">
        <v>0</v>
      </c>
      <c r="EB28">
        <v>0</v>
      </c>
      <c r="EC28">
        <v>7.5</v>
      </c>
      <c r="ED28">
        <v>5.5</v>
      </c>
      <c r="EE28">
        <v>2.5</v>
      </c>
      <c r="EF28"/>
      <c r="EG28"/>
      <c r="EH28">
        <v>4.5999999999999996</v>
      </c>
      <c r="EI28"/>
      <c r="EJ28"/>
      <c r="EK28"/>
      <c r="EL28"/>
      <c r="EM28"/>
      <c r="EN28"/>
      <c r="EO28"/>
      <c r="EP28"/>
      <c r="EQ28"/>
      <c r="ER28"/>
      <c r="ES28"/>
      <c r="ET28"/>
      <c r="EU28"/>
      <c r="EV28"/>
      <c r="EW28"/>
      <c r="EX28"/>
      <c r="EY28"/>
      <c r="EZ28"/>
      <c r="FA28"/>
      <c r="FB28">
        <v>69.599999999999994</v>
      </c>
      <c r="FC28"/>
      <c r="FD28"/>
    </row>
    <row r="29" spans="1:160" x14ac:dyDescent="0.25">
      <c r="A29" s="1" t="str">
        <f t="shared" si="0"/>
        <v>091208001550</v>
      </c>
      <c r="B29" t="s">
        <v>826</v>
      </c>
      <c r="C29" t="s">
        <v>827</v>
      </c>
      <c r="D29" t="s">
        <v>828</v>
      </c>
      <c r="E29" t="s">
        <v>280</v>
      </c>
      <c r="F29" t="s">
        <v>829</v>
      </c>
      <c r="G29" t="s">
        <v>830</v>
      </c>
      <c r="H29" t="s">
        <v>831</v>
      </c>
      <c r="I29" t="s">
        <v>39</v>
      </c>
      <c r="J29" t="s">
        <v>832</v>
      </c>
      <c r="K29" t="s">
        <v>516</v>
      </c>
      <c r="L29"/>
      <c r="M29" t="s">
        <v>287</v>
      </c>
      <c r="N29" t="s">
        <v>288</v>
      </c>
      <c r="O29"/>
      <c r="P29" t="s">
        <v>289</v>
      </c>
      <c r="Q29" t="s">
        <v>833</v>
      </c>
      <c r="R29" t="s">
        <v>287</v>
      </c>
      <c r="S29" t="s">
        <v>287</v>
      </c>
      <c r="T29" t="s">
        <v>287</v>
      </c>
      <c r="U29"/>
      <c r="V29"/>
      <c r="W29" t="s">
        <v>294</v>
      </c>
      <c r="X29" t="s">
        <v>834</v>
      </c>
      <c r="Y29" t="s">
        <v>835</v>
      </c>
      <c r="Z29" t="s">
        <v>836</v>
      </c>
      <c r="AA29" t="s">
        <v>287</v>
      </c>
      <c r="AB29"/>
      <c r="AC29"/>
      <c r="AD29"/>
      <c r="AE29"/>
      <c r="AF29" t="s">
        <v>401</v>
      </c>
      <c r="AG29" t="s">
        <v>540</v>
      </c>
      <c r="AH29" t="s">
        <v>541</v>
      </c>
      <c r="AI29" t="s">
        <v>401</v>
      </c>
      <c r="AJ29" t="s">
        <v>540</v>
      </c>
      <c r="AK29" t="s">
        <v>541</v>
      </c>
      <c r="AL29" t="s">
        <v>401</v>
      </c>
      <c r="AM29" t="s">
        <v>540</v>
      </c>
      <c r="AN29" t="s">
        <v>541</v>
      </c>
      <c r="AO29" t="s">
        <v>299</v>
      </c>
      <c r="AP29" t="s">
        <v>300</v>
      </c>
      <c r="AQ29" t="s">
        <v>837</v>
      </c>
      <c r="AR29" t="s">
        <v>838</v>
      </c>
      <c r="AS29" t="s">
        <v>839</v>
      </c>
      <c r="AT29" t="s">
        <v>840</v>
      </c>
      <c r="AU29" t="s">
        <v>305</v>
      </c>
      <c r="AV29"/>
      <c r="AW29" t="s">
        <v>308</v>
      </c>
      <c r="AX29" t="s">
        <v>309</v>
      </c>
      <c r="AY29" t="s">
        <v>444</v>
      </c>
      <c r="AZ29" t="s">
        <v>445</v>
      </c>
      <c r="BA29" t="s">
        <v>332</v>
      </c>
      <c r="BB29" t="s">
        <v>333</v>
      </c>
      <c r="BC29" t="s">
        <v>312</v>
      </c>
      <c r="BD29" t="s">
        <v>353</v>
      </c>
      <c r="BE29" t="s">
        <v>841</v>
      </c>
      <c r="BF29" t="s">
        <v>314</v>
      </c>
      <c r="BG29"/>
      <c r="BH29"/>
      <c r="BI29"/>
      <c r="BJ29"/>
      <c r="BK29"/>
      <c r="BL29"/>
      <c r="BM29" t="s">
        <v>305</v>
      </c>
      <c r="BN29" t="s">
        <v>305</v>
      </c>
      <c r="BO29" t="s">
        <v>842</v>
      </c>
      <c r="BP29" t="s">
        <v>843</v>
      </c>
      <c r="BQ29" t="s">
        <v>844</v>
      </c>
      <c r="BR29">
        <v>5.8</v>
      </c>
      <c r="BS29">
        <v>4.4000000000000004</v>
      </c>
      <c r="BT29">
        <v>5.9</v>
      </c>
      <c r="BU29">
        <v>7.8</v>
      </c>
      <c r="BV29">
        <v>6.6</v>
      </c>
      <c r="BW29">
        <v>6.8</v>
      </c>
      <c r="BX29">
        <v>6.5</v>
      </c>
      <c r="BY29">
        <v>5.2</v>
      </c>
      <c r="BZ29">
        <v>0</v>
      </c>
      <c r="CA29">
        <v>5.3</v>
      </c>
      <c r="CB29">
        <v>0</v>
      </c>
      <c r="CC29">
        <v>0</v>
      </c>
      <c r="CD29">
        <v>0</v>
      </c>
      <c r="CE29">
        <v>0</v>
      </c>
      <c r="CF29">
        <v>0</v>
      </c>
      <c r="CG29">
        <v>0</v>
      </c>
      <c r="CH29">
        <v>0</v>
      </c>
      <c r="CI29">
        <v>0</v>
      </c>
      <c r="CJ29">
        <v>0</v>
      </c>
      <c r="CK29">
        <v>0</v>
      </c>
      <c r="CL29">
        <v>0</v>
      </c>
      <c r="CM29">
        <v>5.6</v>
      </c>
      <c r="CN29">
        <v>6.5</v>
      </c>
      <c r="CO29">
        <v>6.7</v>
      </c>
      <c r="CP29">
        <v>5.8</v>
      </c>
      <c r="CQ29">
        <v>7.3</v>
      </c>
      <c r="CR29">
        <v>8.1</v>
      </c>
      <c r="CS29">
        <v>7.8</v>
      </c>
      <c r="CT29">
        <v>4.7</v>
      </c>
      <c r="CU29">
        <v>0</v>
      </c>
      <c r="CV29">
        <v>6.5</v>
      </c>
      <c r="CW29">
        <v>0</v>
      </c>
      <c r="CX29">
        <v>0</v>
      </c>
      <c r="CY29">
        <v>0</v>
      </c>
      <c r="CZ29">
        <v>0</v>
      </c>
      <c r="DA29">
        <v>0</v>
      </c>
      <c r="DB29">
        <v>0</v>
      </c>
      <c r="DC29">
        <v>0</v>
      </c>
      <c r="DD29">
        <v>0</v>
      </c>
      <c r="DE29">
        <v>0</v>
      </c>
      <c r="DF29">
        <v>0</v>
      </c>
      <c r="DG29">
        <v>0</v>
      </c>
      <c r="DH29">
        <v>6.3</v>
      </c>
      <c r="DI29">
        <v>6.7</v>
      </c>
      <c r="DJ29">
        <v>7.7</v>
      </c>
      <c r="DK29">
        <v>7.6</v>
      </c>
      <c r="DL29">
        <v>6.8</v>
      </c>
      <c r="DM29">
        <v>8.4</v>
      </c>
      <c r="DN29">
        <v>7.8</v>
      </c>
      <c r="DO29">
        <v>4.9000000000000004</v>
      </c>
      <c r="DP29">
        <v>0</v>
      </c>
      <c r="DQ29">
        <v>6.8</v>
      </c>
      <c r="DR29">
        <v>0</v>
      </c>
      <c r="DS29">
        <v>0</v>
      </c>
      <c r="DT29">
        <v>0</v>
      </c>
      <c r="DU29">
        <v>0</v>
      </c>
      <c r="DV29">
        <v>0</v>
      </c>
      <c r="DW29">
        <v>0</v>
      </c>
      <c r="DX29">
        <v>0</v>
      </c>
      <c r="DY29">
        <v>0</v>
      </c>
      <c r="DZ29">
        <v>0</v>
      </c>
      <c r="EA29">
        <v>0</v>
      </c>
      <c r="EB29">
        <v>0</v>
      </c>
      <c r="EC29">
        <v>5</v>
      </c>
      <c r="ED29">
        <v>5.5</v>
      </c>
      <c r="EE29">
        <v>3.75</v>
      </c>
      <c r="EF29"/>
      <c r="EG29"/>
      <c r="EH29">
        <v>7</v>
      </c>
      <c r="EI29"/>
      <c r="EJ29"/>
      <c r="EK29"/>
      <c r="EL29"/>
      <c r="EM29"/>
      <c r="EN29"/>
      <c r="EO29"/>
      <c r="EP29"/>
      <c r="EQ29"/>
      <c r="ER29"/>
      <c r="ES29"/>
      <c r="ET29"/>
      <c r="EU29"/>
      <c r="EV29"/>
      <c r="EW29">
        <v>58.5</v>
      </c>
      <c r="EX29">
        <v>96</v>
      </c>
      <c r="EY29">
        <v>96</v>
      </c>
      <c r="EZ29"/>
      <c r="FA29"/>
      <c r="FB29"/>
      <c r="FC29"/>
      <c r="FD29"/>
    </row>
    <row r="30" spans="1:160" x14ac:dyDescent="0.25">
      <c r="A30" s="1" t="str">
        <f t="shared" si="0"/>
        <v>075308023084</v>
      </c>
      <c r="B30" t="s">
        <v>845</v>
      </c>
      <c r="C30" t="s">
        <v>846</v>
      </c>
      <c r="D30" t="s">
        <v>847</v>
      </c>
      <c r="E30" t="s">
        <v>278</v>
      </c>
      <c r="F30" t="s">
        <v>848</v>
      </c>
      <c r="G30" t="s">
        <v>849</v>
      </c>
      <c r="H30" t="s">
        <v>850</v>
      </c>
      <c r="I30" t="s">
        <v>100</v>
      </c>
      <c r="J30" t="s">
        <v>851</v>
      </c>
      <c r="K30" t="s">
        <v>516</v>
      </c>
      <c r="L30"/>
      <c r="M30" t="s">
        <v>287</v>
      </c>
      <c r="N30" t="s">
        <v>288</v>
      </c>
      <c r="O30"/>
      <c r="P30" t="s">
        <v>289</v>
      </c>
      <c r="Q30" t="s">
        <v>852</v>
      </c>
      <c r="R30" t="s">
        <v>287</v>
      </c>
      <c r="S30" t="s">
        <v>287</v>
      </c>
      <c r="T30" t="s">
        <v>287</v>
      </c>
      <c r="U30" t="s">
        <v>853</v>
      </c>
      <c r="V30" t="s">
        <v>854</v>
      </c>
      <c r="W30" t="s">
        <v>855</v>
      </c>
      <c r="X30"/>
      <c r="Y30"/>
      <c r="Z30" t="s">
        <v>294</v>
      </c>
      <c r="AA30" t="s">
        <v>287</v>
      </c>
      <c r="AB30"/>
      <c r="AC30"/>
      <c r="AD30"/>
      <c r="AE30"/>
      <c r="AF30" t="s">
        <v>856</v>
      </c>
      <c r="AG30" t="s">
        <v>857</v>
      </c>
      <c r="AH30" t="s">
        <v>858</v>
      </c>
      <c r="AI30" t="s">
        <v>856</v>
      </c>
      <c r="AJ30" t="s">
        <v>857</v>
      </c>
      <c r="AK30" t="s">
        <v>858</v>
      </c>
      <c r="AL30" t="s">
        <v>856</v>
      </c>
      <c r="AM30" t="s">
        <v>857</v>
      </c>
      <c r="AN30" t="s">
        <v>858</v>
      </c>
      <c r="AO30" t="s">
        <v>299</v>
      </c>
      <c r="AP30" t="s">
        <v>388</v>
      </c>
      <c r="AQ30" t="s">
        <v>859</v>
      </c>
      <c r="AR30" t="s">
        <v>860</v>
      </c>
      <c r="AS30" t="s">
        <v>861</v>
      </c>
      <c r="AT30" t="s">
        <v>859</v>
      </c>
      <c r="AU30" t="s">
        <v>305</v>
      </c>
      <c r="AV30"/>
      <c r="AW30" t="s">
        <v>330</v>
      </c>
      <c r="AX30" t="s">
        <v>331</v>
      </c>
      <c r="AY30"/>
      <c r="AZ30"/>
      <c r="BA30"/>
      <c r="BB30"/>
      <c r="BC30" t="s">
        <v>312</v>
      </c>
      <c r="BD30" t="s">
        <v>353</v>
      </c>
      <c r="BE30"/>
      <c r="BF30" t="s">
        <v>314</v>
      </c>
      <c r="BG30"/>
      <c r="BH30"/>
      <c r="BI30"/>
      <c r="BJ30"/>
      <c r="BK30"/>
      <c r="BL30"/>
      <c r="BM30" t="s">
        <v>305</v>
      </c>
      <c r="BN30" t="s">
        <v>354</v>
      </c>
      <c r="BO30" t="s">
        <v>862</v>
      </c>
      <c r="BP30" t="s">
        <v>863</v>
      </c>
      <c r="BQ30"/>
      <c r="BR30">
        <v>7.7</v>
      </c>
      <c r="BS30">
        <v>7.5</v>
      </c>
      <c r="BT30">
        <v>8</v>
      </c>
      <c r="BU30">
        <v>8.1999999999999993</v>
      </c>
      <c r="BV30">
        <v>7.6</v>
      </c>
      <c r="BW30">
        <v>0</v>
      </c>
      <c r="BX30">
        <v>0</v>
      </c>
      <c r="BY30">
        <v>7.7</v>
      </c>
      <c r="BZ30">
        <v>7.2</v>
      </c>
      <c r="CA30">
        <v>7.4</v>
      </c>
      <c r="CB30">
        <v>0</v>
      </c>
      <c r="CC30">
        <v>8.1999999999999993</v>
      </c>
      <c r="CD30">
        <v>0</v>
      </c>
      <c r="CE30">
        <v>0</v>
      </c>
      <c r="CF30">
        <v>0</v>
      </c>
      <c r="CG30">
        <v>0</v>
      </c>
      <c r="CH30">
        <v>0</v>
      </c>
      <c r="CI30">
        <v>0</v>
      </c>
      <c r="CJ30">
        <v>0</v>
      </c>
      <c r="CK30">
        <v>0</v>
      </c>
      <c r="CL30">
        <v>0</v>
      </c>
      <c r="CM30">
        <v>8.1</v>
      </c>
      <c r="CN30">
        <v>7.8</v>
      </c>
      <c r="CO30">
        <v>8</v>
      </c>
      <c r="CP30">
        <v>7.4</v>
      </c>
      <c r="CQ30">
        <v>7.3</v>
      </c>
      <c r="CR30">
        <v>0</v>
      </c>
      <c r="CS30">
        <v>0</v>
      </c>
      <c r="CT30">
        <v>7.6</v>
      </c>
      <c r="CU30">
        <v>7.3</v>
      </c>
      <c r="CV30">
        <v>7.7</v>
      </c>
      <c r="CW30">
        <v>0</v>
      </c>
      <c r="CX30">
        <v>8.9</v>
      </c>
      <c r="CY30">
        <v>0</v>
      </c>
      <c r="CZ30">
        <v>0</v>
      </c>
      <c r="DA30">
        <v>0</v>
      </c>
      <c r="DB30">
        <v>0</v>
      </c>
      <c r="DC30">
        <v>0</v>
      </c>
      <c r="DD30">
        <v>0</v>
      </c>
      <c r="DE30">
        <v>0</v>
      </c>
      <c r="DF30">
        <v>0</v>
      </c>
      <c r="DG30">
        <v>0</v>
      </c>
      <c r="DH30">
        <v>8.3000000000000007</v>
      </c>
      <c r="DI30">
        <v>8.1999999999999993</v>
      </c>
      <c r="DJ30">
        <v>7.3</v>
      </c>
      <c r="DK30">
        <v>8</v>
      </c>
      <c r="DL30">
        <v>7.8</v>
      </c>
      <c r="DM30">
        <v>0</v>
      </c>
      <c r="DN30">
        <v>0</v>
      </c>
      <c r="DO30">
        <v>7.7</v>
      </c>
      <c r="DP30">
        <v>7.2</v>
      </c>
      <c r="DQ30">
        <v>6.3</v>
      </c>
      <c r="DR30">
        <v>0</v>
      </c>
      <c r="DS30">
        <v>8.4</v>
      </c>
      <c r="DT30">
        <v>0</v>
      </c>
      <c r="DU30">
        <v>0</v>
      </c>
      <c r="DV30">
        <v>0</v>
      </c>
      <c r="DW30">
        <v>0</v>
      </c>
      <c r="DX30">
        <v>0</v>
      </c>
      <c r="DY30">
        <v>0</v>
      </c>
      <c r="DZ30">
        <v>0</v>
      </c>
      <c r="EA30">
        <v>0</v>
      </c>
      <c r="EB30">
        <v>0</v>
      </c>
      <c r="EC30">
        <v>7.5</v>
      </c>
      <c r="ED30">
        <v>6.75</v>
      </c>
      <c r="EE30">
        <v>0</v>
      </c>
      <c r="EF30"/>
      <c r="EG30">
        <v>0</v>
      </c>
      <c r="EH30"/>
      <c r="EI30">
        <v>0</v>
      </c>
      <c r="EJ30">
        <v>7</v>
      </c>
      <c r="EK30">
        <v>6.5</v>
      </c>
      <c r="EL30">
        <v>0</v>
      </c>
      <c r="EM30"/>
      <c r="EN30">
        <v>0</v>
      </c>
      <c r="EO30"/>
      <c r="EP30"/>
      <c r="EQ30"/>
      <c r="ER30"/>
      <c r="ES30"/>
      <c r="ET30"/>
      <c r="EU30"/>
      <c r="EV30"/>
      <c r="EW30"/>
      <c r="EX30"/>
      <c r="EY30"/>
      <c r="EZ30"/>
      <c r="FA30"/>
      <c r="FB30"/>
      <c r="FC30"/>
      <c r="FD30"/>
    </row>
    <row r="31" spans="1:160" x14ac:dyDescent="0.25">
      <c r="A31" s="1" t="str">
        <f t="shared" si="0"/>
        <v>086208005701</v>
      </c>
      <c r="B31" t="s">
        <v>864</v>
      </c>
      <c r="C31" t="s">
        <v>865</v>
      </c>
      <c r="D31" t="s">
        <v>866</v>
      </c>
      <c r="E31" t="s">
        <v>280</v>
      </c>
      <c r="F31" t="s">
        <v>867</v>
      </c>
      <c r="G31" t="s">
        <v>868</v>
      </c>
      <c r="H31" t="s">
        <v>869</v>
      </c>
      <c r="I31" t="s">
        <v>68</v>
      </c>
      <c r="J31" t="s">
        <v>870</v>
      </c>
      <c r="K31" t="s">
        <v>516</v>
      </c>
      <c r="L31"/>
      <c r="M31" t="s">
        <v>287</v>
      </c>
      <c r="N31" t="s">
        <v>288</v>
      </c>
      <c r="O31"/>
      <c r="P31" t="s">
        <v>289</v>
      </c>
      <c r="Q31" t="s">
        <v>871</v>
      </c>
      <c r="R31" t="s">
        <v>287</v>
      </c>
      <c r="S31" t="s">
        <v>287</v>
      </c>
      <c r="T31" t="s">
        <v>287</v>
      </c>
      <c r="U31"/>
      <c r="V31"/>
      <c r="W31"/>
      <c r="X31"/>
      <c r="Y31"/>
      <c r="Z31"/>
      <c r="AA31" t="s">
        <v>287</v>
      </c>
      <c r="AB31"/>
      <c r="AC31"/>
      <c r="AD31"/>
      <c r="AE31"/>
      <c r="AF31" t="s">
        <v>421</v>
      </c>
      <c r="AG31" t="s">
        <v>750</v>
      </c>
      <c r="AH31" t="s">
        <v>751</v>
      </c>
      <c r="AI31" t="s">
        <v>421</v>
      </c>
      <c r="AJ31" t="s">
        <v>750</v>
      </c>
      <c r="AK31" t="s">
        <v>751</v>
      </c>
      <c r="AL31" t="s">
        <v>421</v>
      </c>
      <c r="AM31" t="s">
        <v>750</v>
      </c>
      <c r="AN31" t="s">
        <v>751</v>
      </c>
      <c r="AO31" t="s">
        <v>299</v>
      </c>
      <c r="AP31" t="s">
        <v>348</v>
      </c>
      <c r="AQ31" t="s">
        <v>872</v>
      </c>
      <c r="AR31" t="s">
        <v>873</v>
      </c>
      <c r="AS31" t="s">
        <v>781</v>
      </c>
      <c r="AT31" t="s">
        <v>370</v>
      </c>
      <c r="AU31" t="s">
        <v>354</v>
      </c>
      <c r="AV31"/>
      <c r="AW31" t="s">
        <v>562</v>
      </c>
      <c r="AX31" t="s">
        <v>563</v>
      </c>
      <c r="AY31" t="s">
        <v>608</v>
      </c>
      <c r="AZ31" t="s">
        <v>609</v>
      </c>
      <c r="BA31" t="s">
        <v>444</v>
      </c>
      <c r="BB31" t="s">
        <v>445</v>
      </c>
      <c r="BC31" t="s">
        <v>312</v>
      </c>
      <c r="BD31" t="s">
        <v>353</v>
      </c>
      <c r="BE31" t="s">
        <v>874</v>
      </c>
      <c r="BF31" t="s">
        <v>314</v>
      </c>
      <c r="BG31"/>
      <c r="BH31"/>
      <c r="BI31"/>
      <c r="BJ31"/>
      <c r="BK31"/>
      <c r="BL31"/>
      <c r="BM31" t="s">
        <v>305</v>
      </c>
      <c r="BN31" t="s">
        <v>305</v>
      </c>
      <c r="BO31" t="s">
        <v>875</v>
      </c>
      <c r="BP31"/>
      <c r="BQ31" t="s">
        <v>876</v>
      </c>
      <c r="BR31">
        <v>8.1999999999999993</v>
      </c>
      <c r="BS31">
        <v>6.9</v>
      </c>
      <c r="BT31">
        <v>6.6</v>
      </c>
      <c r="BU31">
        <v>9.1</v>
      </c>
      <c r="BV31">
        <v>8.1</v>
      </c>
      <c r="BW31">
        <v>8.6</v>
      </c>
      <c r="BX31">
        <v>0</v>
      </c>
      <c r="BY31">
        <v>8.1</v>
      </c>
      <c r="BZ31">
        <v>8.1999999999999993</v>
      </c>
      <c r="CA31">
        <v>0</v>
      </c>
      <c r="CB31">
        <v>0</v>
      </c>
      <c r="CC31">
        <v>8</v>
      </c>
      <c r="CD31">
        <v>0</v>
      </c>
      <c r="CE31">
        <v>0</v>
      </c>
      <c r="CF31">
        <v>0</v>
      </c>
      <c r="CG31">
        <v>0</v>
      </c>
      <c r="CH31">
        <v>0</v>
      </c>
      <c r="CI31">
        <v>0</v>
      </c>
      <c r="CJ31">
        <v>0</v>
      </c>
      <c r="CK31">
        <v>0</v>
      </c>
      <c r="CL31">
        <v>0</v>
      </c>
      <c r="CM31">
        <v>8.1</v>
      </c>
      <c r="CN31">
        <v>6.9</v>
      </c>
      <c r="CO31">
        <v>8</v>
      </c>
      <c r="CP31">
        <v>9.9</v>
      </c>
      <c r="CQ31">
        <v>8.5</v>
      </c>
      <c r="CR31">
        <v>8.4</v>
      </c>
      <c r="CS31">
        <v>0</v>
      </c>
      <c r="CT31">
        <v>9.1999999999999993</v>
      </c>
      <c r="CU31">
        <v>7.1</v>
      </c>
      <c r="CV31">
        <v>0</v>
      </c>
      <c r="CW31">
        <v>0</v>
      </c>
      <c r="CX31">
        <v>8.8000000000000007</v>
      </c>
      <c r="CY31">
        <v>0</v>
      </c>
      <c r="CZ31">
        <v>0</v>
      </c>
      <c r="DA31">
        <v>0</v>
      </c>
      <c r="DB31">
        <v>0</v>
      </c>
      <c r="DC31">
        <v>0</v>
      </c>
      <c r="DD31">
        <v>0</v>
      </c>
      <c r="DE31">
        <v>0</v>
      </c>
      <c r="DF31">
        <v>0</v>
      </c>
      <c r="DG31">
        <v>0</v>
      </c>
      <c r="DH31">
        <v>7.8</v>
      </c>
      <c r="DI31">
        <v>6.7</v>
      </c>
      <c r="DJ31">
        <v>9</v>
      </c>
      <c r="DK31">
        <v>9.6</v>
      </c>
      <c r="DL31">
        <v>9.1</v>
      </c>
      <c r="DM31">
        <v>8.8000000000000007</v>
      </c>
      <c r="DN31">
        <v>0</v>
      </c>
      <c r="DO31">
        <v>9.4</v>
      </c>
      <c r="DP31">
        <v>7.6</v>
      </c>
      <c r="DQ31">
        <v>0</v>
      </c>
      <c r="DR31">
        <v>0</v>
      </c>
      <c r="DS31">
        <v>9</v>
      </c>
      <c r="DT31">
        <v>0</v>
      </c>
      <c r="DU31">
        <v>0</v>
      </c>
      <c r="DV31">
        <v>0</v>
      </c>
      <c r="DW31">
        <v>0</v>
      </c>
      <c r="DX31">
        <v>0</v>
      </c>
      <c r="DY31">
        <v>0</v>
      </c>
      <c r="DZ31">
        <v>0</v>
      </c>
      <c r="EA31">
        <v>0</v>
      </c>
      <c r="EB31">
        <v>0</v>
      </c>
      <c r="EC31">
        <v>7.75</v>
      </c>
      <c r="ED31">
        <v>5</v>
      </c>
      <c r="EE31">
        <v>5.75</v>
      </c>
      <c r="EF31"/>
      <c r="EG31"/>
      <c r="EH31"/>
      <c r="EI31"/>
      <c r="EJ31">
        <v>6.25</v>
      </c>
      <c r="EK31"/>
      <c r="EL31"/>
      <c r="EM31"/>
      <c r="EN31"/>
      <c r="EO31"/>
      <c r="EP31"/>
      <c r="EQ31"/>
      <c r="ER31"/>
      <c r="ES31"/>
      <c r="ET31"/>
      <c r="EU31"/>
      <c r="EV31"/>
      <c r="EW31">
        <v>119</v>
      </c>
      <c r="EX31"/>
      <c r="EY31">
        <v>101.5</v>
      </c>
      <c r="EZ31"/>
      <c r="FA31"/>
      <c r="FB31"/>
      <c r="FC31"/>
      <c r="FD31"/>
    </row>
    <row r="32" spans="1:160" x14ac:dyDescent="0.25">
      <c r="A32" s="1" t="str">
        <f t="shared" si="0"/>
        <v>086208004243</v>
      </c>
      <c r="B32" t="s">
        <v>877</v>
      </c>
      <c r="C32" t="s">
        <v>878</v>
      </c>
      <c r="D32" t="s">
        <v>879</v>
      </c>
      <c r="E32" t="s">
        <v>280</v>
      </c>
      <c r="F32" t="s">
        <v>880</v>
      </c>
      <c r="G32" t="s">
        <v>881</v>
      </c>
      <c r="H32" t="s">
        <v>882</v>
      </c>
      <c r="I32" t="s">
        <v>69</v>
      </c>
      <c r="J32" t="s">
        <v>883</v>
      </c>
      <c r="K32" t="s">
        <v>516</v>
      </c>
      <c r="L32"/>
      <c r="M32" t="s">
        <v>287</v>
      </c>
      <c r="N32" t="s">
        <v>288</v>
      </c>
      <c r="O32"/>
      <c r="P32" t="s">
        <v>289</v>
      </c>
      <c r="Q32" t="s">
        <v>884</v>
      </c>
      <c r="R32" t="s">
        <v>287</v>
      </c>
      <c r="S32" t="s">
        <v>287</v>
      </c>
      <c r="T32" t="s">
        <v>287</v>
      </c>
      <c r="U32" t="s">
        <v>885</v>
      </c>
      <c r="V32" t="s">
        <v>886</v>
      </c>
      <c r="W32" t="s">
        <v>887</v>
      </c>
      <c r="X32" t="s">
        <v>888</v>
      </c>
      <c r="Y32" t="s">
        <v>889</v>
      </c>
      <c r="Z32" t="s">
        <v>890</v>
      </c>
      <c r="AA32" t="s">
        <v>287</v>
      </c>
      <c r="AB32"/>
      <c r="AC32"/>
      <c r="AD32"/>
      <c r="AE32"/>
      <c r="AF32" t="s">
        <v>421</v>
      </c>
      <c r="AG32" t="s">
        <v>777</v>
      </c>
      <c r="AH32" t="s">
        <v>778</v>
      </c>
      <c r="AI32" t="s">
        <v>421</v>
      </c>
      <c r="AJ32" t="s">
        <v>777</v>
      </c>
      <c r="AK32" t="s">
        <v>778</v>
      </c>
      <c r="AL32" t="s">
        <v>421</v>
      </c>
      <c r="AM32" t="s">
        <v>777</v>
      </c>
      <c r="AN32" t="s">
        <v>778</v>
      </c>
      <c r="AO32" t="s">
        <v>299</v>
      </c>
      <c r="AP32" t="s">
        <v>348</v>
      </c>
      <c r="AQ32" t="s">
        <v>294</v>
      </c>
      <c r="AR32" t="s">
        <v>891</v>
      </c>
      <c r="AS32" t="s">
        <v>892</v>
      </c>
      <c r="AT32" t="s">
        <v>893</v>
      </c>
      <c r="AU32" t="s">
        <v>305</v>
      </c>
      <c r="AV32"/>
      <c r="AW32" t="s">
        <v>349</v>
      </c>
      <c r="AX32" t="s">
        <v>350</v>
      </c>
      <c r="AY32"/>
      <c r="AZ32"/>
      <c r="BA32"/>
      <c r="BB32"/>
      <c r="BC32" t="s">
        <v>312</v>
      </c>
      <c r="BD32" t="s">
        <v>353</v>
      </c>
      <c r="BE32"/>
      <c r="BF32" t="s">
        <v>314</v>
      </c>
      <c r="BG32"/>
      <c r="BH32"/>
      <c r="BI32"/>
      <c r="BJ32"/>
      <c r="BK32"/>
      <c r="BL32"/>
      <c r="BM32" t="s">
        <v>305</v>
      </c>
      <c r="BN32" t="s">
        <v>354</v>
      </c>
      <c r="BO32" t="s">
        <v>894</v>
      </c>
      <c r="BP32" t="s">
        <v>895</v>
      </c>
      <c r="BQ32"/>
      <c r="BR32">
        <v>8.1999999999999993</v>
      </c>
      <c r="BS32">
        <v>7.4</v>
      </c>
      <c r="BT32">
        <v>6.8</v>
      </c>
      <c r="BU32">
        <v>9.5</v>
      </c>
      <c r="BV32">
        <v>8.6</v>
      </c>
      <c r="BW32">
        <v>7.5</v>
      </c>
      <c r="BX32">
        <v>7.2</v>
      </c>
      <c r="BY32">
        <v>0</v>
      </c>
      <c r="BZ32">
        <v>0</v>
      </c>
      <c r="CA32">
        <v>7.5</v>
      </c>
      <c r="CB32">
        <v>0</v>
      </c>
      <c r="CC32">
        <v>8.8000000000000007</v>
      </c>
      <c r="CD32">
        <v>0</v>
      </c>
      <c r="CE32">
        <v>0</v>
      </c>
      <c r="CF32">
        <v>0</v>
      </c>
      <c r="CG32">
        <v>0</v>
      </c>
      <c r="CH32">
        <v>0</v>
      </c>
      <c r="CI32">
        <v>0</v>
      </c>
      <c r="CJ32">
        <v>0</v>
      </c>
      <c r="CK32">
        <v>0</v>
      </c>
      <c r="CL32">
        <v>0</v>
      </c>
      <c r="CM32">
        <v>7.5</v>
      </c>
      <c r="CN32">
        <v>7.3</v>
      </c>
      <c r="CO32">
        <v>6.7</v>
      </c>
      <c r="CP32">
        <v>9.6999999999999993</v>
      </c>
      <c r="CQ32">
        <v>8.4</v>
      </c>
      <c r="CR32">
        <v>9.5</v>
      </c>
      <c r="CS32">
        <v>8.1999999999999993</v>
      </c>
      <c r="CT32">
        <v>0</v>
      </c>
      <c r="CU32">
        <v>0</v>
      </c>
      <c r="CV32">
        <v>8</v>
      </c>
      <c r="CW32">
        <v>0</v>
      </c>
      <c r="CX32">
        <v>9</v>
      </c>
      <c r="CY32">
        <v>0</v>
      </c>
      <c r="CZ32">
        <v>0</v>
      </c>
      <c r="DA32">
        <v>0</v>
      </c>
      <c r="DB32">
        <v>0</v>
      </c>
      <c r="DC32">
        <v>0</v>
      </c>
      <c r="DD32">
        <v>0</v>
      </c>
      <c r="DE32">
        <v>0</v>
      </c>
      <c r="DF32">
        <v>0</v>
      </c>
      <c r="DG32">
        <v>0</v>
      </c>
      <c r="DH32">
        <v>8</v>
      </c>
      <c r="DI32">
        <v>7.7</v>
      </c>
      <c r="DJ32">
        <v>9.1999999999999993</v>
      </c>
      <c r="DK32">
        <v>9.9</v>
      </c>
      <c r="DL32">
        <v>9</v>
      </c>
      <c r="DM32">
        <v>9.1</v>
      </c>
      <c r="DN32">
        <v>9</v>
      </c>
      <c r="DO32">
        <v>0</v>
      </c>
      <c r="DP32">
        <v>0</v>
      </c>
      <c r="DQ32">
        <v>8.3000000000000007</v>
      </c>
      <c r="DR32">
        <v>0</v>
      </c>
      <c r="DS32">
        <v>9.1</v>
      </c>
      <c r="DT32">
        <v>0</v>
      </c>
      <c r="DU32">
        <v>0</v>
      </c>
      <c r="DV32">
        <v>0</v>
      </c>
      <c r="DW32">
        <v>0</v>
      </c>
      <c r="DX32">
        <v>0</v>
      </c>
      <c r="DY32">
        <v>0</v>
      </c>
      <c r="DZ32">
        <v>0</v>
      </c>
      <c r="EA32">
        <v>0</v>
      </c>
      <c r="EB32">
        <v>0</v>
      </c>
      <c r="EC32">
        <v>5.75</v>
      </c>
      <c r="ED32">
        <v>6.25</v>
      </c>
      <c r="EE32">
        <v>3.75</v>
      </c>
      <c r="EF32"/>
      <c r="EG32"/>
      <c r="EH32"/>
      <c r="EI32">
        <v>7.25</v>
      </c>
      <c r="EJ32"/>
      <c r="EK32"/>
      <c r="EL32"/>
      <c r="EM32"/>
      <c r="EN32"/>
      <c r="EO32"/>
      <c r="EP32"/>
      <c r="EQ32"/>
      <c r="ER32"/>
      <c r="ES32"/>
      <c r="ET32"/>
      <c r="EU32"/>
      <c r="EV32"/>
      <c r="EW32"/>
      <c r="EX32"/>
      <c r="EY32"/>
      <c r="EZ32"/>
      <c r="FA32"/>
      <c r="FB32"/>
      <c r="FC32"/>
      <c r="FD32"/>
    </row>
    <row r="33" spans="1:160" x14ac:dyDescent="0.25">
      <c r="A33" s="1" t="str">
        <f t="shared" si="0"/>
        <v>086308006658</v>
      </c>
      <c r="B33" t="s">
        <v>896</v>
      </c>
      <c r="C33" t="s">
        <v>897</v>
      </c>
      <c r="D33" t="s">
        <v>898</v>
      </c>
      <c r="E33" t="s">
        <v>278</v>
      </c>
      <c r="F33" t="s">
        <v>899</v>
      </c>
      <c r="G33" t="s">
        <v>900</v>
      </c>
      <c r="H33" t="s">
        <v>901</v>
      </c>
      <c r="I33" t="s">
        <v>59</v>
      </c>
      <c r="J33" t="s">
        <v>902</v>
      </c>
      <c r="K33" t="s">
        <v>516</v>
      </c>
      <c r="L33"/>
      <c r="M33" t="s">
        <v>287</v>
      </c>
      <c r="N33" t="s">
        <v>288</v>
      </c>
      <c r="O33"/>
      <c r="P33" t="s">
        <v>289</v>
      </c>
      <c r="Q33" t="s">
        <v>903</v>
      </c>
      <c r="R33" t="s">
        <v>287</v>
      </c>
      <c r="S33" t="s">
        <v>287</v>
      </c>
      <c r="T33" t="s">
        <v>287</v>
      </c>
      <c r="U33"/>
      <c r="V33"/>
      <c r="W33"/>
      <c r="X33"/>
      <c r="Y33"/>
      <c r="Z33"/>
      <c r="AA33" t="s">
        <v>287</v>
      </c>
      <c r="AB33"/>
      <c r="AC33"/>
      <c r="AD33"/>
      <c r="AE33"/>
      <c r="AF33" t="s">
        <v>421</v>
      </c>
      <c r="AG33" t="s">
        <v>750</v>
      </c>
      <c r="AH33" t="s">
        <v>751</v>
      </c>
      <c r="AI33" t="s">
        <v>421</v>
      </c>
      <c r="AJ33" t="s">
        <v>750</v>
      </c>
      <c r="AK33" t="s">
        <v>751</v>
      </c>
      <c r="AL33" t="s">
        <v>421</v>
      </c>
      <c r="AM33" t="s">
        <v>750</v>
      </c>
      <c r="AN33" t="s">
        <v>751</v>
      </c>
      <c r="AO33" t="s">
        <v>299</v>
      </c>
      <c r="AP33" t="s">
        <v>348</v>
      </c>
      <c r="AQ33" t="s">
        <v>544</v>
      </c>
      <c r="AR33" t="s">
        <v>893</v>
      </c>
      <c r="AS33" t="s">
        <v>328</v>
      </c>
      <c r="AT33" t="s">
        <v>485</v>
      </c>
      <c r="AU33" t="s">
        <v>354</v>
      </c>
      <c r="AV33"/>
      <c r="AW33" t="s">
        <v>332</v>
      </c>
      <c r="AX33" t="s">
        <v>333</v>
      </c>
      <c r="AY33" t="s">
        <v>308</v>
      </c>
      <c r="AZ33" t="s">
        <v>309</v>
      </c>
      <c r="BA33" t="s">
        <v>562</v>
      </c>
      <c r="BB33" t="s">
        <v>563</v>
      </c>
      <c r="BC33" t="s">
        <v>312</v>
      </c>
      <c r="BD33" t="s">
        <v>353</v>
      </c>
      <c r="BE33"/>
      <c r="BF33" t="s">
        <v>314</v>
      </c>
      <c r="BG33"/>
      <c r="BH33"/>
      <c r="BI33"/>
      <c r="BJ33"/>
      <c r="BK33"/>
      <c r="BL33"/>
      <c r="BM33" t="s">
        <v>305</v>
      </c>
      <c r="BN33" t="s">
        <v>354</v>
      </c>
      <c r="BO33" t="s">
        <v>904</v>
      </c>
      <c r="BP33"/>
      <c r="BQ33"/>
      <c r="BR33">
        <v>7.5</v>
      </c>
      <c r="BS33">
        <v>7.8</v>
      </c>
      <c r="BT33">
        <v>9.4</v>
      </c>
      <c r="BU33">
        <v>10</v>
      </c>
      <c r="BV33">
        <v>9</v>
      </c>
      <c r="BW33">
        <v>9.1</v>
      </c>
      <c r="BX33">
        <v>9.1999999999999993</v>
      </c>
      <c r="BY33">
        <v>0</v>
      </c>
      <c r="BZ33">
        <v>0</v>
      </c>
      <c r="CA33">
        <v>0</v>
      </c>
      <c r="CB33">
        <v>8.5</v>
      </c>
      <c r="CC33">
        <v>0</v>
      </c>
      <c r="CD33">
        <v>0</v>
      </c>
      <c r="CE33">
        <v>0</v>
      </c>
      <c r="CF33">
        <v>0</v>
      </c>
      <c r="CG33">
        <v>0</v>
      </c>
      <c r="CH33">
        <v>0</v>
      </c>
      <c r="CI33">
        <v>0</v>
      </c>
      <c r="CJ33">
        <v>0</v>
      </c>
      <c r="CK33">
        <v>0</v>
      </c>
      <c r="CL33">
        <v>0</v>
      </c>
      <c r="CM33">
        <v>7.3</v>
      </c>
      <c r="CN33">
        <v>7.4</v>
      </c>
      <c r="CO33">
        <v>9.6999999999999993</v>
      </c>
      <c r="CP33">
        <v>9.4</v>
      </c>
      <c r="CQ33">
        <v>9.4</v>
      </c>
      <c r="CR33">
        <v>9</v>
      </c>
      <c r="CS33">
        <v>8.8000000000000007</v>
      </c>
      <c r="CT33">
        <v>0</v>
      </c>
      <c r="CU33">
        <v>0</v>
      </c>
      <c r="CV33">
        <v>0</v>
      </c>
      <c r="CW33">
        <v>8.8000000000000007</v>
      </c>
      <c r="CX33">
        <v>0</v>
      </c>
      <c r="CY33">
        <v>0</v>
      </c>
      <c r="CZ33">
        <v>0</v>
      </c>
      <c r="DA33">
        <v>0</v>
      </c>
      <c r="DB33">
        <v>0</v>
      </c>
      <c r="DC33">
        <v>0</v>
      </c>
      <c r="DD33">
        <v>0</v>
      </c>
      <c r="DE33">
        <v>0</v>
      </c>
      <c r="DF33">
        <v>0</v>
      </c>
      <c r="DG33">
        <v>0</v>
      </c>
      <c r="DH33">
        <v>6.8</v>
      </c>
      <c r="DI33">
        <v>7.6</v>
      </c>
      <c r="DJ33">
        <v>9.4</v>
      </c>
      <c r="DK33">
        <v>9.9</v>
      </c>
      <c r="DL33">
        <v>9.3000000000000007</v>
      </c>
      <c r="DM33">
        <v>9</v>
      </c>
      <c r="DN33">
        <v>8.6999999999999993</v>
      </c>
      <c r="DO33">
        <v>0</v>
      </c>
      <c r="DP33">
        <v>0</v>
      </c>
      <c r="DQ33">
        <v>0</v>
      </c>
      <c r="DR33">
        <v>9.1999999999999993</v>
      </c>
      <c r="DS33">
        <v>0</v>
      </c>
      <c r="DT33">
        <v>0</v>
      </c>
      <c r="DU33">
        <v>0</v>
      </c>
      <c r="DV33">
        <v>0</v>
      </c>
      <c r="DW33">
        <v>0</v>
      </c>
      <c r="DX33">
        <v>0</v>
      </c>
      <c r="DY33">
        <v>0</v>
      </c>
      <c r="DZ33">
        <v>0</v>
      </c>
      <c r="EA33">
        <v>0</v>
      </c>
      <c r="EB33">
        <v>0</v>
      </c>
      <c r="EC33">
        <v>4.5</v>
      </c>
      <c r="ED33">
        <v>6</v>
      </c>
      <c r="EE33">
        <v>7.75</v>
      </c>
      <c r="EF33"/>
      <c r="EG33">
        <v>8.75</v>
      </c>
      <c r="EH33"/>
      <c r="EI33"/>
      <c r="EJ33"/>
      <c r="EK33"/>
      <c r="EL33"/>
      <c r="EM33"/>
      <c r="EN33"/>
      <c r="EO33"/>
      <c r="EP33"/>
      <c r="EQ33"/>
      <c r="ER33"/>
      <c r="ES33"/>
      <c r="ET33"/>
      <c r="EU33"/>
      <c r="EV33"/>
      <c r="EW33"/>
      <c r="EX33"/>
      <c r="EY33"/>
      <c r="EZ33"/>
      <c r="FA33"/>
      <c r="FB33"/>
      <c r="FC33"/>
      <c r="FD33"/>
    </row>
    <row r="34" spans="1:160" x14ac:dyDescent="0.25">
      <c r="A34" s="1" t="str">
        <f t="shared" si="0"/>
        <v>082208000404</v>
      </c>
      <c r="B34" t="s">
        <v>905</v>
      </c>
      <c r="C34" t="s">
        <v>906</v>
      </c>
      <c r="D34" t="s">
        <v>907</v>
      </c>
      <c r="E34" t="s">
        <v>280</v>
      </c>
      <c r="F34" t="s">
        <v>867</v>
      </c>
      <c r="G34" t="s">
        <v>908</v>
      </c>
      <c r="H34" t="s">
        <v>909</v>
      </c>
      <c r="I34" t="s">
        <v>89</v>
      </c>
      <c r="J34" t="s">
        <v>910</v>
      </c>
      <c r="K34" t="s">
        <v>321</v>
      </c>
      <c r="L34"/>
      <c r="M34" t="s">
        <v>287</v>
      </c>
      <c r="N34" t="s">
        <v>288</v>
      </c>
      <c r="O34"/>
      <c r="P34" t="s">
        <v>289</v>
      </c>
      <c r="Q34" t="s">
        <v>911</v>
      </c>
      <c r="R34" t="s">
        <v>287</v>
      </c>
      <c r="S34" t="s">
        <v>287</v>
      </c>
      <c r="T34" t="s">
        <v>287</v>
      </c>
      <c r="U34"/>
      <c r="V34"/>
      <c r="W34"/>
      <c r="X34"/>
      <c r="Y34"/>
      <c r="Z34"/>
      <c r="AA34" t="s">
        <v>287</v>
      </c>
      <c r="AB34"/>
      <c r="AC34"/>
      <c r="AD34"/>
      <c r="AE34"/>
      <c r="AF34" t="s">
        <v>323</v>
      </c>
      <c r="AG34" t="s">
        <v>912</v>
      </c>
      <c r="AH34" t="s">
        <v>913</v>
      </c>
      <c r="AI34" t="s">
        <v>323</v>
      </c>
      <c r="AJ34" t="s">
        <v>912</v>
      </c>
      <c r="AK34" t="s">
        <v>913</v>
      </c>
      <c r="AL34" t="s">
        <v>323</v>
      </c>
      <c r="AM34" t="s">
        <v>912</v>
      </c>
      <c r="AN34" t="s">
        <v>913</v>
      </c>
      <c r="AO34" t="s">
        <v>299</v>
      </c>
      <c r="AP34" t="s">
        <v>348</v>
      </c>
      <c r="AQ34" t="s">
        <v>294</v>
      </c>
      <c r="AR34" t="s">
        <v>914</v>
      </c>
      <c r="AS34" t="s">
        <v>915</v>
      </c>
      <c r="AT34" t="s">
        <v>916</v>
      </c>
      <c r="AU34" t="s">
        <v>354</v>
      </c>
      <c r="AV34"/>
      <c r="AW34" t="s">
        <v>306</v>
      </c>
      <c r="AX34" t="s">
        <v>307</v>
      </c>
      <c r="AY34" t="s">
        <v>349</v>
      </c>
      <c r="AZ34" t="s">
        <v>350</v>
      </c>
      <c r="BA34" t="s">
        <v>308</v>
      </c>
      <c r="BB34" t="s">
        <v>309</v>
      </c>
      <c r="BC34" t="s">
        <v>312</v>
      </c>
      <c r="BD34" t="s">
        <v>353</v>
      </c>
      <c r="BE34"/>
      <c r="BF34" t="s">
        <v>314</v>
      </c>
      <c r="BG34"/>
      <c r="BH34"/>
      <c r="BI34"/>
      <c r="BJ34"/>
      <c r="BK34"/>
      <c r="BL34"/>
      <c r="BM34" t="s">
        <v>305</v>
      </c>
      <c r="BN34" t="s">
        <v>354</v>
      </c>
      <c r="BO34" t="s">
        <v>917</v>
      </c>
      <c r="BP34"/>
      <c r="BQ34"/>
      <c r="BR34">
        <v>8.9</v>
      </c>
      <c r="BS34">
        <v>7.2</v>
      </c>
      <c r="BT34">
        <v>9.4</v>
      </c>
      <c r="BU34">
        <v>9.5</v>
      </c>
      <c r="BV34">
        <v>9.4</v>
      </c>
      <c r="BW34">
        <v>0</v>
      </c>
      <c r="BX34">
        <v>0</v>
      </c>
      <c r="BY34">
        <v>9.8000000000000007</v>
      </c>
      <c r="BZ34">
        <v>9.5</v>
      </c>
      <c r="CA34">
        <v>9.4</v>
      </c>
      <c r="CB34">
        <v>0</v>
      </c>
      <c r="CC34">
        <v>9.8000000000000007</v>
      </c>
      <c r="CD34">
        <v>0</v>
      </c>
      <c r="CE34">
        <v>0</v>
      </c>
      <c r="CF34">
        <v>0</v>
      </c>
      <c r="CG34">
        <v>0</v>
      </c>
      <c r="CH34">
        <v>0</v>
      </c>
      <c r="CI34">
        <v>0</v>
      </c>
      <c r="CJ34">
        <v>0</v>
      </c>
      <c r="CK34">
        <v>0</v>
      </c>
      <c r="CL34">
        <v>0</v>
      </c>
      <c r="CM34">
        <v>9.4</v>
      </c>
      <c r="CN34">
        <v>8.3000000000000007</v>
      </c>
      <c r="CO34">
        <v>9.1</v>
      </c>
      <c r="CP34">
        <v>9.6</v>
      </c>
      <c r="CQ34">
        <v>9.1</v>
      </c>
      <c r="CR34">
        <v>0</v>
      </c>
      <c r="CS34">
        <v>0</v>
      </c>
      <c r="CT34">
        <v>8.6999999999999993</v>
      </c>
      <c r="CU34">
        <v>8</v>
      </c>
      <c r="CV34">
        <v>9</v>
      </c>
      <c r="CW34">
        <v>0</v>
      </c>
      <c r="CX34">
        <v>9.6999999999999993</v>
      </c>
      <c r="CY34">
        <v>0</v>
      </c>
      <c r="CZ34">
        <v>0</v>
      </c>
      <c r="DA34">
        <v>0</v>
      </c>
      <c r="DB34">
        <v>0</v>
      </c>
      <c r="DC34">
        <v>0</v>
      </c>
      <c r="DD34">
        <v>0</v>
      </c>
      <c r="DE34">
        <v>0</v>
      </c>
      <c r="DF34">
        <v>0</v>
      </c>
      <c r="DG34">
        <v>0</v>
      </c>
      <c r="DH34">
        <v>8.9</v>
      </c>
      <c r="DI34">
        <v>7.9</v>
      </c>
      <c r="DJ34">
        <v>9.1999999999999993</v>
      </c>
      <c r="DK34">
        <v>9.5</v>
      </c>
      <c r="DL34">
        <v>9.1999999999999993</v>
      </c>
      <c r="DM34">
        <v>0</v>
      </c>
      <c r="DN34">
        <v>0</v>
      </c>
      <c r="DO34">
        <v>8.3000000000000007</v>
      </c>
      <c r="DP34">
        <v>8.5</v>
      </c>
      <c r="DQ34">
        <v>8</v>
      </c>
      <c r="DR34">
        <v>0</v>
      </c>
      <c r="DS34">
        <v>9.9</v>
      </c>
      <c r="DT34">
        <v>0</v>
      </c>
      <c r="DU34">
        <v>0</v>
      </c>
      <c r="DV34">
        <v>0</v>
      </c>
      <c r="DW34">
        <v>0</v>
      </c>
      <c r="DX34">
        <v>0</v>
      </c>
      <c r="DY34">
        <v>0</v>
      </c>
      <c r="DZ34">
        <v>0</v>
      </c>
      <c r="EA34">
        <v>0</v>
      </c>
      <c r="EB34">
        <v>0</v>
      </c>
      <c r="EC34">
        <v>6</v>
      </c>
      <c r="ED34">
        <v>6.5</v>
      </c>
      <c r="EE34"/>
      <c r="EF34"/>
      <c r="EG34"/>
      <c r="EH34"/>
      <c r="EI34"/>
      <c r="EJ34">
        <v>3.6</v>
      </c>
      <c r="EK34">
        <v>7.5</v>
      </c>
      <c r="EL34"/>
      <c r="EM34"/>
      <c r="EN34"/>
      <c r="EO34"/>
      <c r="EP34"/>
      <c r="EQ34"/>
      <c r="ER34"/>
      <c r="ES34"/>
      <c r="ET34"/>
      <c r="EU34"/>
      <c r="EV34"/>
      <c r="EW34"/>
      <c r="EX34"/>
      <c r="EY34"/>
      <c r="EZ34"/>
      <c r="FA34"/>
      <c r="FB34"/>
      <c r="FC34"/>
      <c r="FD34"/>
    </row>
    <row r="35" spans="1:160" x14ac:dyDescent="0.25">
      <c r="A35" s="1" t="str">
        <f t="shared" si="0"/>
        <v>094308011074</v>
      </c>
      <c r="B35" t="s">
        <v>918</v>
      </c>
      <c r="C35" t="s">
        <v>919</v>
      </c>
      <c r="D35" t="s">
        <v>920</v>
      </c>
      <c r="E35" t="s">
        <v>278</v>
      </c>
      <c r="F35" t="s">
        <v>921</v>
      </c>
      <c r="G35" t="s">
        <v>922</v>
      </c>
      <c r="H35" t="s">
        <v>923</v>
      </c>
      <c r="I35" t="s">
        <v>29</v>
      </c>
      <c r="J35" t="s">
        <v>924</v>
      </c>
      <c r="K35" t="s">
        <v>476</v>
      </c>
      <c r="L35"/>
      <c r="M35" t="s">
        <v>287</v>
      </c>
      <c r="N35" t="s">
        <v>288</v>
      </c>
      <c r="O35"/>
      <c r="P35" t="s">
        <v>289</v>
      </c>
      <c r="Q35" t="s">
        <v>925</v>
      </c>
      <c r="R35" t="s">
        <v>287</v>
      </c>
      <c r="S35" t="s">
        <v>287</v>
      </c>
      <c r="T35" t="s">
        <v>287</v>
      </c>
      <c r="U35"/>
      <c r="V35"/>
      <c r="W35"/>
      <c r="X35"/>
      <c r="Y35"/>
      <c r="Z35"/>
      <c r="AA35" t="s">
        <v>287</v>
      </c>
      <c r="AB35"/>
      <c r="AC35"/>
      <c r="AD35"/>
      <c r="AE35"/>
      <c r="AF35" t="s">
        <v>383</v>
      </c>
      <c r="AG35" t="s">
        <v>926</v>
      </c>
      <c r="AH35" t="s">
        <v>927</v>
      </c>
      <c r="AI35" t="s">
        <v>383</v>
      </c>
      <c r="AJ35" t="s">
        <v>926</v>
      </c>
      <c r="AK35" t="s">
        <v>927</v>
      </c>
      <c r="AL35" t="s">
        <v>383</v>
      </c>
      <c r="AM35" t="s">
        <v>928</v>
      </c>
      <c r="AN35" t="s">
        <v>929</v>
      </c>
      <c r="AO35" t="s">
        <v>299</v>
      </c>
      <c r="AP35" t="s">
        <v>348</v>
      </c>
      <c r="AQ35" t="s">
        <v>424</v>
      </c>
      <c r="AR35" t="s">
        <v>930</v>
      </c>
      <c r="AS35" t="s">
        <v>931</v>
      </c>
      <c r="AT35" t="s">
        <v>932</v>
      </c>
      <c r="AU35" t="s">
        <v>354</v>
      </c>
      <c r="AV35"/>
      <c r="AW35" t="s">
        <v>545</v>
      </c>
      <c r="AX35" t="s">
        <v>546</v>
      </c>
      <c r="AY35"/>
      <c r="AZ35"/>
      <c r="BA35"/>
      <c r="BB35"/>
      <c r="BC35" t="s">
        <v>312</v>
      </c>
      <c r="BD35" t="s">
        <v>353</v>
      </c>
      <c r="BE35" t="s">
        <v>933</v>
      </c>
      <c r="BF35" t="s">
        <v>314</v>
      </c>
      <c r="BG35"/>
      <c r="BH35"/>
      <c r="BI35"/>
      <c r="BJ35"/>
      <c r="BK35"/>
      <c r="BL35"/>
      <c r="BM35" t="s">
        <v>305</v>
      </c>
      <c r="BN35" t="s">
        <v>354</v>
      </c>
      <c r="BO35" t="s">
        <v>934</v>
      </c>
      <c r="BP35"/>
      <c r="BQ35"/>
      <c r="BR35">
        <v>5.4</v>
      </c>
      <c r="BS35">
        <v>7.1</v>
      </c>
      <c r="BT35">
        <v>5.7</v>
      </c>
      <c r="BU35">
        <v>8.1</v>
      </c>
      <c r="BV35">
        <v>7.8</v>
      </c>
      <c r="BW35">
        <v>7.5</v>
      </c>
      <c r="BX35">
        <v>0</v>
      </c>
      <c r="BY35">
        <v>6</v>
      </c>
      <c r="BZ35">
        <v>0</v>
      </c>
      <c r="CA35">
        <v>6.8</v>
      </c>
      <c r="CB35">
        <v>7.4</v>
      </c>
      <c r="CC35">
        <v>0</v>
      </c>
      <c r="CD35">
        <v>0</v>
      </c>
      <c r="CE35">
        <v>0</v>
      </c>
      <c r="CF35">
        <v>0</v>
      </c>
      <c r="CG35">
        <v>0</v>
      </c>
      <c r="CH35">
        <v>0</v>
      </c>
      <c r="CI35">
        <v>0</v>
      </c>
      <c r="CJ35">
        <v>0</v>
      </c>
      <c r="CK35">
        <v>0</v>
      </c>
      <c r="CL35">
        <v>0</v>
      </c>
      <c r="CM35">
        <v>5.6</v>
      </c>
      <c r="CN35">
        <v>8</v>
      </c>
      <c r="CO35">
        <v>9</v>
      </c>
      <c r="CP35">
        <v>8.8000000000000007</v>
      </c>
      <c r="CQ35">
        <v>8.5</v>
      </c>
      <c r="CR35">
        <v>8.5</v>
      </c>
      <c r="CS35">
        <v>8.6</v>
      </c>
      <c r="CT35">
        <v>0</v>
      </c>
      <c r="CU35">
        <v>0</v>
      </c>
      <c r="CV35">
        <v>7.8</v>
      </c>
      <c r="CW35">
        <v>0</v>
      </c>
      <c r="CX35">
        <v>8.4</v>
      </c>
      <c r="CY35">
        <v>0</v>
      </c>
      <c r="CZ35">
        <v>0</v>
      </c>
      <c r="DA35">
        <v>0</v>
      </c>
      <c r="DB35">
        <v>0</v>
      </c>
      <c r="DC35">
        <v>0</v>
      </c>
      <c r="DD35">
        <v>0</v>
      </c>
      <c r="DE35">
        <v>0</v>
      </c>
      <c r="DF35">
        <v>0</v>
      </c>
      <c r="DG35">
        <v>0</v>
      </c>
      <c r="DH35">
        <v>9.1999999999999993</v>
      </c>
      <c r="DI35">
        <v>8.6</v>
      </c>
      <c r="DJ35">
        <v>8.6999999999999993</v>
      </c>
      <c r="DK35">
        <v>9.1</v>
      </c>
      <c r="DL35">
        <v>9.5</v>
      </c>
      <c r="DM35">
        <v>9.4</v>
      </c>
      <c r="DN35">
        <v>9.5</v>
      </c>
      <c r="DO35">
        <v>9.1999999999999993</v>
      </c>
      <c r="DP35">
        <v>9.3000000000000007</v>
      </c>
      <c r="DQ35">
        <v>8.6</v>
      </c>
      <c r="DR35">
        <v>0</v>
      </c>
      <c r="DS35">
        <v>8.5</v>
      </c>
      <c r="DT35">
        <v>0</v>
      </c>
      <c r="DU35">
        <v>0</v>
      </c>
      <c r="DV35">
        <v>0</v>
      </c>
      <c r="DW35">
        <v>0</v>
      </c>
      <c r="DX35">
        <v>0</v>
      </c>
      <c r="DY35">
        <v>0</v>
      </c>
      <c r="DZ35">
        <v>0</v>
      </c>
      <c r="EA35">
        <v>0</v>
      </c>
      <c r="EB35">
        <v>0</v>
      </c>
      <c r="EC35">
        <v>8.25</v>
      </c>
      <c r="ED35">
        <v>7.25</v>
      </c>
      <c r="EE35">
        <v>4.25</v>
      </c>
      <c r="EF35"/>
      <c r="EG35"/>
      <c r="EH35"/>
      <c r="EI35">
        <v>7.5</v>
      </c>
      <c r="EJ35"/>
      <c r="EK35"/>
      <c r="EL35"/>
      <c r="EM35"/>
      <c r="EN35"/>
      <c r="EO35"/>
      <c r="EP35"/>
      <c r="EQ35"/>
      <c r="ER35"/>
      <c r="ES35"/>
      <c r="ET35"/>
      <c r="EU35"/>
      <c r="EV35"/>
      <c r="EW35"/>
      <c r="EX35"/>
      <c r="EY35"/>
      <c r="EZ35"/>
      <c r="FA35"/>
      <c r="FB35"/>
      <c r="FC35"/>
      <c r="FD35"/>
    </row>
    <row r="36" spans="1:160" x14ac:dyDescent="0.25">
      <c r="A36" s="1" t="str">
        <f t="shared" si="0"/>
        <v>092308001070</v>
      </c>
      <c r="B36" t="s">
        <v>935</v>
      </c>
      <c r="C36" t="s">
        <v>936</v>
      </c>
      <c r="D36" t="s">
        <v>937</v>
      </c>
      <c r="E36" t="s">
        <v>278</v>
      </c>
      <c r="F36" t="s">
        <v>938</v>
      </c>
      <c r="G36" t="s">
        <v>939</v>
      </c>
      <c r="H36" t="s">
        <v>940</v>
      </c>
      <c r="I36" t="s">
        <v>33</v>
      </c>
      <c r="J36" t="s">
        <v>941</v>
      </c>
      <c r="K36" t="s">
        <v>321</v>
      </c>
      <c r="L36"/>
      <c r="M36" t="s">
        <v>287</v>
      </c>
      <c r="N36" t="s">
        <v>288</v>
      </c>
      <c r="O36"/>
      <c r="P36" t="s">
        <v>289</v>
      </c>
      <c r="Q36" t="s">
        <v>942</v>
      </c>
      <c r="R36" t="s">
        <v>287</v>
      </c>
      <c r="S36" t="s">
        <v>287</v>
      </c>
      <c r="T36" t="s">
        <v>287</v>
      </c>
      <c r="U36" t="s">
        <v>943</v>
      </c>
      <c r="V36" t="s">
        <v>944</v>
      </c>
      <c r="W36" t="s">
        <v>945</v>
      </c>
      <c r="X36" t="s">
        <v>946</v>
      </c>
      <c r="Y36" t="s">
        <v>947</v>
      </c>
      <c r="Z36" t="s">
        <v>948</v>
      </c>
      <c r="AA36" t="s">
        <v>287</v>
      </c>
      <c r="AB36"/>
      <c r="AC36"/>
      <c r="AD36"/>
      <c r="AE36"/>
      <c r="AF36" t="s">
        <v>421</v>
      </c>
      <c r="AG36" t="s">
        <v>422</v>
      </c>
      <c r="AH36" t="s">
        <v>423</v>
      </c>
      <c r="AI36" t="s">
        <v>421</v>
      </c>
      <c r="AJ36" t="s">
        <v>422</v>
      </c>
      <c r="AK36" t="s">
        <v>423</v>
      </c>
      <c r="AL36" t="s">
        <v>421</v>
      </c>
      <c r="AM36" t="s">
        <v>422</v>
      </c>
      <c r="AN36" t="s">
        <v>423</v>
      </c>
      <c r="AO36" t="s">
        <v>299</v>
      </c>
      <c r="AP36" t="s">
        <v>348</v>
      </c>
      <c r="AQ36" t="s">
        <v>731</v>
      </c>
      <c r="AR36" t="s">
        <v>949</v>
      </c>
      <c r="AS36" t="s">
        <v>950</v>
      </c>
      <c r="AT36" t="s">
        <v>951</v>
      </c>
      <c r="AU36" t="s">
        <v>305</v>
      </c>
      <c r="AV36"/>
      <c r="AW36" t="s">
        <v>332</v>
      </c>
      <c r="AX36" t="s">
        <v>333</v>
      </c>
      <c r="AY36"/>
      <c r="AZ36"/>
      <c r="BA36"/>
      <c r="BB36"/>
      <c r="BC36" t="s">
        <v>312</v>
      </c>
      <c r="BD36" t="s">
        <v>353</v>
      </c>
      <c r="BE36"/>
      <c r="BF36" t="s">
        <v>314</v>
      </c>
      <c r="BG36"/>
      <c r="BH36"/>
      <c r="BI36"/>
      <c r="BJ36"/>
      <c r="BK36"/>
      <c r="BL36"/>
      <c r="BM36" t="s">
        <v>305</v>
      </c>
      <c r="BN36" t="s">
        <v>354</v>
      </c>
      <c r="BO36" t="s">
        <v>952</v>
      </c>
      <c r="BP36" t="s">
        <v>953</v>
      </c>
      <c r="BQ36"/>
      <c r="BR36">
        <v>9.1999999999999993</v>
      </c>
      <c r="BS36">
        <v>9</v>
      </c>
      <c r="BT36">
        <v>8.5</v>
      </c>
      <c r="BU36">
        <v>9.6</v>
      </c>
      <c r="BV36">
        <v>9.1</v>
      </c>
      <c r="BW36">
        <v>0</v>
      </c>
      <c r="BX36">
        <v>0</v>
      </c>
      <c r="BY36">
        <v>8.6999999999999993</v>
      </c>
      <c r="BZ36">
        <v>9.1</v>
      </c>
      <c r="CA36">
        <v>0</v>
      </c>
      <c r="CB36">
        <v>9.8000000000000007</v>
      </c>
      <c r="CC36">
        <v>9.3000000000000007</v>
      </c>
      <c r="CD36">
        <v>0</v>
      </c>
      <c r="CE36">
        <v>0</v>
      </c>
      <c r="CF36">
        <v>0</v>
      </c>
      <c r="CG36">
        <v>0</v>
      </c>
      <c r="CH36">
        <v>0</v>
      </c>
      <c r="CI36">
        <v>0</v>
      </c>
      <c r="CJ36">
        <v>0</v>
      </c>
      <c r="CK36">
        <v>0</v>
      </c>
      <c r="CL36">
        <v>0</v>
      </c>
      <c r="CM36">
        <v>9</v>
      </c>
      <c r="CN36">
        <v>8.4</v>
      </c>
      <c r="CO36">
        <v>9.3000000000000007</v>
      </c>
      <c r="CP36">
        <v>9.9</v>
      </c>
      <c r="CQ36">
        <v>9.5</v>
      </c>
      <c r="CR36">
        <v>0</v>
      </c>
      <c r="CS36">
        <v>0</v>
      </c>
      <c r="CT36">
        <v>8.6999999999999993</v>
      </c>
      <c r="CU36">
        <v>8.1</v>
      </c>
      <c r="CV36">
        <v>0</v>
      </c>
      <c r="CW36">
        <v>9.9</v>
      </c>
      <c r="CX36">
        <v>9.9</v>
      </c>
      <c r="CY36">
        <v>0</v>
      </c>
      <c r="CZ36">
        <v>0</v>
      </c>
      <c r="DA36">
        <v>0</v>
      </c>
      <c r="DB36">
        <v>0</v>
      </c>
      <c r="DC36">
        <v>0</v>
      </c>
      <c r="DD36">
        <v>0</v>
      </c>
      <c r="DE36">
        <v>0</v>
      </c>
      <c r="DF36">
        <v>0</v>
      </c>
      <c r="DG36">
        <v>0</v>
      </c>
      <c r="DH36">
        <v>9.8000000000000007</v>
      </c>
      <c r="DI36">
        <v>9.5</v>
      </c>
      <c r="DJ36">
        <v>9</v>
      </c>
      <c r="DK36">
        <v>9.9</v>
      </c>
      <c r="DL36">
        <v>9.3000000000000007</v>
      </c>
      <c r="DM36">
        <v>0</v>
      </c>
      <c r="DN36">
        <v>0</v>
      </c>
      <c r="DO36">
        <v>9.1999999999999993</v>
      </c>
      <c r="DP36">
        <v>9.5</v>
      </c>
      <c r="DQ36">
        <v>0</v>
      </c>
      <c r="DR36">
        <v>10</v>
      </c>
      <c r="DS36">
        <v>9.9</v>
      </c>
      <c r="DT36">
        <v>0</v>
      </c>
      <c r="DU36">
        <v>0</v>
      </c>
      <c r="DV36">
        <v>0</v>
      </c>
      <c r="DW36">
        <v>0</v>
      </c>
      <c r="DX36">
        <v>0</v>
      </c>
      <c r="DY36">
        <v>0</v>
      </c>
      <c r="DZ36">
        <v>0</v>
      </c>
      <c r="EA36">
        <v>0</v>
      </c>
      <c r="EB36">
        <v>0</v>
      </c>
      <c r="EC36">
        <v>7.25</v>
      </c>
      <c r="ED36">
        <v>7.25</v>
      </c>
      <c r="EE36">
        <v>5</v>
      </c>
      <c r="EF36"/>
      <c r="EG36">
        <v>7.75</v>
      </c>
      <c r="EH36"/>
      <c r="EI36"/>
      <c r="EJ36"/>
      <c r="EK36"/>
      <c r="EL36"/>
      <c r="EM36"/>
      <c r="EN36"/>
      <c r="EO36"/>
      <c r="EP36"/>
      <c r="EQ36"/>
      <c r="ER36"/>
      <c r="ES36"/>
      <c r="ET36"/>
      <c r="EU36"/>
      <c r="EV36"/>
      <c r="EW36"/>
      <c r="EX36"/>
      <c r="EY36"/>
      <c r="EZ36"/>
      <c r="FA36"/>
      <c r="FB36"/>
      <c r="FC36"/>
      <c r="FD36"/>
    </row>
    <row r="37" spans="1:160" x14ac:dyDescent="0.25">
      <c r="A37" s="1" t="str">
        <f t="shared" si="0"/>
        <v>089308002708</v>
      </c>
      <c r="B37" t="s">
        <v>954</v>
      </c>
      <c r="C37" t="s">
        <v>687</v>
      </c>
      <c r="D37" t="s">
        <v>955</v>
      </c>
      <c r="E37" t="s">
        <v>278</v>
      </c>
      <c r="F37" t="s">
        <v>956</v>
      </c>
      <c r="G37" t="s">
        <v>957</v>
      </c>
      <c r="H37" t="s">
        <v>958</v>
      </c>
      <c r="I37" t="s">
        <v>45</v>
      </c>
      <c r="J37" t="s">
        <v>959</v>
      </c>
      <c r="K37" t="s">
        <v>476</v>
      </c>
      <c r="L37"/>
      <c r="M37" t="s">
        <v>287</v>
      </c>
      <c r="N37" t="s">
        <v>288</v>
      </c>
      <c r="O37"/>
      <c r="P37" t="s">
        <v>289</v>
      </c>
      <c r="Q37" t="s">
        <v>960</v>
      </c>
      <c r="R37" t="s">
        <v>287</v>
      </c>
      <c r="S37" t="s">
        <v>287</v>
      </c>
      <c r="T37" t="s">
        <v>287</v>
      </c>
      <c r="U37" t="s">
        <v>961</v>
      </c>
      <c r="V37" t="s">
        <v>962</v>
      </c>
      <c r="W37" t="s">
        <v>963</v>
      </c>
      <c r="X37" t="s">
        <v>964</v>
      </c>
      <c r="Y37" t="s">
        <v>965</v>
      </c>
      <c r="Z37" t="s">
        <v>966</v>
      </c>
      <c r="AA37" t="s">
        <v>287</v>
      </c>
      <c r="AB37"/>
      <c r="AC37"/>
      <c r="AD37"/>
      <c r="AE37"/>
      <c r="AF37" t="s">
        <v>401</v>
      </c>
      <c r="AG37" t="s">
        <v>967</v>
      </c>
      <c r="AH37" t="s">
        <v>968</v>
      </c>
      <c r="AI37" t="s">
        <v>401</v>
      </c>
      <c r="AJ37" t="s">
        <v>967</v>
      </c>
      <c r="AK37" t="s">
        <v>968</v>
      </c>
      <c r="AL37" t="s">
        <v>401</v>
      </c>
      <c r="AM37" t="s">
        <v>967</v>
      </c>
      <c r="AN37" t="s">
        <v>968</v>
      </c>
      <c r="AO37" t="s">
        <v>299</v>
      </c>
      <c r="AP37" t="s">
        <v>388</v>
      </c>
      <c r="AQ37" t="s">
        <v>969</v>
      </c>
      <c r="AR37" t="s">
        <v>689</v>
      </c>
      <c r="AS37" t="s">
        <v>807</v>
      </c>
      <c r="AT37" t="s">
        <v>970</v>
      </c>
      <c r="AU37" t="s">
        <v>305</v>
      </c>
      <c r="AV37"/>
      <c r="AW37" t="s">
        <v>610</v>
      </c>
      <c r="AX37" t="s">
        <v>611</v>
      </c>
      <c r="AY37" t="s">
        <v>444</v>
      </c>
      <c r="AZ37" t="s">
        <v>445</v>
      </c>
      <c r="BA37" t="s">
        <v>330</v>
      </c>
      <c r="BB37" t="s">
        <v>331</v>
      </c>
      <c r="BC37" t="s">
        <v>669</v>
      </c>
      <c r="BD37" t="s">
        <v>353</v>
      </c>
      <c r="BE37"/>
      <c r="BF37" t="s">
        <v>314</v>
      </c>
      <c r="BG37"/>
      <c r="BH37"/>
      <c r="BI37"/>
      <c r="BJ37"/>
      <c r="BK37"/>
      <c r="BL37"/>
      <c r="BM37" t="s">
        <v>305</v>
      </c>
      <c r="BN37" t="s">
        <v>354</v>
      </c>
      <c r="BO37" t="s">
        <v>972</v>
      </c>
      <c r="BP37" t="s">
        <v>973</v>
      </c>
      <c r="BQ37"/>
      <c r="BR37">
        <v>7.1</v>
      </c>
      <c r="BS37">
        <v>8.1</v>
      </c>
      <c r="BT37">
        <v>8.1</v>
      </c>
      <c r="BU37">
        <v>9</v>
      </c>
      <c r="BV37">
        <v>8.5</v>
      </c>
      <c r="BW37">
        <v>0</v>
      </c>
      <c r="BX37">
        <v>0</v>
      </c>
      <c r="BY37">
        <v>7.5</v>
      </c>
      <c r="BZ37">
        <v>8.3000000000000007</v>
      </c>
      <c r="CA37">
        <v>8.3000000000000007</v>
      </c>
      <c r="CB37">
        <v>0</v>
      </c>
      <c r="CC37">
        <v>8.5</v>
      </c>
      <c r="CD37">
        <v>0</v>
      </c>
      <c r="CE37">
        <v>0</v>
      </c>
      <c r="CF37">
        <v>0</v>
      </c>
      <c r="CG37">
        <v>0</v>
      </c>
      <c r="CH37">
        <v>0</v>
      </c>
      <c r="CI37">
        <v>0</v>
      </c>
      <c r="CJ37">
        <v>0</v>
      </c>
      <c r="CK37">
        <v>0</v>
      </c>
      <c r="CL37">
        <v>0</v>
      </c>
      <c r="CM37">
        <v>7</v>
      </c>
      <c r="CN37">
        <v>8</v>
      </c>
      <c r="CO37">
        <v>8.3000000000000007</v>
      </c>
      <c r="CP37">
        <v>9.5</v>
      </c>
      <c r="CQ37">
        <v>8.9</v>
      </c>
      <c r="CR37">
        <v>0</v>
      </c>
      <c r="CS37">
        <v>0</v>
      </c>
      <c r="CT37">
        <v>8.1999999999999993</v>
      </c>
      <c r="CU37">
        <v>6.6</v>
      </c>
      <c r="CV37">
        <v>8.4</v>
      </c>
      <c r="CW37">
        <v>0</v>
      </c>
      <c r="CX37">
        <v>8.6</v>
      </c>
      <c r="CY37">
        <v>0</v>
      </c>
      <c r="CZ37">
        <v>0</v>
      </c>
      <c r="DA37">
        <v>0</v>
      </c>
      <c r="DB37">
        <v>0</v>
      </c>
      <c r="DC37">
        <v>0</v>
      </c>
      <c r="DD37">
        <v>0</v>
      </c>
      <c r="DE37">
        <v>0</v>
      </c>
      <c r="DF37">
        <v>0</v>
      </c>
      <c r="DG37">
        <v>0</v>
      </c>
      <c r="DH37">
        <v>7.1</v>
      </c>
      <c r="DI37">
        <v>8.1</v>
      </c>
      <c r="DJ37">
        <v>7.7</v>
      </c>
      <c r="DK37">
        <v>9.5</v>
      </c>
      <c r="DL37">
        <v>9</v>
      </c>
      <c r="DM37">
        <v>0</v>
      </c>
      <c r="DN37">
        <v>0</v>
      </c>
      <c r="DO37">
        <v>7.6</v>
      </c>
      <c r="DP37">
        <v>7.8</v>
      </c>
      <c r="DQ37">
        <v>7.9</v>
      </c>
      <c r="DR37">
        <v>0</v>
      </c>
      <c r="DS37">
        <v>9.5</v>
      </c>
      <c r="DT37">
        <v>0</v>
      </c>
      <c r="DU37">
        <v>0</v>
      </c>
      <c r="DV37">
        <v>0</v>
      </c>
      <c r="DW37">
        <v>0</v>
      </c>
      <c r="DX37">
        <v>0</v>
      </c>
      <c r="DY37">
        <v>0</v>
      </c>
      <c r="DZ37">
        <v>0</v>
      </c>
      <c r="EA37">
        <v>0</v>
      </c>
      <c r="EB37">
        <v>0</v>
      </c>
      <c r="EC37">
        <v>6.25</v>
      </c>
      <c r="ED37">
        <v>6.25</v>
      </c>
      <c r="EE37"/>
      <c r="EF37"/>
      <c r="EG37"/>
      <c r="EH37"/>
      <c r="EI37"/>
      <c r="EJ37">
        <v>3.75</v>
      </c>
      <c r="EK37">
        <v>6.75</v>
      </c>
      <c r="EL37"/>
      <c r="EM37"/>
      <c r="EN37"/>
      <c r="EO37"/>
      <c r="EP37"/>
      <c r="EQ37"/>
      <c r="ER37"/>
      <c r="ES37"/>
      <c r="ET37"/>
      <c r="EU37"/>
      <c r="EV37"/>
      <c r="EW37"/>
      <c r="EX37"/>
      <c r="EY37"/>
      <c r="EZ37"/>
      <c r="FA37"/>
      <c r="FB37">
        <v>100</v>
      </c>
      <c r="FC37"/>
      <c r="FD37"/>
    </row>
    <row r="38" spans="1:160" x14ac:dyDescent="0.25">
      <c r="A38" s="1" t="str">
        <f t="shared" si="0"/>
        <v>008308006425</v>
      </c>
      <c r="B38" t="s">
        <v>974</v>
      </c>
      <c r="C38" t="s">
        <v>975</v>
      </c>
      <c r="D38" t="s">
        <v>976</v>
      </c>
      <c r="E38" t="s">
        <v>278</v>
      </c>
      <c r="F38" t="s">
        <v>977</v>
      </c>
      <c r="G38" t="s">
        <v>978</v>
      </c>
      <c r="H38" t="s">
        <v>979</v>
      </c>
      <c r="I38" t="s">
        <v>120</v>
      </c>
      <c r="J38" t="s">
        <v>980</v>
      </c>
      <c r="K38" t="s">
        <v>476</v>
      </c>
      <c r="L38"/>
      <c r="M38" t="s">
        <v>287</v>
      </c>
      <c r="N38" t="s">
        <v>288</v>
      </c>
      <c r="O38"/>
      <c r="P38" t="s">
        <v>289</v>
      </c>
      <c r="Q38" t="s">
        <v>981</v>
      </c>
      <c r="R38" t="s">
        <v>982</v>
      </c>
      <c r="S38" t="s">
        <v>655</v>
      </c>
      <c r="T38" t="s">
        <v>743</v>
      </c>
      <c r="U38"/>
      <c r="V38"/>
      <c r="W38"/>
      <c r="X38"/>
      <c r="Y38"/>
      <c r="Z38"/>
      <c r="AA38" t="s">
        <v>287</v>
      </c>
      <c r="AB38"/>
      <c r="AC38"/>
      <c r="AD38"/>
      <c r="AE38"/>
      <c r="AF38" t="s">
        <v>983</v>
      </c>
      <c r="AG38" t="s">
        <v>984</v>
      </c>
      <c r="AH38" t="s">
        <v>985</v>
      </c>
      <c r="AI38" t="s">
        <v>983</v>
      </c>
      <c r="AJ38" t="s">
        <v>984</v>
      </c>
      <c r="AK38" t="s">
        <v>985</v>
      </c>
      <c r="AL38" t="s">
        <v>983</v>
      </c>
      <c r="AM38" t="s">
        <v>984</v>
      </c>
      <c r="AN38" t="s">
        <v>985</v>
      </c>
      <c r="AO38" t="s">
        <v>299</v>
      </c>
      <c r="AP38" t="s">
        <v>603</v>
      </c>
      <c r="AQ38" t="s">
        <v>986</v>
      </c>
      <c r="AR38" t="s">
        <v>368</v>
      </c>
      <c r="AS38" t="s">
        <v>987</v>
      </c>
      <c r="AT38" t="s">
        <v>628</v>
      </c>
      <c r="AU38" t="s">
        <v>354</v>
      </c>
      <c r="AV38"/>
      <c r="AW38" t="s">
        <v>444</v>
      </c>
      <c r="AX38" t="s">
        <v>445</v>
      </c>
      <c r="AY38" t="s">
        <v>608</v>
      </c>
      <c r="AZ38" t="s">
        <v>609</v>
      </c>
      <c r="BA38" t="s">
        <v>562</v>
      </c>
      <c r="BB38" t="s">
        <v>563</v>
      </c>
      <c r="BC38" t="s">
        <v>312</v>
      </c>
      <c r="BD38" t="s">
        <v>353</v>
      </c>
      <c r="BE38"/>
      <c r="BF38" t="s">
        <v>314</v>
      </c>
      <c r="BG38"/>
      <c r="BH38"/>
      <c r="BI38"/>
      <c r="BJ38"/>
      <c r="BK38"/>
      <c r="BL38"/>
      <c r="BM38" t="s">
        <v>305</v>
      </c>
      <c r="BN38" t="s">
        <v>354</v>
      </c>
      <c r="BO38" t="s">
        <v>988</v>
      </c>
      <c r="BP38"/>
      <c r="BQ38"/>
      <c r="BR38">
        <v>8.1999999999999993</v>
      </c>
      <c r="BS38">
        <v>7.7</v>
      </c>
      <c r="BT38">
        <v>8</v>
      </c>
      <c r="BU38">
        <v>9</v>
      </c>
      <c r="BV38">
        <v>8.8000000000000007</v>
      </c>
      <c r="BW38">
        <v>0</v>
      </c>
      <c r="BX38">
        <v>0</v>
      </c>
      <c r="BY38">
        <v>8.9</v>
      </c>
      <c r="BZ38">
        <v>8</v>
      </c>
      <c r="CA38">
        <v>8.6999999999999993</v>
      </c>
      <c r="CB38">
        <v>0</v>
      </c>
      <c r="CC38">
        <v>8.8000000000000007</v>
      </c>
      <c r="CD38">
        <v>0</v>
      </c>
      <c r="CE38">
        <v>0</v>
      </c>
      <c r="CF38">
        <v>0</v>
      </c>
      <c r="CG38">
        <v>0</v>
      </c>
      <c r="CH38">
        <v>0</v>
      </c>
      <c r="CI38">
        <v>0</v>
      </c>
      <c r="CJ38">
        <v>0</v>
      </c>
      <c r="CK38">
        <v>0</v>
      </c>
      <c r="CL38">
        <v>0</v>
      </c>
      <c r="CM38">
        <v>7.7</v>
      </c>
      <c r="CN38">
        <v>8.1999999999999993</v>
      </c>
      <c r="CO38">
        <v>8.4</v>
      </c>
      <c r="CP38">
        <v>8.8000000000000007</v>
      </c>
      <c r="CQ38">
        <v>9.3000000000000007</v>
      </c>
      <c r="CR38">
        <v>0</v>
      </c>
      <c r="CS38">
        <v>0</v>
      </c>
      <c r="CT38">
        <v>8.1</v>
      </c>
      <c r="CU38">
        <v>8</v>
      </c>
      <c r="CV38">
        <v>9</v>
      </c>
      <c r="CW38">
        <v>0</v>
      </c>
      <c r="CX38">
        <v>9</v>
      </c>
      <c r="CY38">
        <v>0</v>
      </c>
      <c r="CZ38">
        <v>0</v>
      </c>
      <c r="DA38">
        <v>0</v>
      </c>
      <c r="DB38">
        <v>0</v>
      </c>
      <c r="DC38">
        <v>0</v>
      </c>
      <c r="DD38">
        <v>0</v>
      </c>
      <c r="DE38">
        <v>0</v>
      </c>
      <c r="DF38">
        <v>0</v>
      </c>
      <c r="DG38">
        <v>0</v>
      </c>
      <c r="DH38">
        <v>9</v>
      </c>
      <c r="DI38">
        <v>8.1</v>
      </c>
      <c r="DJ38">
        <v>8.5</v>
      </c>
      <c r="DK38">
        <v>9</v>
      </c>
      <c r="DL38">
        <v>9.1</v>
      </c>
      <c r="DM38">
        <v>0</v>
      </c>
      <c r="DN38">
        <v>0</v>
      </c>
      <c r="DO38">
        <v>8.4</v>
      </c>
      <c r="DP38">
        <v>9.1999999999999993</v>
      </c>
      <c r="DQ38">
        <v>8.1999999999999993</v>
      </c>
      <c r="DR38">
        <v>0</v>
      </c>
      <c r="DS38">
        <v>9</v>
      </c>
      <c r="DT38">
        <v>0</v>
      </c>
      <c r="DU38">
        <v>0</v>
      </c>
      <c r="DV38">
        <v>0</v>
      </c>
      <c r="DW38">
        <v>0</v>
      </c>
      <c r="DX38">
        <v>0</v>
      </c>
      <c r="DY38">
        <v>0</v>
      </c>
      <c r="DZ38">
        <v>0</v>
      </c>
      <c r="EA38">
        <v>0</v>
      </c>
      <c r="EB38">
        <v>0</v>
      </c>
      <c r="EC38">
        <v>7.25</v>
      </c>
      <c r="ED38">
        <v>7.5</v>
      </c>
      <c r="EE38"/>
      <c r="EF38"/>
      <c r="EG38"/>
      <c r="EH38"/>
      <c r="EI38"/>
      <c r="EJ38">
        <v>6.5</v>
      </c>
      <c r="EK38">
        <v>5.75</v>
      </c>
      <c r="EL38"/>
      <c r="EM38"/>
      <c r="EN38"/>
      <c r="EO38"/>
      <c r="EP38"/>
      <c r="EQ38"/>
      <c r="ER38"/>
      <c r="ES38"/>
      <c r="ET38"/>
      <c r="EU38"/>
      <c r="EV38"/>
      <c r="EW38"/>
      <c r="EX38"/>
      <c r="EY38"/>
      <c r="EZ38"/>
      <c r="FA38"/>
      <c r="FB38"/>
      <c r="FC38"/>
      <c r="FD38"/>
    </row>
    <row r="39" spans="1:160" x14ac:dyDescent="0.25">
      <c r="A39" s="1" t="str">
        <f t="shared" si="0"/>
        <v>086308004540</v>
      </c>
      <c r="B39" t="s">
        <v>992</v>
      </c>
      <c r="C39" t="s">
        <v>993</v>
      </c>
      <c r="D39" t="s">
        <v>994</v>
      </c>
      <c r="E39" t="s">
        <v>278</v>
      </c>
      <c r="F39" t="s">
        <v>995</v>
      </c>
      <c r="G39" t="s">
        <v>996</v>
      </c>
      <c r="H39" t="s">
        <v>997</v>
      </c>
      <c r="I39" t="s">
        <v>61</v>
      </c>
      <c r="J39" t="s">
        <v>998</v>
      </c>
      <c r="K39" t="s">
        <v>516</v>
      </c>
      <c r="L39"/>
      <c r="M39" t="s">
        <v>287</v>
      </c>
      <c r="N39" t="s">
        <v>288</v>
      </c>
      <c r="O39"/>
      <c r="P39" t="s">
        <v>289</v>
      </c>
      <c r="Q39" t="s">
        <v>999</v>
      </c>
      <c r="R39" t="s">
        <v>287</v>
      </c>
      <c r="S39" t="s">
        <v>287</v>
      </c>
      <c r="T39" t="s">
        <v>287</v>
      </c>
      <c r="U39"/>
      <c r="V39"/>
      <c r="W39" t="s">
        <v>294</v>
      </c>
      <c r="X39" t="s">
        <v>1000</v>
      </c>
      <c r="Y39" t="s">
        <v>1001</v>
      </c>
      <c r="Z39" t="s">
        <v>1002</v>
      </c>
      <c r="AA39" t="s">
        <v>287</v>
      </c>
      <c r="AB39"/>
      <c r="AC39"/>
      <c r="AD39"/>
      <c r="AE39"/>
      <c r="AF39" t="s">
        <v>421</v>
      </c>
      <c r="AG39" t="s">
        <v>750</v>
      </c>
      <c r="AH39" t="s">
        <v>751</v>
      </c>
      <c r="AI39" t="s">
        <v>421</v>
      </c>
      <c r="AJ39" t="s">
        <v>750</v>
      </c>
      <c r="AK39" t="s">
        <v>751</v>
      </c>
      <c r="AL39" t="s">
        <v>421</v>
      </c>
      <c r="AM39" t="s">
        <v>750</v>
      </c>
      <c r="AN39" t="s">
        <v>751</v>
      </c>
      <c r="AO39" t="s">
        <v>299</v>
      </c>
      <c r="AP39" t="s">
        <v>348</v>
      </c>
      <c r="AQ39" t="s">
        <v>389</v>
      </c>
      <c r="AR39" t="s">
        <v>779</v>
      </c>
      <c r="AS39" t="s">
        <v>1003</v>
      </c>
      <c r="AT39" t="s">
        <v>1004</v>
      </c>
      <c r="AU39" t="s">
        <v>305</v>
      </c>
      <c r="AV39"/>
      <c r="AW39" t="s">
        <v>610</v>
      </c>
      <c r="AX39" t="s">
        <v>611</v>
      </c>
      <c r="AY39"/>
      <c r="AZ39"/>
      <c r="BA39"/>
      <c r="BB39"/>
      <c r="BC39" t="s">
        <v>312</v>
      </c>
      <c r="BD39" t="s">
        <v>353</v>
      </c>
      <c r="BE39"/>
      <c r="BF39" t="s">
        <v>314</v>
      </c>
      <c r="BG39"/>
      <c r="BH39"/>
      <c r="BI39"/>
      <c r="BJ39"/>
      <c r="BK39"/>
      <c r="BL39"/>
      <c r="BM39" t="s">
        <v>305</v>
      </c>
      <c r="BN39" t="s">
        <v>305</v>
      </c>
      <c r="BO39" t="s">
        <v>1005</v>
      </c>
      <c r="BP39" t="s">
        <v>1006</v>
      </c>
      <c r="BQ39" t="s">
        <v>1007</v>
      </c>
      <c r="BR39">
        <v>7.3</v>
      </c>
      <c r="BS39">
        <v>8</v>
      </c>
      <c r="BT39">
        <v>7.7</v>
      </c>
      <c r="BU39">
        <v>9.9</v>
      </c>
      <c r="BV39">
        <v>8.3000000000000007</v>
      </c>
      <c r="BW39">
        <v>8</v>
      </c>
      <c r="BX39">
        <v>9.3000000000000007</v>
      </c>
      <c r="BY39">
        <v>0</v>
      </c>
      <c r="BZ39">
        <v>0</v>
      </c>
      <c r="CA39">
        <v>0</v>
      </c>
      <c r="CB39">
        <v>9.1</v>
      </c>
      <c r="CC39">
        <v>8.6</v>
      </c>
      <c r="CD39">
        <v>0</v>
      </c>
      <c r="CE39">
        <v>0</v>
      </c>
      <c r="CF39">
        <v>0</v>
      </c>
      <c r="CG39">
        <v>0</v>
      </c>
      <c r="CH39">
        <v>0</v>
      </c>
      <c r="CI39">
        <v>0</v>
      </c>
      <c r="CJ39">
        <v>0</v>
      </c>
      <c r="CK39">
        <v>0</v>
      </c>
      <c r="CL39">
        <v>0</v>
      </c>
      <c r="CM39">
        <v>8</v>
      </c>
      <c r="CN39">
        <v>8</v>
      </c>
      <c r="CO39">
        <v>8.6</v>
      </c>
      <c r="CP39">
        <v>9.8000000000000007</v>
      </c>
      <c r="CQ39">
        <v>9.1999999999999993</v>
      </c>
      <c r="CR39">
        <v>9.1</v>
      </c>
      <c r="CS39">
        <v>9.5</v>
      </c>
      <c r="CT39">
        <v>0</v>
      </c>
      <c r="CU39">
        <v>0</v>
      </c>
      <c r="CV39">
        <v>0</v>
      </c>
      <c r="CW39">
        <v>8.5</v>
      </c>
      <c r="CX39">
        <v>9.1</v>
      </c>
      <c r="CY39">
        <v>0</v>
      </c>
      <c r="CZ39">
        <v>0</v>
      </c>
      <c r="DA39">
        <v>0</v>
      </c>
      <c r="DB39">
        <v>0</v>
      </c>
      <c r="DC39">
        <v>0</v>
      </c>
      <c r="DD39">
        <v>0</v>
      </c>
      <c r="DE39">
        <v>0</v>
      </c>
      <c r="DF39">
        <v>0</v>
      </c>
      <c r="DG39">
        <v>0</v>
      </c>
      <c r="DH39">
        <v>8</v>
      </c>
      <c r="DI39">
        <v>8</v>
      </c>
      <c r="DJ39">
        <v>8.5</v>
      </c>
      <c r="DK39">
        <v>9.8000000000000007</v>
      </c>
      <c r="DL39">
        <v>9.3000000000000007</v>
      </c>
      <c r="DM39">
        <v>9.1</v>
      </c>
      <c r="DN39">
        <v>9.6</v>
      </c>
      <c r="DO39">
        <v>0</v>
      </c>
      <c r="DP39">
        <v>0</v>
      </c>
      <c r="DQ39">
        <v>0</v>
      </c>
      <c r="DR39">
        <v>9.5</v>
      </c>
      <c r="DS39">
        <v>9.3000000000000007</v>
      </c>
      <c r="DT39">
        <v>0</v>
      </c>
      <c r="DU39">
        <v>0</v>
      </c>
      <c r="DV39">
        <v>0</v>
      </c>
      <c r="DW39">
        <v>0</v>
      </c>
      <c r="DX39">
        <v>0</v>
      </c>
      <c r="DY39">
        <v>0</v>
      </c>
      <c r="DZ39">
        <v>0</v>
      </c>
      <c r="EA39">
        <v>0</v>
      </c>
      <c r="EB39">
        <v>0</v>
      </c>
      <c r="EC39">
        <v>6</v>
      </c>
      <c r="ED39">
        <v>6.25</v>
      </c>
      <c r="EE39">
        <v>4.25</v>
      </c>
      <c r="EF39"/>
      <c r="EG39"/>
      <c r="EH39"/>
      <c r="EI39">
        <v>8.25</v>
      </c>
      <c r="EJ39"/>
      <c r="EK39"/>
      <c r="EL39"/>
      <c r="EM39"/>
      <c r="EN39"/>
      <c r="EO39"/>
      <c r="EP39"/>
      <c r="EQ39"/>
      <c r="ER39"/>
      <c r="ES39"/>
      <c r="ET39"/>
      <c r="EU39"/>
      <c r="EV39"/>
      <c r="EW39"/>
      <c r="EX39">
        <v>119</v>
      </c>
      <c r="EY39">
        <v>123.5</v>
      </c>
      <c r="EZ39">
        <v>113</v>
      </c>
      <c r="FA39">
        <v>115.5</v>
      </c>
      <c r="FB39"/>
      <c r="FC39"/>
      <c r="FD39"/>
    </row>
    <row r="40" spans="1:160" x14ac:dyDescent="0.25">
      <c r="A40" s="1" t="str">
        <f t="shared" si="0"/>
        <v>025308012169</v>
      </c>
      <c r="B40" t="s">
        <v>1008</v>
      </c>
      <c r="C40" t="s">
        <v>1009</v>
      </c>
      <c r="D40" t="s">
        <v>1010</v>
      </c>
      <c r="E40" t="s">
        <v>278</v>
      </c>
      <c r="F40" t="s">
        <v>1011</v>
      </c>
      <c r="G40" t="s">
        <v>1012</v>
      </c>
      <c r="H40" t="s">
        <v>1013</v>
      </c>
      <c r="I40" t="s">
        <v>119</v>
      </c>
      <c r="J40" t="s">
        <v>1014</v>
      </c>
      <c r="K40" t="s">
        <v>516</v>
      </c>
      <c r="L40"/>
      <c r="M40" t="s">
        <v>287</v>
      </c>
      <c r="N40" t="s">
        <v>288</v>
      </c>
      <c r="O40"/>
      <c r="P40" t="s">
        <v>289</v>
      </c>
      <c r="Q40" t="s">
        <v>1015</v>
      </c>
      <c r="R40" t="s">
        <v>287</v>
      </c>
      <c r="S40" t="s">
        <v>287</v>
      </c>
      <c r="T40" t="s">
        <v>287</v>
      </c>
      <c r="U40"/>
      <c r="V40"/>
      <c r="W40"/>
      <c r="X40"/>
      <c r="Y40"/>
      <c r="Z40"/>
      <c r="AA40" t="s">
        <v>287</v>
      </c>
      <c r="AB40"/>
      <c r="AC40"/>
      <c r="AD40"/>
      <c r="AE40"/>
      <c r="AF40" t="s">
        <v>1016</v>
      </c>
      <c r="AG40" t="s">
        <v>1017</v>
      </c>
      <c r="AH40" t="s">
        <v>1018</v>
      </c>
      <c r="AI40" t="s">
        <v>1016</v>
      </c>
      <c r="AJ40" t="s">
        <v>1017</v>
      </c>
      <c r="AK40" t="s">
        <v>1018</v>
      </c>
      <c r="AL40" t="s">
        <v>1016</v>
      </c>
      <c r="AM40" t="s">
        <v>1017</v>
      </c>
      <c r="AN40" t="s">
        <v>1018</v>
      </c>
      <c r="AO40" t="s">
        <v>299</v>
      </c>
      <c r="AP40" t="s">
        <v>603</v>
      </c>
      <c r="AQ40" t="s">
        <v>607</v>
      </c>
      <c r="AR40" t="s">
        <v>1019</v>
      </c>
      <c r="AS40" t="s">
        <v>504</v>
      </c>
      <c r="AT40" t="s">
        <v>950</v>
      </c>
      <c r="AU40" t="s">
        <v>354</v>
      </c>
      <c r="AV40"/>
      <c r="AW40" t="s">
        <v>330</v>
      </c>
      <c r="AX40" t="s">
        <v>331</v>
      </c>
      <c r="AY40"/>
      <c r="AZ40"/>
      <c r="BA40"/>
      <c r="BB40"/>
      <c r="BC40" t="s">
        <v>669</v>
      </c>
      <c r="BD40" t="s">
        <v>353</v>
      </c>
      <c r="BE40"/>
      <c r="BF40" t="s">
        <v>314</v>
      </c>
      <c r="BG40"/>
      <c r="BH40"/>
      <c r="BI40"/>
      <c r="BJ40"/>
      <c r="BK40"/>
      <c r="BL40"/>
      <c r="BM40" t="s">
        <v>305</v>
      </c>
      <c r="BN40" t="s">
        <v>354</v>
      </c>
      <c r="BO40" t="s">
        <v>1020</v>
      </c>
      <c r="BP40"/>
      <c r="BQ40"/>
      <c r="BR40">
        <v>8.1999999999999993</v>
      </c>
      <c r="BS40">
        <v>8.6</v>
      </c>
      <c r="BT40">
        <v>8</v>
      </c>
      <c r="BU40">
        <v>8.8000000000000007</v>
      </c>
      <c r="BV40">
        <v>8.3000000000000007</v>
      </c>
      <c r="BW40">
        <v>8.6</v>
      </c>
      <c r="BX40">
        <v>9.3000000000000007</v>
      </c>
      <c r="BY40">
        <v>0</v>
      </c>
      <c r="BZ40">
        <v>8.8000000000000007</v>
      </c>
      <c r="CA40">
        <v>0</v>
      </c>
      <c r="CB40">
        <v>9</v>
      </c>
      <c r="CC40">
        <v>0</v>
      </c>
      <c r="CD40">
        <v>0</v>
      </c>
      <c r="CE40">
        <v>0</v>
      </c>
      <c r="CF40">
        <v>0</v>
      </c>
      <c r="CG40">
        <v>0</v>
      </c>
      <c r="CH40">
        <v>0</v>
      </c>
      <c r="CI40">
        <v>0</v>
      </c>
      <c r="CJ40">
        <v>0</v>
      </c>
      <c r="CK40">
        <v>0</v>
      </c>
      <c r="CL40">
        <v>0</v>
      </c>
      <c r="CM40">
        <v>8</v>
      </c>
      <c r="CN40">
        <v>8.9</v>
      </c>
      <c r="CO40">
        <v>8.4</v>
      </c>
      <c r="CP40">
        <v>9</v>
      </c>
      <c r="CQ40">
        <v>9</v>
      </c>
      <c r="CR40">
        <v>9.1999999999999993</v>
      </c>
      <c r="CS40">
        <v>9.3000000000000007</v>
      </c>
      <c r="CT40">
        <v>0</v>
      </c>
      <c r="CU40">
        <v>7.7</v>
      </c>
      <c r="CV40">
        <v>0</v>
      </c>
      <c r="CW40">
        <v>8.6999999999999993</v>
      </c>
      <c r="CX40">
        <v>0</v>
      </c>
      <c r="CY40">
        <v>0</v>
      </c>
      <c r="CZ40">
        <v>0</v>
      </c>
      <c r="DA40">
        <v>0</v>
      </c>
      <c r="DB40">
        <v>0</v>
      </c>
      <c r="DC40">
        <v>0</v>
      </c>
      <c r="DD40">
        <v>0</v>
      </c>
      <c r="DE40">
        <v>0</v>
      </c>
      <c r="DF40">
        <v>0</v>
      </c>
      <c r="DG40">
        <v>0</v>
      </c>
      <c r="DH40">
        <v>9.8000000000000007</v>
      </c>
      <c r="DI40">
        <v>9.1</v>
      </c>
      <c r="DJ40">
        <v>8.6</v>
      </c>
      <c r="DK40">
        <v>9.4</v>
      </c>
      <c r="DL40">
        <v>9.5</v>
      </c>
      <c r="DM40">
        <v>9.5</v>
      </c>
      <c r="DN40">
        <v>9.3000000000000007</v>
      </c>
      <c r="DO40">
        <v>0</v>
      </c>
      <c r="DP40">
        <v>8.3000000000000007</v>
      </c>
      <c r="DQ40">
        <v>0</v>
      </c>
      <c r="DR40">
        <v>9.1999999999999993</v>
      </c>
      <c r="DS40">
        <v>0</v>
      </c>
      <c r="DT40">
        <v>0</v>
      </c>
      <c r="DU40">
        <v>0</v>
      </c>
      <c r="DV40">
        <v>0</v>
      </c>
      <c r="DW40">
        <v>0</v>
      </c>
      <c r="DX40">
        <v>0</v>
      </c>
      <c r="DY40">
        <v>0</v>
      </c>
      <c r="DZ40">
        <v>0</v>
      </c>
      <c r="EA40">
        <v>0</v>
      </c>
      <c r="EB40">
        <v>0</v>
      </c>
      <c r="EC40">
        <v>8.5</v>
      </c>
      <c r="ED40">
        <v>8.25</v>
      </c>
      <c r="EE40">
        <v>4.25</v>
      </c>
      <c r="EF40"/>
      <c r="EG40"/>
      <c r="EH40"/>
      <c r="EI40">
        <v>6.5</v>
      </c>
      <c r="EJ40"/>
      <c r="EK40"/>
      <c r="EL40"/>
      <c r="EM40"/>
      <c r="EN40"/>
      <c r="EO40"/>
      <c r="EP40"/>
      <c r="EQ40"/>
      <c r="ER40"/>
      <c r="ES40"/>
      <c r="ET40"/>
      <c r="EU40"/>
      <c r="EV40"/>
      <c r="EW40"/>
      <c r="EX40"/>
      <c r="EY40"/>
      <c r="EZ40"/>
      <c r="FA40"/>
      <c r="FB40"/>
      <c r="FC40"/>
      <c r="FD40"/>
    </row>
    <row r="41" spans="1:160" x14ac:dyDescent="0.25">
      <c r="A41" s="1" t="str">
        <f t="shared" si="0"/>
        <v>092308009465</v>
      </c>
      <c r="B41" t="s">
        <v>1021</v>
      </c>
      <c r="C41" t="s">
        <v>1022</v>
      </c>
      <c r="D41" t="s">
        <v>1023</v>
      </c>
      <c r="E41" t="s">
        <v>278</v>
      </c>
      <c r="F41" t="s">
        <v>989</v>
      </c>
      <c r="G41" t="s">
        <v>1024</v>
      </c>
      <c r="H41" t="s">
        <v>1025</v>
      </c>
      <c r="I41" t="s">
        <v>32</v>
      </c>
      <c r="J41" t="s">
        <v>1026</v>
      </c>
      <c r="K41" t="s">
        <v>516</v>
      </c>
      <c r="L41"/>
      <c r="M41" t="s">
        <v>287</v>
      </c>
      <c r="N41" t="s">
        <v>288</v>
      </c>
      <c r="O41"/>
      <c r="P41" t="s">
        <v>289</v>
      </c>
      <c r="Q41" t="s">
        <v>1027</v>
      </c>
      <c r="R41" t="s">
        <v>287</v>
      </c>
      <c r="S41" t="s">
        <v>287</v>
      </c>
      <c r="T41" t="s">
        <v>287</v>
      </c>
      <c r="U41"/>
      <c r="V41"/>
      <c r="W41"/>
      <c r="X41"/>
      <c r="Y41"/>
      <c r="Z41"/>
      <c r="AA41" t="s">
        <v>287</v>
      </c>
      <c r="AB41"/>
      <c r="AC41"/>
      <c r="AD41"/>
      <c r="AE41"/>
      <c r="AF41" t="s">
        <v>383</v>
      </c>
      <c r="AG41" t="s">
        <v>1028</v>
      </c>
      <c r="AH41" t="s">
        <v>1029</v>
      </c>
      <c r="AI41" t="s">
        <v>383</v>
      </c>
      <c r="AJ41" t="s">
        <v>1028</v>
      </c>
      <c r="AK41" t="s">
        <v>1029</v>
      </c>
      <c r="AL41" t="s">
        <v>383</v>
      </c>
      <c r="AM41" t="s">
        <v>1028</v>
      </c>
      <c r="AN41" t="s">
        <v>1029</v>
      </c>
      <c r="AO41" t="s">
        <v>299</v>
      </c>
      <c r="AP41" t="s">
        <v>348</v>
      </c>
      <c r="AQ41" t="s">
        <v>294</v>
      </c>
      <c r="AR41" t="s">
        <v>1003</v>
      </c>
      <c r="AS41" t="s">
        <v>986</v>
      </c>
      <c r="AT41" t="s">
        <v>914</v>
      </c>
      <c r="AU41" t="s">
        <v>354</v>
      </c>
      <c r="AV41"/>
      <c r="AW41" t="s">
        <v>444</v>
      </c>
      <c r="AX41" t="s">
        <v>445</v>
      </c>
      <c r="AY41"/>
      <c r="AZ41"/>
      <c r="BA41"/>
      <c r="BB41"/>
      <c r="BC41" t="s">
        <v>312</v>
      </c>
      <c r="BD41" t="s">
        <v>353</v>
      </c>
      <c r="BE41"/>
      <c r="BF41" t="s">
        <v>314</v>
      </c>
      <c r="BG41"/>
      <c r="BH41"/>
      <c r="BI41"/>
      <c r="BJ41"/>
      <c r="BK41"/>
      <c r="BL41"/>
      <c r="BM41" t="s">
        <v>305</v>
      </c>
      <c r="BN41" t="s">
        <v>305</v>
      </c>
      <c r="BO41" t="s">
        <v>1030</v>
      </c>
      <c r="BP41"/>
      <c r="BQ41" t="s">
        <v>1031</v>
      </c>
      <c r="BR41">
        <v>10</v>
      </c>
      <c r="BS41">
        <v>8.9</v>
      </c>
      <c r="BT41">
        <v>7</v>
      </c>
      <c r="BU41">
        <v>8.6999999999999993</v>
      </c>
      <c r="BV41">
        <v>9.1</v>
      </c>
      <c r="BW41">
        <v>0</v>
      </c>
      <c r="BX41">
        <v>8.3000000000000007</v>
      </c>
      <c r="BY41">
        <v>0</v>
      </c>
      <c r="BZ41">
        <v>0</v>
      </c>
      <c r="CA41">
        <v>9.1999999999999993</v>
      </c>
      <c r="CB41">
        <v>9.1</v>
      </c>
      <c r="CC41">
        <v>9.5</v>
      </c>
      <c r="CD41">
        <v>0</v>
      </c>
      <c r="CE41">
        <v>0</v>
      </c>
      <c r="CF41">
        <v>0</v>
      </c>
      <c r="CG41">
        <v>0</v>
      </c>
      <c r="CH41">
        <v>0</v>
      </c>
      <c r="CI41">
        <v>0</v>
      </c>
      <c r="CJ41">
        <v>0</v>
      </c>
      <c r="CK41">
        <v>0</v>
      </c>
      <c r="CL41">
        <v>0</v>
      </c>
      <c r="CM41">
        <v>9.6</v>
      </c>
      <c r="CN41">
        <v>9</v>
      </c>
      <c r="CO41">
        <v>8.6999999999999993</v>
      </c>
      <c r="CP41">
        <v>9.8000000000000007</v>
      </c>
      <c r="CQ41">
        <v>9.4</v>
      </c>
      <c r="CR41">
        <v>0</v>
      </c>
      <c r="CS41">
        <v>9.3000000000000007</v>
      </c>
      <c r="CT41">
        <v>0</v>
      </c>
      <c r="CU41">
        <v>0</v>
      </c>
      <c r="CV41">
        <v>9.5</v>
      </c>
      <c r="CW41">
        <v>9.8000000000000007</v>
      </c>
      <c r="CX41">
        <v>9.6</v>
      </c>
      <c r="CY41">
        <v>0</v>
      </c>
      <c r="CZ41">
        <v>0</v>
      </c>
      <c r="DA41">
        <v>0</v>
      </c>
      <c r="DB41">
        <v>0</v>
      </c>
      <c r="DC41">
        <v>0</v>
      </c>
      <c r="DD41">
        <v>0</v>
      </c>
      <c r="DE41">
        <v>0</v>
      </c>
      <c r="DF41">
        <v>0</v>
      </c>
      <c r="DG41">
        <v>0</v>
      </c>
      <c r="DH41">
        <v>9.9</v>
      </c>
      <c r="DI41">
        <v>9.1</v>
      </c>
      <c r="DJ41">
        <v>8.3000000000000007</v>
      </c>
      <c r="DK41">
        <v>9.3000000000000007</v>
      </c>
      <c r="DL41">
        <v>9.5</v>
      </c>
      <c r="DM41">
        <v>0</v>
      </c>
      <c r="DN41">
        <v>9.4</v>
      </c>
      <c r="DO41">
        <v>0</v>
      </c>
      <c r="DP41">
        <v>0</v>
      </c>
      <c r="DQ41">
        <v>9.1999999999999993</v>
      </c>
      <c r="DR41">
        <v>9.3000000000000007</v>
      </c>
      <c r="DS41">
        <v>8.9</v>
      </c>
      <c r="DT41">
        <v>0</v>
      </c>
      <c r="DU41">
        <v>0</v>
      </c>
      <c r="DV41">
        <v>0</v>
      </c>
      <c r="DW41">
        <v>0</v>
      </c>
      <c r="DX41">
        <v>0</v>
      </c>
      <c r="DY41">
        <v>0</v>
      </c>
      <c r="DZ41">
        <v>0</v>
      </c>
      <c r="EA41">
        <v>0</v>
      </c>
      <c r="EB41">
        <v>0</v>
      </c>
      <c r="EC41">
        <v>8.5</v>
      </c>
      <c r="ED41">
        <v>8</v>
      </c>
      <c r="EE41">
        <v>5</v>
      </c>
      <c r="EF41"/>
      <c r="EG41">
        <v>0</v>
      </c>
      <c r="EH41"/>
      <c r="EI41">
        <v>0</v>
      </c>
      <c r="EJ41">
        <v>0</v>
      </c>
      <c r="EK41">
        <v>0</v>
      </c>
      <c r="EL41">
        <v>5.6</v>
      </c>
      <c r="EM41"/>
      <c r="EN41">
        <v>0</v>
      </c>
      <c r="EO41"/>
      <c r="EP41"/>
      <c r="EQ41"/>
      <c r="ER41"/>
      <c r="ES41"/>
      <c r="ET41"/>
      <c r="EU41"/>
      <c r="EV41"/>
      <c r="EW41">
        <v>141</v>
      </c>
      <c r="EX41">
        <v>123.5</v>
      </c>
      <c r="EY41">
        <v>112.5</v>
      </c>
      <c r="EZ41">
        <v>0</v>
      </c>
      <c r="FA41">
        <v>0</v>
      </c>
      <c r="FB41"/>
      <c r="FC41"/>
      <c r="FD41"/>
    </row>
    <row r="42" spans="1:160" x14ac:dyDescent="0.25">
      <c r="A42" s="1" t="str">
        <f t="shared" si="0"/>
        <v>079308035195</v>
      </c>
      <c r="B42" t="s">
        <v>1032</v>
      </c>
      <c r="C42" t="s">
        <v>1033</v>
      </c>
      <c r="D42" t="s">
        <v>1034</v>
      </c>
      <c r="E42" t="s">
        <v>278</v>
      </c>
      <c r="F42" t="s">
        <v>1035</v>
      </c>
      <c r="G42" t="s">
        <v>1036</v>
      </c>
      <c r="H42" t="s">
        <v>1037</v>
      </c>
      <c r="I42" t="s">
        <v>95</v>
      </c>
      <c r="J42" t="s">
        <v>1038</v>
      </c>
      <c r="K42" t="s">
        <v>516</v>
      </c>
      <c r="L42"/>
      <c r="M42" t="s">
        <v>287</v>
      </c>
      <c r="N42" t="s">
        <v>288</v>
      </c>
      <c r="O42"/>
      <c r="P42" t="s">
        <v>289</v>
      </c>
      <c r="Q42" t="s">
        <v>1039</v>
      </c>
      <c r="R42" t="s">
        <v>287</v>
      </c>
      <c r="S42" t="s">
        <v>287</v>
      </c>
      <c r="T42" t="s">
        <v>287</v>
      </c>
      <c r="U42"/>
      <c r="V42"/>
      <c r="W42"/>
      <c r="X42"/>
      <c r="Y42"/>
      <c r="Z42"/>
      <c r="AA42" t="s">
        <v>287</v>
      </c>
      <c r="AB42"/>
      <c r="AC42"/>
      <c r="AD42"/>
      <c r="AE42"/>
      <c r="AF42" t="s">
        <v>706</v>
      </c>
      <c r="AG42" t="s">
        <v>439</v>
      </c>
      <c r="AH42" t="s">
        <v>1040</v>
      </c>
      <c r="AI42" t="s">
        <v>706</v>
      </c>
      <c r="AJ42" t="s">
        <v>439</v>
      </c>
      <c r="AK42" t="s">
        <v>1040</v>
      </c>
      <c r="AL42" t="s">
        <v>706</v>
      </c>
      <c r="AM42" t="s">
        <v>439</v>
      </c>
      <c r="AN42" t="s">
        <v>1040</v>
      </c>
      <c r="AO42" t="s">
        <v>299</v>
      </c>
      <c r="AP42" t="s">
        <v>348</v>
      </c>
      <c r="AQ42" t="s">
        <v>294</v>
      </c>
      <c r="AR42" t="s">
        <v>1041</v>
      </c>
      <c r="AS42" t="s">
        <v>643</v>
      </c>
      <c r="AT42" t="s">
        <v>781</v>
      </c>
      <c r="AU42" t="s">
        <v>354</v>
      </c>
      <c r="AV42"/>
      <c r="AW42" t="s">
        <v>372</v>
      </c>
      <c r="AX42" t="s">
        <v>373</v>
      </c>
      <c r="AY42"/>
      <c r="AZ42"/>
      <c r="BA42"/>
      <c r="BB42"/>
      <c r="BC42" t="s">
        <v>312</v>
      </c>
      <c r="BD42" t="s">
        <v>353</v>
      </c>
      <c r="BE42"/>
      <c r="BF42" t="s">
        <v>314</v>
      </c>
      <c r="BG42"/>
      <c r="BH42"/>
      <c r="BI42"/>
      <c r="BJ42"/>
      <c r="BK42"/>
      <c r="BL42"/>
      <c r="BM42" t="s">
        <v>305</v>
      </c>
      <c r="BN42" t="s">
        <v>354</v>
      </c>
      <c r="BO42" t="s">
        <v>1042</v>
      </c>
      <c r="BP42"/>
      <c r="BQ42"/>
      <c r="BR42">
        <v>6.3</v>
      </c>
      <c r="BS42">
        <v>7.3</v>
      </c>
      <c r="BT42">
        <v>6.6</v>
      </c>
      <c r="BU42">
        <v>8.6</v>
      </c>
      <c r="BV42">
        <v>7.1</v>
      </c>
      <c r="BW42">
        <v>8</v>
      </c>
      <c r="BX42">
        <v>7.8</v>
      </c>
      <c r="BY42">
        <v>6.3</v>
      </c>
      <c r="BZ42">
        <v>0</v>
      </c>
      <c r="CA42">
        <v>0</v>
      </c>
      <c r="CB42">
        <v>0</v>
      </c>
      <c r="CC42">
        <v>9.1</v>
      </c>
      <c r="CD42">
        <v>0</v>
      </c>
      <c r="CE42">
        <v>0</v>
      </c>
      <c r="CF42">
        <v>0</v>
      </c>
      <c r="CG42">
        <v>0</v>
      </c>
      <c r="CH42">
        <v>0</v>
      </c>
      <c r="CI42">
        <v>0</v>
      </c>
      <c r="CJ42">
        <v>0</v>
      </c>
      <c r="CK42">
        <v>0</v>
      </c>
      <c r="CL42">
        <v>0</v>
      </c>
      <c r="CM42">
        <v>8.6</v>
      </c>
      <c r="CN42">
        <v>7.2</v>
      </c>
      <c r="CO42">
        <v>7.6</v>
      </c>
      <c r="CP42">
        <v>8.1999999999999993</v>
      </c>
      <c r="CQ42">
        <v>8.4</v>
      </c>
      <c r="CR42">
        <v>7.4</v>
      </c>
      <c r="CS42">
        <v>8.9</v>
      </c>
      <c r="CT42">
        <v>7.1</v>
      </c>
      <c r="CU42">
        <v>0</v>
      </c>
      <c r="CV42">
        <v>0</v>
      </c>
      <c r="CW42">
        <v>0</v>
      </c>
      <c r="CX42">
        <v>8.5</v>
      </c>
      <c r="CY42">
        <v>0</v>
      </c>
      <c r="CZ42">
        <v>0</v>
      </c>
      <c r="DA42">
        <v>0</v>
      </c>
      <c r="DB42">
        <v>0</v>
      </c>
      <c r="DC42">
        <v>0</v>
      </c>
      <c r="DD42">
        <v>0</v>
      </c>
      <c r="DE42">
        <v>0</v>
      </c>
      <c r="DF42">
        <v>0</v>
      </c>
      <c r="DG42">
        <v>0</v>
      </c>
      <c r="DH42">
        <v>8.3000000000000007</v>
      </c>
      <c r="DI42">
        <v>7.3</v>
      </c>
      <c r="DJ42">
        <v>7.6</v>
      </c>
      <c r="DK42">
        <v>9.3000000000000007</v>
      </c>
      <c r="DL42">
        <v>9.1999999999999993</v>
      </c>
      <c r="DM42">
        <v>8.1</v>
      </c>
      <c r="DN42">
        <v>8.6</v>
      </c>
      <c r="DO42">
        <v>7.5</v>
      </c>
      <c r="DP42">
        <v>0</v>
      </c>
      <c r="DQ42">
        <v>0</v>
      </c>
      <c r="DR42">
        <v>0</v>
      </c>
      <c r="DS42">
        <v>9</v>
      </c>
      <c r="DT42">
        <v>0</v>
      </c>
      <c r="DU42">
        <v>0</v>
      </c>
      <c r="DV42">
        <v>0</v>
      </c>
      <c r="DW42">
        <v>0</v>
      </c>
      <c r="DX42">
        <v>0</v>
      </c>
      <c r="DY42">
        <v>0</v>
      </c>
      <c r="DZ42">
        <v>0</v>
      </c>
      <c r="EA42">
        <v>0</v>
      </c>
      <c r="EB42">
        <v>0</v>
      </c>
      <c r="EC42">
        <v>6</v>
      </c>
      <c r="ED42">
        <v>5.5</v>
      </c>
      <c r="EE42">
        <v>5</v>
      </c>
      <c r="EF42"/>
      <c r="EG42"/>
      <c r="EH42"/>
      <c r="EI42"/>
      <c r="EJ42">
        <v>3.75</v>
      </c>
      <c r="EK42"/>
      <c r="EL42"/>
      <c r="EM42"/>
      <c r="EN42"/>
      <c r="EO42"/>
      <c r="EP42"/>
      <c r="EQ42"/>
      <c r="ER42"/>
      <c r="ES42"/>
      <c r="ET42"/>
      <c r="EU42"/>
      <c r="EV42"/>
      <c r="EW42"/>
      <c r="EX42"/>
      <c r="EY42"/>
      <c r="EZ42"/>
      <c r="FA42"/>
      <c r="FB42"/>
      <c r="FC42"/>
      <c r="FD42"/>
    </row>
    <row r="43" spans="1:160" x14ac:dyDescent="0.25">
      <c r="A43" s="1" t="str">
        <f t="shared" si="0"/>
        <v>046206005798</v>
      </c>
      <c r="B43" t="s">
        <v>1043</v>
      </c>
      <c r="C43" t="s">
        <v>1044</v>
      </c>
      <c r="D43" t="s">
        <v>1045</v>
      </c>
      <c r="E43" t="s">
        <v>280</v>
      </c>
      <c r="F43" t="s">
        <v>1046</v>
      </c>
      <c r="G43" t="s">
        <v>1047</v>
      </c>
      <c r="H43" t="s">
        <v>1048</v>
      </c>
      <c r="I43" t="s">
        <v>112</v>
      </c>
      <c r="J43" t="s">
        <v>1049</v>
      </c>
      <c r="K43" t="s">
        <v>321</v>
      </c>
      <c r="L43"/>
      <c r="M43" t="s">
        <v>287</v>
      </c>
      <c r="N43" t="s">
        <v>288</v>
      </c>
      <c r="O43"/>
      <c r="P43" t="s">
        <v>289</v>
      </c>
      <c r="Q43" t="s">
        <v>1050</v>
      </c>
      <c r="R43" t="s">
        <v>287</v>
      </c>
      <c r="S43" t="s">
        <v>287</v>
      </c>
      <c r="T43" t="s">
        <v>287</v>
      </c>
      <c r="U43"/>
      <c r="V43"/>
      <c r="W43"/>
      <c r="X43"/>
      <c r="Y43"/>
      <c r="Z43"/>
      <c r="AA43" t="s">
        <v>287</v>
      </c>
      <c r="AB43"/>
      <c r="AC43"/>
      <c r="AD43"/>
      <c r="AE43"/>
      <c r="AF43" t="s">
        <v>1051</v>
      </c>
      <c r="AG43" t="s">
        <v>1052</v>
      </c>
      <c r="AH43" t="s">
        <v>1053</v>
      </c>
      <c r="AI43" t="s">
        <v>1051</v>
      </c>
      <c r="AJ43" t="s">
        <v>1052</v>
      </c>
      <c r="AK43" t="s">
        <v>1053</v>
      </c>
      <c r="AL43" t="s">
        <v>1051</v>
      </c>
      <c r="AM43" t="s">
        <v>1054</v>
      </c>
      <c r="AN43" t="s">
        <v>1053</v>
      </c>
      <c r="AO43" t="s">
        <v>299</v>
      </c>
      <c r="AP43" t="s">
        <v>348</v>
      </c>
      <c r="AQ43" t="s">
        <v>1055</v>
      </c>
      <c r="AR43" t="s">
        <v>1056</v>
      </c>
      <c r="AS43" t="s">
        <v>1057</v>
      </c>
      <c r="AT43" t="s">
        <v>1058</v>
      </c>
      <c r="AU43" t="s">
        <v>354</v>
      </c>
      <c r="AV43"/>
      <c r="AW43" t="s">
        <v>444</v>
      </c>
      <c r="AX43" t="s">
        <v>445</v>
      </c>
      <c r="AY43" t="s">
        <v>545</v>
      </c>
      <c r="AZ43" t="s">
        <v>546</v>
      </c>
      <c r="BA43"/>
      <c r="BB43"/>
      <c r="BC43" t="s">
        <v>669</v>
      </c>
      <c r="BD43" t="s">
        <v>353</v>
      </c>
      <c r="BE43"/>
      <c r="BF43" t="s">
        <v>314</v>
      </c>
      <c r="BG43"/>
      <c r="BH43"/>
      <c r="BI43"/>
      <c r="BJ43"/>
      <c r="BK43"/>
      <c r="BL43"/>
      <c r="BM43" t="s">
        <v>305</v>
      </c>
      <c r="BN43" t="s">
        <v>354</v>
      </c>
      <c r="BO43" t="s">
        <v>1059</v>
      </c>
      <c r="BP43"/>
      <c r="BQ43"/>
      <c r="BR43">
        <v>6.7</v>
      </c>
      <c r="BS43">
        <v>6.3</v>
      </c>
      <c r="BT43">
        <v>7.3</v>
      </c>
      <c r="BU43">
        <v>8.1</v>
      </c>
      <c r="BV43">
        <v>8.1999999999999993</v>
      </c>
      <c r="BW43">
        <v>0</v>
      </c>
      <c r="BX43">
        <v>0</v>
      </c>
      <c r="BY43">
        <v>6.6</v>
      </c>
      <c r="BZ43">
        <v>0</v>
      </c>
      <c r="CA43">
        <v>7.5</v>
      </c>
      <c r="CB43">
        <v>8.6999999999999993</v>
      </c>
      <c r="CC43">
        <v>0</v>
      </c>
      <c r="CD43">
        <v>0</v>
      </c>
      <c r="CE43">
        <v>0</v>
      </c>
      <c r="CF43">
        <v>0</v>
      </c>
      <c r="CG43">
        <v>0</v>
      </c>
      <c r="CH43">
        <v>0</v>
      </c>
      <c r="CI43">
        <v>0</v>
      </c>
      <c r="CJ43">
        <v>0</v>
      </c>
      <c r="CK43">
        <v>0</v>
      </c>
      <c r="CL43">
        <v>0</v>
      </c>
      <c r="CM43">
        <v>7.2</v>
      </c>
      <c r="CN43">
        <v>7.2</v>
      </c>
      <c r="CO43">
        <v>8.3000000000000007</v>
      </c>
      <c r="CP43">
        <v>8.3000000000000007</v>
      </c>
      <c r="CQ43">
        <v>8.9</v>
      </c>
      <c r="CR43">
        <v>0</v>
      </c>
      <c r="CS43">
        <v>0</v>
      </c>
      <c r="CT43">
        <v>6.1</v>
      </c>
      <c r="CU43">
        <v>0</v>
      </c>
      <c r="CV43">
        <v>8.8000000000000007</v>
      </c>
      <c r="CW43">
        <v>7.7</v>
      </c>
      <c r="CX43">
        <v>0</v>
      </c>
      <c r="CY43">
        <v>0</v>
      </c>
      <c r="CZ43">
        <v>0</v>
      </c>
      <c r="DA43">
        <v>0</v>
      </c>
      <c r="DB43">
        <v>0</v>
      </c>
      <c r="DC43">
        <v>0</v>
      </c>
      <c r="DD43">
        <v>0</v>
      </c>
      <c r="DE43">
        <v>0</v>
      </c>
      <c r="DF43">
        <v>0</v>
      </c>
      <c r="DG43">
        <v>0</v>
      </c>
      <c r="DH43">
        <v>8.1</v>
      </c>
      <c r="DI43">
        <v>6.8</v>
      </c>
      <c r="DJ43">
        <v>8.6999999999999993</v>
      </c>
      <c r="DK43">
        <v>8.6</v>
      </c>
      <c r="DL43">
        <v>8.3000000000000007</v>
      </c>
      <c r="DM43">
        <v>0</v>
      </c>
      <c r="DN43">
        <v>0</v>
      </c>
      <c r="DO43">
        <v>8</v>
      </c>
      <c r="DP43">
        <v>0</v>
      </c>
      <c r="DQ43">
        <v>8</v>
      </c>
      <c r="DR43">
        <v>8</v>
      </c>
      <c r="DS43">
        <v>0</v>
      </c>
      <c r="DT43">
        <v>0</v>
      </c>
      <c r="DU43">
        <v>0</v>
      </c>
      <c r="DV43">
        <v>0</v>
      </c>
      <c r="DW43">
        <v>0</v>
      </c>
      <c r="DX43">
        <v>0</v>
      </c>
      <c r="DY43">
        <v>0</v>
      </c>
      <c r="DZ43">
        <v>0</v>
      </c>
      <c r="EA43">
        <v>0</v>
      </c>
      <c r="EB43">
        <v>0</v>
      </c>
      <c r="EC43">
        <v>7</v>
      </c>
      <c r="ED43">
        <v>6.5</v>
      </c>
      <c r="EE43">
        <v>3</v>
      </c>
      <c r="EF43"/>
      <c r="EG43"/>
      <c r="EH43"/>
      <c r="EI43"/>
      <c r="EJ43">
        <v>5.5</v>
      </c>
      <c r="EK43"/>
      <c r="EL43"/>
      <c r="EM43"/>
      <c r="EN43"/>
      <c r="EO43"/>
      <c r="EP43"/>
      <c r="EQ43"/>
      <c r="ER43"/>
      <c r="ES43"/>
      <c r="ET43"/>
      <c r="EU43"/>
      <c r="EV43"/>
      <c r="EW43"/>
      <c r="EX43"/>
      <c r="EY43"/>
      <c r="EZ43"/>
      <c r="FA43"/>
      <c r="FB43"/>
      <c r="FC43"/>
      <c r="FD43"/>
    </row>
    <row r="44" spans="1:160" x14ac:dyDescent="0.25">
      <c r="A44" s="1" t="str">
        <f t="shared" si="0"/>
        <v>083308010347</v>
      </c>
      <c r="B44" t="s">
        <v>1060</v>
      </c>
      <c r="C44" t="s">
        <v>1061</v>
      </c>
      <c r="D44" t="s">
        <v>1062</v>
      </c>
      <c r="E44" t="s">
        <v>278</v>
      </c>
      <c r="F44" t="s">
        <v>1063</v>
      </c>
      <c r="G44" t="s">
        <v>1064</v>
      </c>
      <c r="H44" t="s">
        <v>1065</v>
      </c>
      <c r="I44" t="s">
        <v>77</v>
      </c>
      <c r="J44" t="s">
        <v>1066</v>
      </c>
      <c r="K44" t="s">
        <v>321</v>
      </c>
      <c r="L44"/>
      <c r="M44" t="s">
        <v>287</v>
      </c>
      <c r="N44" t="s">
        <v>288</v>
      </c>
      <c r="O44"/>
      <c r="P44" t="s">
        <v>289</v>
      </c>
      <c r="Q44" t="s">
        <v>1067</v>
      </c>
      <c r="R44" t="s">
        <v>287</v>
      </c>
      <c r="S44" t="s">
        <v>287</v>
      </c>
      <c r="T44" t="s">
        <v>287</v>
      </c>
      <c r="U44"/>
      <c r="V44"/>
      <c r="W44"/>
      <c r="X44"/>
      <c r="Y44"/>
      <c r="Z44"/>
      <c r="AA44" t="s">
        <v>287</v>
      </c>
      <c r="AB44"/>
      <c r="AC44"/>
      <c r="AD44"/>
      <c r="AE44"/>
      <c r="AF44" t="s">
        <v>421</v>
      </c>
      <c r="AG44" t="s">
        <v>1068</v>
      </c>
      <c r="AH44" t="s">
        <v>1069</v>
      </c>
      <c r="AI44" t="s">
        <v>421</v>
      </c>
      <c r="AJ44" t="s">
        <v>1068</v>
      </c>
      <c r="AK44" t="s">
        <v>1069</v>
      </c>
      <c r="AL44" t="s">
        <v>421</v>
      </c>
      <c r="AM44" t="s">
        <v>1068</v>
      </c>
      <c r="AN44" t="s">
        <v>1069</v>
      </c>
      <c r="AO44" t="s">
        <v>299</v>
      </c>
      <c r="AP44" t="s">
        <v>348</v>
      </c>
      <c r="AQ44" t="s">
        <v>294</v>
      </c>
      <c r="AR44" t="s">
        <v>1070</v>
      </c>
      <c r="AS44" t="s">
        <v>667</v>
      </c>
      <c r="AT44" t="s">
        <v>824</v>
      </c>
      <c r="AU44" t="s">
        <v>354</v>
      </c>
      <c r="AV44"/>
      <c r="AW44" t="s">
        <v>308</v>
      </c>
      <c r="AX44" t="s">
        <v>309</v>
      </c>
      <c r="AY44"/>
      <c r="AZ44"/>
      <c r="BA44"/>
      <c r="BB44"/>
      <c r="BC44" t="s">
        <v>312</v>
      </c>
      <c r="BD44" t="s">
        <v>353</v>
      </c>
      <c r="BE44"/>
      <c r="BF44" t="s">
        <v>314</v>
      </c>
      <c r="BG44"/>
      <c r="BH44"/>
      <c r="BI44"/>
      <c r="BJ44"/>
      <c r="BK44"/>
      <c r="BL44"/>
      <c r="BM44" t="s">
        <v>305</v>
      </c>
      <c r="BN44" t="s">
        <v>354</v>
      </c>
      <c r="BO44" t="s">
        <v>1071</v>
      </c>
      <c r="BP44"/>
      <c r="BQ44"/>
      <c r="BR44">
        <v>9.1</v>
      </c>
      <c r="BS44">
        <v>6.4</v>
      </c>
      <c r="BT44">
        <v>5.9</v>
      </c>
      <c r="BU44">
        <v>9.3000000000000007</v>
      </c>
      <c r="BV44">
        <v>8.6</v>
      </c>
      <c r="BW44">
        <v>0</v>
      </c>
      <c r="BX44">
        <v>0</v>
      </c>
      <c r="BY44">
        <v>8.8000000000000007</v>
      </c>
      <c r="BZ44">
        <v>8.6999999999999993</v>
      </c>
      <c r="CA44">
        <v>0</v>
      </c>
      <c r="CB44">
        <v>8.8000000000000007</v>
      </c>
      <c r="CC44">
        <v>8.1</v>
      </c>
      <c r="CD44">
        <v>0</v>
      </c>
      <c r="CE44">
        <v>0</v>
      </c>
      <c r="CF44">
        <v>0</v>
      </c>
      <c r="CG44">
        <v>0</v>
      </c>
      <c r="CH44">
        <v>0</v>
      </c>
      <c r="CI44">
        <v>0</v>
      </c>
      <c r="CJ44">
        <v>0</v>
      </c>
      <c r="CK44">
        <v>0</v>
      </c>
      <c r="CL44">
        <v>0</v>
      </c>
      <c r="CM44">
        <v>7.9</v>
      </c>
      <c r="CN44">
        <v>7</v>
      </c>
      <c r="CO44">
        <v>7.6</v>
      </c>
      <c r="CP44">
        <v>8.9</v>
      </c>
      <c r="CQ44">
        <v>7.4</v>
      </c>
      <c r="CR44">
        <v>0</v>
      </c>
      <c r="CS44">
        <v>0</v>
      </c>
      <c r="CT44">
        <v>8.8000000000000007</v>
      </c>
      <c r="CU44">
        <v>7.8</v>
      </c>
      <c r="CV44">
        <v>0</v>
      </c>
      <c r="CW44">
        <v>9.1</v>
      </c>
      <c r="CX44">
        <v>8.1</v>
      </c>
      <c r="CY44">
        <v>0</v>
      </c>
      <c r="CZ44">
        <v>0</v>
      </c>
      <c r="DA44">
        <v>0</v>
      </c>
      <c r="DB44">
        <v>0</v>
      </c>
      <c r="DC44">
        <v>0</v>
      </c>
      <c r="DD44">
        <v>0</v>
      </c>
      <c r="DE44">
        <v>0</v>
      </c>
      <c r="DF44">
        <v>0</v>
      </c>
      <c r="DG44">
        <v>0</v>
      </c>
      <c r="DH44">
        <v>9</v>
      </c>
      <c r="DI44">
        <v>7.7</v>
      </c>
      <c r="DJ44">
        <v>9.1</v>
      </c>
      <c r="DK44">
        <v>9.8000000000000007</v>
      </c>
      <c r="DL44">
        <v>9.3000000000000007</v>
      </c>
      <c r="DM44">
        <v>0</v>
      </c>
      <c r="DN44">
        <v>0</v>
      </c>
      <c r="DO44">
        <v>9.3000000000000007</v>
      </c>
      <c r="DP44">
        <v>8.6</v>
      </c>
      <c r="DQ44">
        <v>0</v>
      </c>
      <c r="DR44">
        <v>9.4</v>
      </c>
      <c r="DS44">
        <v>9.1999999999999993</v>
      </c>
      <c r="DT44">
        <v>0</v>
      </c>
      <c r="DU44">
        <v>0</v>
      </c>
      <c r="DV44">
        <v>0</v>
      </c>
      <c r="DW44">
        <v>0</v>
      </c>
      <c r="DX44">
        <v>0</v>
      </c>
      <c r="DY44">
        <v>0</v>
      </c>
      <c r="DZ44">
        <v>0</v>
      </c>
      <c r="EA44">
        <v>0</v>
      </c>
      <c r="EB44">
        <v>0</v>
      </c>
      <c r="EC44">
        <v>7.25</v>
      </c>
      <c r="ED44">
        <v>4.75</v>
      </c>
      <c r="EE44">
        <v>3</v>
      </c>
      <c r="EF44"/>
      <c r="EG44"/>
      <c r="EH44"/>
      <c r="EI44"/>
      <c r="EJ44">
        <v>5.75</v>
      </c>
      <c r="EK44"/>
      <c r="EL44"/>
      <c r="EM44"/>
      <c r="EN44"/>
      <c r="EO44"/>
      <c r="EP44"/>
      <c r="EQ44"/>
      <c r="ER44"/>
      <c r="ES44"/>
      <c r="ET44"/>
      <c r="EU44"/>
      <c r="EV44"/>
      <c r="EW44"/>
      <c r="EX44"/>
      <c r="EY44"/>
      <c r="EZ44"/>
      <c r="FA44"/>
      <c r="FB44"/>
      <c r="FC44"/>
      <c r="FD44"/>
    </row>
    <row r="45" spans="1:160" x14ac:dyDescent="0.25">
      <c r="A45" s="1" t="str">
        <f t="shared" si="0"/>
        <v>095208003828</v>
      </c>
      <c r="B45" t="s">
        <v>1072</v>
      </c>
      <c r="C45" t="s">
        <v>1073</v>
      </c>
      <c r="D45" t="s">
        <v>1074</v>
      </c>
      <c r="E45" t="s">
        <v>280</v>
      </c>
      <c r="F45" t="s">
        <v>493</v>
      </c>
      <c r="G45" t="s">
        <v>1075</v>
      </c>
      <c r="H45" t="s">
        <v>1076</v>
      </c>
      <c r="I45" t="s">
        <v>27</v>
      </c>
      <c r="J45" t="s">
        <v>1077</v>
      </c>
      <c r="K45" t="s">
        <v>321</v>
      </c>
      <c r="L45"/>
      <c r="M45" t="s">
        <v>287</v>
      </c>
      <c r="N45" t="s">
        <v>288</v>
      </c>
      <c r="O45"/>
      <c r="P45" t="s">
        <v>289</v>
      </c>
      <c r="Q45" t="s">
        <v>1078</v>
      </c>
      <c r="R45" t="s">
        <v>287</v>
      </c>
      <c r="S45" t="s">
        <v>287</v>
      </c>
      <c r="T45" t="s">
        <v>287</v>
      </c>
      <c r="U45" t="s">
        <v>1079</v>
      </c>
      <c r="V45" t="s">
        <v>1080</v>
      </c>
      <c r="W45" t="s">
        <v>1081</v>
      </c>
      <c r="X45"/>
      <c r="Y45"/>
      <c r="Z45" t="s">
        <v>294</v>
      </c>
      <c r="AA45" t="s">
        <v>287</v>
      </c>
      <c r="AB45"/>
      <c r="AC45"/>
      <c r="AD45"/>
      <c r="AE45"/>
      <c r="AF45" t="s">
        <v>576</v>
      </c>
      <c r="AG45" t="s">
        <v>1028</v>
      </c>
      <c r="AH45" t="s">
        <v>1082</v>
      </c>
      <c r="AI45" t="s">
        <v>576</v>
      </c>
      <c r="AJ45" t="s">
        <v>1028</v>
      </c>
      <c r="AK45" t="s">
        <v>1082</v>
      </c>
      <c r="AL45" t="s">
        <v>576</v>
      </c>
      <c r="AM45" t="s">
        <v>1028</v>
      </c>
      <c r="AN45" t="s">
        <v>1082</v>
      </c>
      <c r="AO45" t="s">
        <v>299</v>
      </c>
      <c r="AP45" t="s">
        <v>388</v>
      </c>
      <c r="AQ45" t="s">
        <v>1083</v>
      </c>
      <c r="AR45" t="s">
        <v>1084</v>
      </c>
      <c r="AS45" t="s">
        <v>1085</v>
      </c>
      <c r="AT45" t="s">
        <v>561</v>
      </c>
      <c r="AU45" t="s">
        <v>305</v>
      </c>
      <c r="AV45"/>
      <c r="AW45" t="s">
        <v>310</v>
      </c>
      <c r="AX45" t="s">
        <v>311</v>
      </c>
      <c r="AY45"/>
      <c r="AZ45"/>
      <c r="BA45"/>
      <c r="BB45"/>
      <c r="BC45" t="s">
        <v>312</v>
      </c>
      <c r="BD45" t="s">
        <v>353</v>
      </c>
      <c r="BE45"/>
      <c r="BF45" t="s">
        <v>314</v>
      </c>
      <c r="BG45"/>
      <c r="BH45"/>
      <c r="BI45"/>
      <c r="BJ45"/>
      <c r="BK45"/>
      <c r="BL45"/>
      <c r="BM45" t="s">
        <v>305</v>
      </c>
      <c r="BN45" t="s">
        <v>354</v>
      </c>
      <c r="BO45" t="s">
        <v>1086</v>
      </c>
      <c r="BP45" t="s">
        <v>1087</v>
      </c>
      <c r="BQ45"/>
      <c r="BR45">
        <v>6.4</v>
      </c>
      <c r="BS45">
        <v>6.3</v>
      </c>
      <c r="BT45">
        <v>5.8</v>
      </c>
      <c r="BU45">
        <v>7.9</v>
      </c>
      <c r="BV45">
        <v>5.7</v>
      </c>
      <c r="BW45">
        <v>0</v>
      </c>
      <c r="BX45">
        <v>0</v>
      </c>
      <c r="BY45">
        <v>5.5</v>
      </c>
      <c r="BZ45">
        <v>6.5</v>
      </c>
      <c r="CA45">
        <v>5.9</v>
      </c>
      <c r="CB45">
        <v>0</v>
      </c>
      <c r="CC45">
        <v>5</v>
      </c>
      <c r="CD45">
        <v>0</v>
      </c>
      <c r="CE45">
        <v>0</v>
      </c>
      <c r="CF45">
        <v>0</v>
      </c>
      <c r="CG45">
        <v>0</v>
      </c>
      <c r="CH45">
        <v>0</v>
      </c>
      <c r="CI45">
        <v>0</v>
      </c>
      <c r="CJ45">
        <v>0</v>
      </c>
      <c r="CK45">
        <v>0</v>
      </c>
      <c r="CL45">
        <v>0</v>
      </c>
      <c r="CM45">
        <v>6.7</v>
      </c>
      <c r="CN45">
        <v>6.4</v>
      </c>
      <c r="CO45">
        <v>6</v>
      </c>
      <c r="CP45">
        <v>7.9</v>
      </c>
      <c r="CQ45">
        <v>6.3</v>
      </c>
      <c r="CR45">
        <v>0</v>
      </c>
      <c r="CS45">
        <v>0</v>
      </c>
      <c r="CT45">
        <v>5.3</v>
      </c>
      <c r="CU45">
        <v>6.4</v>
      </c>
      <c r="CV45">
        <v>6.4</v>
      </c>
      <c r="CW45">
        <v>0</v>
      </c>
      <c r="CX45">
        <v>6.3</v>
      </c>
      <c r="CY45">
        <v>0</v>
      </c>
      <c r="CZ45">
        <v>0</v>
      </c>
      <c r="DA45">
        <v>0</v>
      </c>
      <c r="DB45">
        <v>0</v>
      </c>
      <c r="DC45">
        <v>0</v>
      </c>
      <c r="DD45">
        <v>0</v>
      </c>
      <c r="DE45">
        <v>0</v>
      </c>
      <c r="DF45">
        <v>0</v>
      </c>
      <c r="DG45">
        <v>0</v>
      </c>
      <c r="DH45">
        <v>8</v>
      </c>
      <c r="DI45">
        <v>7.2</v>
      </c>
      <c r="DJ45">
        <v>6</v>
      </c>
      <c r="DK45">
        <v>8.6999999999999993</v>
      </c>
      <c r="DL45">
        <v>6.7</v>
      </c>
      <c r="DM45">
        <v>0</v>
      </c>
      <c r="DN45">
        <v>0</v>
      </c>
      <c r="DO45">
        <v>7.4</v>
      </c>
      <c r="DP45">
        <v>6.5</v>
      </c>
      <c r="DQ45">
        <v>5.3</v>
      </c>
      <c r="DR45">
        <v>0</v>
      </c>
      <c r="DS45">
        <v>7.4</v>
      </c>
      <c r="DT45">
        <v>0</v>
      </c>
      <c r="DU45">
        <v>0</v>
      </c>
      <c r="DV45">
        <v>0</v>
      </c>
      <c r="DW45">
        <v>0</v>
      </c>
      <c r="DX45">
        <v>0</v>
      </c>
      <c r="DY45">
        <v>0</v>
      </c>
      <c r="DZ45">
        <v>0</v>
      </c>
      <c r="EA45">
        <v>0</v>
      </c>
      <c r="EB45">
        <v>0</v>
      </c>
      <c r="EC45">
        <v>5.25</v>
      </c>
      <c r="ED45">
        <v>5.25</v>
      </c>
      <c r="EE45"/>
      <c r="EF45"/>
      <c r="EG45"/>
      <c r="EH45"/>
      <c r="EI45"/>
      <c r="EJ45">
        <v>4.5</v>
      </c>
      <c r="EK45">
        <v>5</v>
      </c>
      <c r="EL45"/>
      <c r="EM45"/>
      <c r="EN45"/>
      <c r="EO45"/>
      <c r="EP45"/>
      <c r="EQ45"/>
      <c r="ER45"/>
      <c r="ES45"/>
      <c r="ET45"/>
      <c r="EU45"/>
      <c r="EV45"/>
      <c r="EW45"/>
      <c r="EX45"/>
      <c r="EY45"/>
      <c r="EZ45"/>
      <c r="FA45"/>
      <c r="FB45"/>
      <c r="FC45"/>
      <c r="FD45"/>
    </row>
    <row r="46" spans="1:160" x14ac:dyDescent="0.25">
      <c r="A46" s="1" t="str">
        <f t="shared" si="0"/>
        <v>082208016209</v>
      </c>
      <c r="B46" t="s">
        <v>1088</v>
      </c>
      <c r="C46" t="s">
        <v>1089</v>
      </c>
      <c r="D46" t="s">
        <v>1090</v>
      </c>
      <c r="E46" t="s">
        <v>280</v>
      </c>
      <c r="F46" t="s">
        <v>1091</v>
      </c>
      <c r="G46" t="s">
        <v>1092</v>
      </c>
      <c r="H46" t="s">
        <v>1093</v>
      </c>
      <c r="I46" t="s">
        <v>87</v>
      </c>
      <c r="J46" t="s">
        <v>1094</v>
      </c>
      <c r="K46" t="s">
        <v>516</v>
      </c>
      <c r="L46"/>
      <c r="M46" t="s">
        <v>287</v>
      </c>
      <c r="N46" t="s">
        <v>288</v>
      </c>
      <c r="O46"/>
      <c r="P46" t="s">
        <v>289</v>
      </c>
      <c r="Q46"/>
      <c r="R46" t="s">
        <v>287</v>
      </c>
      <c r="S46" t="s">
        <v>287</v>
      </c>
      <c r="T46" t="s">
        <v>287</v>
      </c>
      <c r="U46"/>
      <c r="V46"/>
      <c r="W46" t="s">
        <v>294</v>
      </c>
      <c r="X46" t="s">
        <v>1095</v>
      </c>
      <c r="Y46" t="s">
        <v>1096</v>
      </c>
      <c r="Z46" t="s">
        <v>1097</v>
      </c>
      <c r="AA46" t="s">
        <v>287</v>
      </c>
      <c r="AB46"/>
      <c r="AC46"/>
      <c r="AD46"/>
      <c r="AE46"/>
      <c r="AF46" t="s">
        <v>323</v>
      </c>
      <c r="AG46" t="s">
        <v>1098</v>
      </c>
      <c r="AH46" t="s">
        <v>1099</v>
      </c>
      <c r="AI46" t="s">
        <v>323</v>
      </c>
      <c r="AJ46" t="s">
        <v>1098</v>
      </c>
      <c r="AK46" t="s">
        <v>1099</v>
      </c>
      <c r="AL46" t="s">
        <v>323</v>
      </c>
      <c r="AM46" t="s">
        <v>1098</v>
      </c>
      <c r="AN46" t="s">
        <v>1099</v>
      </c>
      <c r="AO46" t="s">
        <v>299</v>
      </c>
      <c r="AP46" t="s">
        <v>388</v>
      </c>
      <c r="AQ46" t="s">
        <v>294</v>
      </c>
      <c r="AR46" t="s">
        <v>666</v>
      </c>
      <c r="AS46" t="s">
        <v>1100</v>
      </c>
      <c r="AT46" t="s">
        <v>990</v>
      </c>
      <c r="AU46" t="s">
        <v>305</v>
      </c>
      <c r="AV46"/>
      <c r="AW46" t="s">
        <v>444</v>
      </c>
      <c r="AX46" t="s">
        <v>445</v>
      </c>
      <c r="AY46"/>
      <c r="AZ46"/>
      <c r="BA46"/>
      <c r="BB46"/>
      <c r="BC46" t="s">
        <v>312</v>
      </c>
      <c r="BD46" t="s">
        <v>353</v>
      </c>
      <c r="BE46"/>
      <c r="BF46" t="s">
        <v>314</v>
      </c>
      <c r="BG46"/>
      <c r="BH46"/>
      <c r="BI46"/>
      <c r="BJ46"/>
      <c r="BK46"/>
      <c r="BL46"/>
      <c r="BM46" t="s">
        <v>305</v>
      </c>
      <c r="BN46" t="s">
        <v>354</v>
      </c>
      <c r="BO46" t="s">
        <v>1101</v>
      </c>
      <c r="BP46" t="s">
        <v>1102</v>
      </c>
      <c r="BQ46"/>
      <c r="BR46">
        <v>7.3</v>
      </c>
      <c r="BS46">
        <v>8.1</v>
      </c>
      <c r="BT46">
        <v>8.1</v>
      </c>
      <c r="BU46">
        <v>8.3000000000000007</v>
      </c>
      <c r="BV46">
        <v>6.8</v>
      </c>
      <c r="BW46">
        <v>0</v>
      </c>
      <c r="BX46">
        <v>0</v>
      </c>
      <c r="BY46">
        <v>7.3</v>
      </c>
      <c r="BZ46">
        <v>7.3</v>
      </c>
      <c r="CA46">
        <v>6.8</v>
      </c>
      <c r="CB46">
        <v>0</v>
      </c>
      <c r="CC46">
        <v>8</v>
      </c>
      <c r="CD46">
        <v>0</v>
      </c>
      <c r="CE46">
        <v>0</v>
      </c>
      <c r="CF46">
        <v>0</v>
      </c>
      <c r="CG46">
        <v>0</v>
      </c>
      <c r="CH46">
        <v>0</v>
      </c>
      <c r="CI46">
        <v>0</v>
      </c>
      <c r="CJ46">
        <v>0</v>
      </c>
      <c r="CK46">
        <v>0</v>
      </c>
      <c r="CL46">
        <v>0</v>
      </c>
      <c r="CM46">
        <v>7.3</v>
      </c>
      <c r="CN46">
        <v>8.5</v>
      </c>
      <c r="CO46">
        <v>7</v>
      </c>
      <c r="CP46">
        <v>8.6999999999999993</v>
      </c>
      <c r="CQ46">
        <v>8</v>
      </c>
      <c r="CR46">
        <v>0</v>
      </c>
      <c r="CS46">
        <v>0</v>
      </c>
      <c r="CT46">
        <v>6.3</v>
      </c>
      <c r="CU46">
        <v>7.7</v>
      </c>
      <c r="CV46">
        <v>7</v>
      </c>
      <c r="CW46">
        <v>0</v>
      </c>
      <c r="CX46">
        <v>8</v>
      </c>
      <c r="CY46">
        <v>0</v>
      </c>
      <c r="CZ46">
        <v>0</v>
      </c>
      <c r="DA46">
        <v>0</v>
      </c>
      <c r="DB46">
        <v>0</v>
      </c>
      <c r="DC46">
        <v>0</v>
      </c>
      <c r="DD46">
        <v>0</v>
      </c>
      <c r="DE46">
        <v>0</v>
      </c>
      <c r="DF46">
        <v>0</v>
      </c>
      <c r="DG46">
        <v>0</v>
      </c>
      <c r="DH46">
        <v>8.6</v>
      </c>
      <c r="DI46">
        <v>7.8</v>
      </c>
      <c r="DJ46">
        <v>7.7</v>
      </c>
      <c r="DK46">
        <v>9.4</v>
      </c>
      <c r="DL46">
        <v>8.6999999999999993</v>
      </c>
      <c r="DM46">
        <v>0</v>
      </c>
      <c r="DN46">
        <v>0</v>
      </c>
      <c r="DO46">
        <v>8.6</v>
      </c>
      <c r="DP46">
        <v>7.7</v>
      </c>
      <c r="DQ46">
        <v>7.6</v>
      </c>
      <c r="DR46">
        <v>0</v>
      </c>
      <c r="DS46">
        <v>8.6999999999999993</v>
      </c>
      <c r="DT46">
        <v>0</v>
      </c>
      <c r="DU46">
        <v>0</v>
      </c>
      <c r="DV46">
        <v>0</v>
      </c>
      <c r="DW46">
        <v>0</v>
      </c>
      <c r="DX46">
        <v>0</v>
      </c>
      <c r="DY46">
        <v>0</v>
      </c>
      <c r="DZ46">
        <v>0</v>
      </c>
      <c r="EA46">
        <v>0</v>
      </c>
      <c r="EB46">
        <v>0</v>
      </c>
      <c r="EC46">
        <v>8.5</v>
      </c>
      <c r="ED46">
        <v>7.75</v>
      </c>
      <c r="EE46">
        <v>4.75</v>
      </c>
      <c r="EF46"/>
      <c r="EG46"/>
      <c r="EH46"/>
      <c r="EI46"/>
      <c r="EJ46"/>
      <c r="EK46">
        <v>4.5999999999999996</v>
      </c>
      <c r="EL46"/>
      <c r="EM46"/>
      <c r="EN46"/>
      <c r="EO46"/>
      <c r="EP46"/>
      <c r="EQ46"/>
      <c r="ER46"/>
      <c r="ES46"/>
      <c r="ET46"/>
      <c r="EU46"/>
      <c r="EV46"/>
      <c r="EW46"/>
      <c r="EX46"/>
      <c r="EY46"/>
      <c r="EZ46"/>
      <c r="FA46"/>
      <c r="FB46"/>
      <c r="FC46"/>
      <c r="FD46"/>
    </row>
    <row r="47" spans="1:160" x14ac:dyDescent="0.25">
      <c r="A47" s="1" t="str">
        <f t="shared" si="0"/>
        <v>082307008212</v>
      </c>
      <c r="B47" t="s">
        <v>1103</v>
      </c>
      <c r="C47" t="s">
        <v>1104</v>
      </c>
      <c r="D47" t="s">
        <v>1105</v>
      </c>
      <c r="E47" t="s">
        <v>278</v>
      </c>
      <c r="F47" t="s">
        <v>1106</v>
      </c>
      <c r="G47" t="s">
        <v>1107</v>
      </c>
      <c r="H47" t="s">
        <v>1108</v>
      </c>
      <c r="I47" t="s">
        <v>86</v>
      </c>
      <c r="J47" t="s">
        <v>1109</v>
      </c>
      <c r="K47" t="s">
        <v>321</v>
      </c>
      <c r="L47"/>
      <c r="M47" t="s">
        <v>287</v>
      </c>
      <c r="N47" t="s">
        <v>288</v>
      </c>
      <c r="O47"/>
      <c r="P47" t="s">
        <v>655</v>
      </c>
      <c r="Q47" t="s">
        <v>1110</v>
      </c>
      <c r="R47" t="s">
        <v>287</v>
      </c>
      <c r="S47" t="s">
        <v>287</v>
      </c>
      <c r="T47" t="s">
        <v>287</v>
      </c>
      <c r="U47" t="s">
        <v>1111</v>
      </c>
      <c r="V47" t="s">
        <v>1112</v>
      </c>
      <c r="W47" t="s">
        <v>1113</v>
      </c>
      <c r="X47" t="s">
        <v>1114</v>
      </c>
      <c r="Y47" t="s">
        <v>1115</v>
      </c>
      <c r="Z47" t="s">
        <v>1116</v>
      </c>
      <c r="AA47" t="s">
        <v>287</v>
      </c>
      <c r="AB47"/>
      <c r="AC47"/>
      <c r="AD47"/>
      <c r="AE47"/>
      <c r="AF47" t="s">
        <v>323</v>
      </c>
      <c r="AG47" t="s">
        <v>1117</v>
      </c>
      <c r="AH47" t="s">
        <v>1118</v>
      </c>
      <c r="AI47" t="s">
        <v>323</v>
      </c>
      <c r="AJ47" t="s">
        <v>1117</v>
      </c>
      <c r="AK47" t="s">
        <v>1118</v>
      </c>
      <c r="AL47" t="s">
        <v>323</v>
      </c>
      <c r="AM47" t="s">
        <v>1117</v>
      </c>
      <c r="AN47" t="s">
        <v>1118</v>
      </c>
      <c r="AO47" t="s">
        <v>299</v>
      </c>
      <c r="AP47" t="s">
        <v>348</v>
      </c>
      <c r="AQ47" t="s">
        <v>1119</v>
      </c>
      <c r="AR47" t="s">
        <v>1100</v>
      </c>
      <c r="AS47" t="s">
        <v>1070</v>
      </c>
      <c r="AT47" t="s">
        <v>1120</v>
      </c>
      <c r="AU47" t="s">
        <v>305</v>
      </c>
      <c r="AV47"/>
      <c r="AW47" t="s">
        <v>444</v>
      </c>
      <c r="AX47" t="s">
        <v>445</v>
      </c>
      <c r="AY47" t="s">
        <v>332</v>
      </c>
      <c r="AZ47" t="s">
        <v>333</v>
      </c>
      <c r="BA47" t="s">
        <v>308</v>
      </c>
      <c r="BB47" t="s">
        <v>309</v>
      </c>
      <c r="BC47" t="s">
        <v>312</v>
      </c>
      <c r="BD47" t="s">
        <v>353</v>
      </c>
      <c r="BE47"/>
      <c r="BF47" t="s">
        <v>314</v>
      </c>
      <c r="BG47"/>
      <c r="BH47"/>
      <c r="BI47"/>
      <c r="BJ47"/>
      <c r="BK47"/>
      <c r="BL47"/>
      <c r="BM47" t="s">
        <v>305</v>
      </c>
      <c r="BN47" t="s">
        <v>354</v>
      </c>
      <c r="BO47" t="s">
        <v>1121</v>
      </c>
      <c r="BP47" t="s">
        <v>1122</v>
      </c>
      <c r="BQ47"/>
      <c r="BR47">
        <v>5.4</v>
      </c>
      <c r="BS47">
        <v>7</v>
      </c>
      <c r="BT47">
        <v>6</v>
      </c>
      <c r="BU47">
        <v>9.1999999999999993</v>
      </c>
      <c r="BV47">
        <v>8.1999999999999993</v>
      </c>
      <c r="BW47">
        <v>8.8000000000000007</v>
      </c>
      <c r="BX47">
        <v>8</v>
      </c>
      <c r="BY47">
        <v>6.5</v>
      </c>
      <c r="BZ47">
        <v>0</v>
      </c>
      <c r="CA47">
        <v>0</v>
      </c>
      <c r="CB47">
        <v>9.4</v>
      </c>
      <c r="CC47">
        <v>0</v>
      </c>
      <c r="CD47">
        <v>0</v>
      </c>
      <c r="CE47">
        <v>0</v>
      </c>
      <c r="CF47">
        <v>0</v>
      </c>
      <c r="CG47">
        <v>0</v>
      </c>
      <c r="CH47">
        <v>0</v>
      </c>
      <c r="CI47">
        <v>0</v>
      </c>
      <c r="CJ47">
        <v>0</v>
      </c>
      <c r="CK47">
        <v>0</v>
      </c>
      <c r="CL47">
        <v>0</v>
      </c>
      <c r="CM47">
        <v>6.5</v>
      </c>
      <c r="CN47">
        <v>7.7</v>
      </c>
      <c r="CO47">
        <v>7.4</v>
      </c>
      <c r="CP47">
        <v>9.6</v>
      </c>
      <c r="CQ47">
        <v>8.4</v>
      </c>
      <c r="CR47">
        <v>9.3000000000000007</v>
      </c>
      <c r="CS47">
        <v>8</v>
      </c>
      <c r="CT47">
        <v>6.9</v>
      </c>
      <c r="CU47">
        <v>0</v>
      </c>
      <c r="CV47">
        <v>0</v>
      </c>
      <c r="CW47">
        <v>9.9</v>
      </c>
      <c r="CX47">
        <v>0</v>
      </c>
      <c r="CY47">
        <v>0</v>
      </c>
      <c r="CZ47">
        <v>0</v>
      </c>
      <c r="DA47">
        <v>0</v>
      </c>
      <c r="DB47">
        <v>0</v>
      </c>
      <c r="DC47">
        <v>0</v>
      </c>
      <c r="DD47">
        <v>0</v>
      </c>
      <c r="DE47">
        <v>0</v>
      </c>
      <c r="DF47">
        <v>0</v>
      </c>
      <c r="DG47">
        <v>0</v>
      </c>
      <c r="DH47">
        <v>7.1</v>
      </c>
      <c r="DI47">
        <v>8.1999999999999993</v>
      </c>
      <c r="DJ47">
        <v>7.9</v>
      </c>
      <c r="DK47">
        <v>9.6999999999999993</v>
      </c>
      <c r="DL47">
        <v>7.9</v>
      </c>
      <c r="DM47">
        <v>9.1</v>
      </c>
      <c r="DN47">
        <v>8.9</v>
      </c>
      <c r="DO47">
        <v>8.1</v>
      </c>
      <c r="DP47">
        <v>0</v>
      </c>
      <c r="DQ47">
        <v>0</v>
      </c>
      <c r="DR47">
        <v>10</v>
      </c>
      <c r="DS47">
        <v>0</v>
      </c>
      <c r="DT47">
        <v>0</v>
      </c>
      <c r="DU47">
        <v>0</v>
      </c>
      <c r="DV47">
        <v>0</v>
      </c>
      <c r="DW47">
        <v>0</v>
      </c>
      <c r="DX47">
        <v>0</v>
      </c>
      <c r="DY47">
        <v>0</v>
      </c>
      <c r="DZ47">
        <v>0</v>
      </c>
      <c r="EA47">
        <v>0</v>
      </c>
      <c r="EB47">
        <v>0</v>
      </c>
      <c r="EC47">
        <v>4.75</v>
      </c>
      <c r="ED47">
        <v>7.5</v>
      </c>
      <c r="EE47">
        <v>4</v>
      </c>
      <c r="EF47"/>
      <c r="EG47">
        <v>7</v>
      </c>
      <c r="EH47"/>
      <c r="EI47"/>
      <c r="EJ47"/>
      <c r="EK47"/>
      <c r="EL47"/>
      <c r="EM47"/>
      <c r="EN47"/>
      <c r="EO47"/>
      <c r="EP47"/>
      <c r="EQ47"/>
      <c r="ER47"/>
      <c r="ES47"/>
      <c r="ET47"/>
      <c r="EU47"/>
      <c r="EV47"/>
      <c r="EW47"/>
      <c r="EX47"/>
      <c r="EY47"/>
      <c r="EZ47"/>
      <c r="FA47"/>
      <c r="FB47"/>
      <c r="FC47"/>
      <c r="FD47"/>
    </row>
    <row r="48" spans="1:160" x14ac:dyDescent="0.25">
      <c r="A48" s="1" t="str">
        <f t="shared" si="0"/>
        <v>086208011841</v>
      </c>
      <c r="B48" t="s">
        <v>1124</v>
      </c>
      <c r="C48" t="s">
        <v>1125</v>
      </c>
      <c r="D48" t="s">
        <v>1126</v>
      </c>
      <c r="E48" t="s">
        <v>280</v>
      </c>
      <c r="F48" t="s">
        <v>338</v>
      </c>
      <c r="G48" t="s">
        <v>1127</v>
      </c>
      <c r="H48" t="s">
        <v>1128</v>
      </c>
      <c r="I48" t="s">
        <v>65</v>
      </c>
      <c r="J48" t="s">
        <v>1129</v>
      </c>
      <c r="K48" t="s">
        <v>476</v>
      </c>
      <c r="L48"/>
      <c r="M48" t="s">
        <v>287</v>
      </c>
      <c r="N48" t="s">
        <v>288</v>
      </c>
      <c r="O48"/>
      <c r="P48" t="s">
        <v>289</v>
      </c>
      <c r="Q48" t="s">
        <v>1130</v>
      </c>
      <c r="R48" t="s">
        <v>287</v>
      </c>
      <c r="S48" t="s">
        <v>287</v>
      </c>
      <c r="T48" t="s">
        <v>287</v>
      </c>
      <c r="U48"/>
      <c r="V48"/>
      <c r="W48"/>
      <c r="X48"/>
      <c r="Y48"/>
      <c r="Z48"/>
      <c r="AA48" t="s">
        <v>287</v>
      </c>
      <c r="AB48"/>
      <c r="AC48"/>
      <c r="AD48"/>
      <c r="AE48"/>
      <c r="AF48" t="s">
        <v>421</v>
      </c>
      <c r="AG48" t="s">
        <v>1131</v>
      </c>
      <c r="AH48" t="s">
        <v>1132</v>
      </c>
      <c r="AI48" t="s">
        <v>421</v>
      </c>
      <c r="AJ48" t="s">
        <v>1131</v>
      </c>
      <c r="AK48" t="s">
        <v>1132</v>
      </c>
      <c r="AL48" t="s">
        <v>421</v>
      </c>
      <c r="AM48" t="s">
        <v>1131</v>
      </c>
      <c r="AN48" t="s">
        <v>1132</v>
      </c>
      <c r="AO48" t="s">
        <v>299</v>
      </c>
      <c r="AP48" t="s">
        <v>348</v>
      </c>
      <c r="AQ48" t="s">
        <v>1133</v>
      </c>
      <c r="AR48" t="s">
        <v>807</v>
      </c>
      <c r="AS48" t="s">
        <v>691</v>
      </c>
      <c r="AT48" t="s">
        <v>1133</v>
      </c>
      <c r="AU48" t="s">
        <v>354</v>
      </c>
      <c r="AV48"/>
      <c r="AW48" t="s">
        <v>351</v>
      </c>
      <c r="AX48" t="s">
        <v>352</v>
      </c>
      <c r="AY48" t="s">
        <v>444</v>
      </c>
      <c r="AZ48" t="s">
        <v>445</v>
      </c>
      <c r="BA48" t="s">
        <v>545</v>
      </c>
      <c r="BB48" t="s">
        <v>546</v>
      </c>
      <c r="BC48" t="s">
        <v>312</v>
      </c>
      <c r="BD48" t="s">
        <v>353</v>
      </c>
      <c r="BE48"/>
      <c r="BF48" t="s">
        <v>314</v>
      </c>
      <c r="BG48"/>
      <c r="BH48"/>
      <c r="BI48"/>
      <c r="BJ48"/>
      <c r="BK48"/>
      <c r="BL48"/>
      <c r="BM48" t="s">
        <v>305</v>
      </c>
      <c r="BN48" t="s">
        <v>354</v>
      </c>
      <c r="BO48" t="s">
        <v>1134</v>
      </c>
      <c r="BP48"/>
      <c r="BQ48"/>
      <c r="BR48">
        <v>8</v>
      </c>
      <c r="BS48">
        <v>7.4</v>
      </c>
      <c r="BT48">
        <v>7.7</v>
      </c>
      <c r="BU48">
        <v>8.1999999999999993</v>
      </c>
      <c r="BV48">
        <v>8.1</v>
      </c>
      <c r="BW48">
        <v>0</v>
      </c>
      <c r="BX48">
        <v>0</v>
      </c>
      <c r="BY48">
        <v>8.3000000000000007</v>
      </c>
      <c r="BZ48">
        <v>8.1</v>
      </c>
      <c r="CA48">
        <v>8.6999999999999993</v>
      </c>
      <c r="CB48">
        <v>0</v>
      </c>
      <c r="CC48">
        <v>9</v>
      </c>
      <c r="CD48">
        <v>0</v>
      </c>
      <c r="CE48">
        <v>0</v>
      </c>
      <c r="CF48">
        <v>0</v>
      </c>
      <c r="CG48">
        <v>0</v>
      </c>
      <c r="CH48">
        <v>0</v>
      </c>
      <c r="CI48">
        <v>0</v>
      </c>
      <c r="CJ48">
        <v>0</v>
      </c>
      <c r="CK48">
        <v>0</v>
      </c>
      <c r="CL48">
        <v>0</v>
      </c>
      <c r="CM48">
        <v>7.9</v>
      </c>
      <c r="CN48">
        <v>7.8</v>
      </c>
      <c r="CO48">
        <v>6.4</v>
      </c>
      <c r="CP48">
        <v>7.7</v>
      </c>
      <c r="CQ48">
        <v>7.4</v>
      </c>
      <c r="CR48">
        <v>0</v>
      </c>
      <c r="CS48">
        <v>0</v>
      </c>
      <c r="CT48">
        <v>8.1</v>
      </c>
      <c r="CU48">
        <v>7.9</v>
      </c>
      <c r="CV48">
        <v>8.5</v>
      </c>
      <c r="CW48">
        <v>0</v>
      </c>
      <c r="CX48">
        <v>9.1</v>
      </c>
      <c r="CY48">
        <v>0</v>
      </c>
      <c r="CZ48">
        <v>0</v>
      </c>
      <c r="DA48">
        <v>0</v>
      </c>
      <c r="DB48">
        <v>0</v>
      </c>
      <c r="DC48">
        <v>0</v>
      </c>
      <c r="DD48">
        <v>0</v>
      </c>
      <c r="DE48">
        <v>0</v>
      </c>
      <c r="DF48">
        <v>0</v>
      </c>
      <c r="DG48">
        <v>0</v>
      </c>
      <c r="DH48">
        <v>7.8</v>
      </c>
      <c r="DI48">
        <v>8.1</v>
      </c>
      <c r="DJ48">
        <v>7.5</v>
      </c>
      <c r="DK48">
        <v>8</v>
      </c>
      <c r="DL48">
        <v>9.5</v>
      </c>
      <c r="DM48">
        <v>0</v>
      </c>
      <c r="DN48">
        <v>0</v>
      </c>
      <c r="DO48">
        <v>9.6999999999999993</v>
      </c>
      <c r="DP48">
        <v>9.1</v>
      </c>
      <c r="DQ48">
        <v>8.6</v>
      </c>
      <c r="DR48">
        <v>0</v>
      </c>
      <c r="DS48">
        <v>9.1999999999999993</v>
      </c>
      <c r="DT48">
        <v>0</v>
      </c>
      <c r="DU48">
        <v>0</v>
      </c>
      <c r="DV48">
        <v>0</v>
      </c>
      <c r="DW48">
        <v>0</v>
      </c>
      <c r="DX48">
        <v>0</v>
      </c>
      <c r="DY48">
        <v>0</v>
      </c>
      <c r="DZ48">
        <v>0</v>
      </c>
      <c r="EA48">
        <v>0</v>
      </c>
      <c r="EB48">
        <v>0</v>
      </c>
      <c r="EC48">
        <v>7</v>
      </c>
      <c r="ED48">
        <v>3.25</v>
      </c>
      <c r="EE48"/>
      <c r="EF48"/>
      <c r="EG48"/>
      <c r="EH48"/>
      <c r="EI48"/>
      <c r="EJ48">
        <v>6.25</v>
      </c>
      <c r="EK48">
        <v>5.85</v>
      </c>
      <c r="EL48"/>
      <c r="EM48"/>
      <c r="EN48"/>
      <c r="EO48"/>
      <c r="EP48"/>
      <c r="EQ48"/>
      <c r="ER48"/>
      <c r="ES48"/>
      <c r="ET48"/>
      <c r="EU48"/>
      <c r="EV48"/>
      <c r="EW48"/>
      <c r="EX48"/>
      <c r="EY48"/>
      <c r="EZ48"/>
      <c r="FA48"/>
      <c r="FB48">
        <v>0</v>
      </c>
      <c r="FC48">
        <v>0</v>
      </c>
      <c r="FD48">
        <v>0</v>
      </c>
    </row>
    <row r="49" spans="1:160" x14ac:dyDescent="0.25">
      <c r="A49" s="1" t="str">
        <f t="shared" si="0"/>
        <v>095208002435</v>
      </c>
      <c r="B49" t="s">
        <v>1135</v>
      </c>
      <c r="C49" t="s">
        <v>1136</v>
      </c>
      <c r="D49" t="s">
        <v>1137</v>
      </c>
      <c r="E49" t="s">
        <v>280</v>
      </c>
      <c r="F49" t="s">
        <v>1138</v>
      </c>
      <c r="G49" t="s">
        <v>1139</v>
      </c>
      <c r="H49" t="s">
        <v>1140</v>
      </c>
      <c r="I49" t="s">
        <v>28</v>
      </c>
      <c r="J49" t="s">
        <v>1141</v>
      </c>
      <c r="K49" t="s">
        <v>516</v>
      </c>
      <c r="L49"/>
      <c r="M49" t="s">
        <v>287</v>
      </c>
      <c r="N49" t="s">
        <v>288</v>
      </c>
      <c r="O49"/>
      <c r="P49" t="s">
        <v>289</v>
      </c>
      <c r="Q49" t="s">
        <v>1142</v>
      </c>
      <c r="R49" t="s">
        <v>287</v>
      </c>
      <c r="S49" t="s">
        <v>287</v>
      </c>
      <c r="T49" t="s">
        <v>287</v>
      </c>
      <c r="U49"/>
      <c r="V49"/>
      <c r="W49" t="s">
        <v>294</v>
      </c>
      <c r="X49" t="s">
        <v>1143</v>
      </c>
      <c r="Y49" t="s">
        <v>1144</v>
      </c>
      <c r="Z49" t="s">
        <v>1145</v>
      </c>
      <c r="AA49" t="s">
        <v>287</v>
      </c>
      <c r="AB49"/>
      <c r="AC49"/>
      <c r="AD49"/>
      <c r="AE49"/>
      <c r="AF49" t="s">
        <v>663</v>
      </c>
      <c r="AG49" t="s">
        <v>1146</v>
      </c>
      <c r="AH49" t="s">
        <v>1147</v>
      </c>
      <c r="AI49" t="s">
        <v>663</v>
      </c>
      <c r="AJ49" t="s">
        <v>1146</v>
      </c>
      <c r="AK49" t="s">
        <v>1147</v>
      </c>
      <c r="AL49" t="s">
        <v>663</v>
      </c>
      <c r="AM49" t="s">
        <v>1146</v>
      </c>
      <c r="AN49" t="s">
        <v>1147</v>
      </c>
      <c r="AO49" t="s">
        <v>299</v>
      </c>
      <c r="AP49" t="s">
        <v>603</v>
      </c>
      <c r="AQ49" t="s">
        <v>1148</v>
      </c>
      <c r="AR49" t="s">
        <v>1149</v>
      </c>
      <c r="AS49" t="s">
        <v>1150</v>
      </c>
      <c r="AT49" t="s">
        <v>525</v>
      </c>
      <c r="AU49" t="s">
        <v>305</v>
      </c>
      <c r="AV49"/>
      <c r="AW49" t="s">
        <v>562</v>
      </c>
      <c r="AX49" t="s">
        <v>563</v>
      </c>
      <c r="AY49"/>
      <c r="AZ49"/>
      <c r="BA49"/>
      <c r="BB49"/>
      <c r="BC49" t="s">
        <v>669</v>
      </c>
      <c r="BD49" t="s">
        <v>353</v>
      </c>
      <c r="BE49"/>
      <c r="BF49" t="s">
        <v>314</v>
      </c>
      <c r="BG49"/>
      <c r="BH49"/>
      <c r="BI49"/>
      <c r="BJ49"/>
      <c r="BK49"/>
      <c r="BL49"/>
      <c r="BM49" t="s">
        <v>305</v>
      </c>
      <c r="BN49" t="s">
        <v>354</v>
      </c>
      <c r="BO49" t="s">
        <v>1151</v>
      </c>
      <c r="BP49" t="s">
        <v>1152</v>
      </c>
      <c r="BQ49"/>
      <c r="BR49">
        <v>7.7</v>
      </c>
      <c r="BS49">
        <v>7</v>
      </c>
      <c r="BT49">
        <v>6.4</v>
      </c>
      <c r="BU49">
        <v>7.3</v>
      </c>
      <c r="BV49">
        <v>7.4</v>
      </c>
      <c r="BW49">
        <v>0</v>
      </c>
      <c r="BX49">
        <v>0</v>
      </c>
      <c r="BY49">
        <v>7.3</v>
      </c>
      <c r="BZ49">
        <v>8</v>
      </c>
      <c r="CA49">
        <v>7.2</v>
      </c>
      <c r="CB49">
        <v>0</v>
      </c>
      <c r="CC49">
        <v>7</v>
      </c>
      <c r="CD49">
        <v>0</v>
      </c>
      <c r="CE49">
        <v>0</v>
      </c>
      <c r="CF49">
        <v>0</v>
      </c>
      <c r="CG49">
        <v>0</v>
      </c>
      <c r="CH49">
        <v>0</v>
      </c>
      <c r="CI49">
        <v>0</v>
      </c>
      <c r="CJ49">
        <v>0</v>
      </c>
      <c r="CK49">
        <v>0</v>
      </c>
      <c r="CL49">
        <v>0</v>
      </c>
      <c r="CM49">
        <v>7.8</v>
      </c>
      <c r="CN49">
        <v>8</v>
      </c>
      <c r="CO49">
        <v>6.2</v>
      </c>
      <c r="CP49">
        <v>7.9</v>
      </c>
      <c r="CQ49">
        <v>8.1999999999999993</v>
      </c>
      <c r="CR49">
        <v>0</v>
      </c>
      <c r="CS49">
        <v>0</v>
      </c>
      <c r="CT49">
        <v>7.6</v>
      </c>
      <c r="CU49">
        <v>7.4</v>
      </c>
      <c r="CV49">
        <v>7.1</v>
      </c>
      <c r="CW49">
        <v>0</v>
      </c>
      <c r="CX49">
        <v>8.1999999999999993</v>
      </c>
      <c r="CY49">
        <v>0</v>
      </c>
      <c r="CZ49">
        <v>0</v>
      </c>
      <c r="DA49">
        <v>0</v>
      </c>
      <c r="DB49">
        <v>0</v>
      </c>
      <c r="DC49">
        <v>0</v>
      </c>
      <c r="DD49">
        <v>0</v>
      </c>
      <c r="DE49">
        <v>0</v>
      </c>
      <c r="DF49">
        <v>0</v>
      </c>
      <c r="DG49">
        <v>0</v>
      </c>
      <c r="DH49">
        <v>8.4</v>
      </c>
      <c r="DI49">
        <v>8.3000000000000007</v>
      </c>
      <c r="DJ49">
        <v>8</v>
      </c>
      <c r="DK49">
        <v>9.5</v>
      </c>
      <c r="DL49">
        <v>7.8</v>
      </c>
      <c r="DM49">
        <v>0</v>
      </c>
      <c r="DN49">
        <v>0</v>
      </c>
      <c r="DO49">
        <v>8.9</v>
      </c>
      <c r="DP49">
        <v>7</v>
      </c>
      <c r="DQ49">
        <v>8.3000000000000007</v>
      </c>
      <c r="DR49">
        <v>0</v>
      </c>
      <c r="DS49">
        <v>9.1999999999999993</v>
      </c>
      <c r="DT49">
        <v>0</v>
      </c>
      <c r="DU49">
        <v>0</v>
      </c>
      <c r="DV49">
        <v>0</v>
      </c>
      <c r="DW49">
        <v>0</v>
      </c>
      <c r="DX49">
        <v>0</v>
      </c>
      <c r="DY49">
        <v>0</v>
      </c>
      <c r="DZ49">
        <v>0</v>
      </c>
      <c r="EA49">
        <v>0</v>
      </c>
      <c r="EB49">
        <v>0</v>
      </c>
      <c r="EC49">
        <v>8.5</v>
      </c>
      <c r="ED49">
        <v>6</v>
      </c>
      <c r="EE49">
        <v>4.5</v>
      </c>
      <c r="EF49"/>
      <c r="EG49">
        <v>0</v>
      </c>
      <c r="EH49"/>
      <c r="EI49">
        <v>0</v>
      </c>
      <c r="EJ49">
        <v>6.1</v>
      </c>
      <c r="EK49">
        <v>0</v>
      </c>
      <c r="EL49">
        <v>0</v>
      </c>
      <c r="EM49"/>
      <c r="EN49">
        <v>0</v>
      </c>
      <c r="EO49"/>
      <c r="EP49"/>
      <c r="EQ49"/>
      <c r="ER49"/>
      <c r="ES49"/>
      <c r="ET49"/>
      <c r="EU49"/>
      <c r="EV49"/>
      <c r="EW49"/>
      <c r="EX49"/>
      <c r="EY49"/>
      <c r="EZ49"/>
      <c r="FA49"/>
      <c r="FB49"/>
      <c r="FC49"/>
      <c r="FD49"/>
    </row>
    <row r="50" spans="1:160" x14ac:dyDescent="0.25">
      <c r="A50" s="1" t="str">
        <f t="shared" si="0"/>
        <v>042307010416</v>
      </c>
      <c r="B50" t="s">
        <v>1153</v>
      </c>
      <c r="C50" t="s">
        <v>1154</v>
      </c>
      <c r="D50" t="s">
        <v>1155</v>
      </c>
      <c r="E50" t="s">
        <v>278</v>
      </c>
      <c r="F50" t="s">
        <v>1156</v>
      </c>
      <c r="G50" t="s">
        <v>1157</v>
      </c>
      <c r="H50" t="s">
        <v>1158</v>
      </c>
      <c r="I50" t="s">
        <v>113</v>
      </c>
      <c r="J50" t="s">
        <v>1159</v>
      </c>
      <c r="K50" t="s">
        <v>321</v>
      </c>
      <c r="L50"/>
      <c r="M50" t="s">
        <v>287</v>
      </c>
      <c r="N50" t="s">
        <v>288</v>
      </c>
      <c r="O50"/>
      <c r="P50" t="s">
        <v>289</v>
      </c>
      <c r="Q50" t="s">
        <v>1160</v>
      </c>
      <c r="R50" t="s">
        <v>287</v>
      </c>
      <c r="S50" t="s">
        <v>287</v>
      </c>
      <c r="T50" t="s">
        <v>287</v>
      </c>
      <c r="U50"/>
      <c r="V50"/>
      <c r="W50"/>
      <c r="X50"/>
      <c r="Y50"/>
      <c r="Z50"/>
      <c r="AA50" t="s">
        <v>287</v>
      </c>
      <c r="AB50"/>
      <c r="AC50"/>
      <c r="AD50"/>
      <c r="AE50"/>
      <c r="AF50" t="s">
        <v>1161</v>
      </c>
      <c r="AG50" t="s">
        <v>1162</v>
      </c>
      <c r="AH50" t="s">
        <v>1163</v>
      </c>
      <c r="AI50" t="s">
        <v>1161</v>
      </c>
      <c r="AJ50" t="s">
        <v>1162</v>
      </c>
      <c r="AK50" t="s">
        <v>1163</v>
      </c>
      <c r="AL50" t="s">
        <v>1161</v>
      </c>
      <c r="AM50" t="s">
        <v>1162</v>
      </c>
      <c r="AN50" t="s">
        <v>1163</v>
      </c>
      <c r="AO50" t="s">
        <v>299</v>
      </c>
      <c r="AP50" t="s">
        <v>348</v>
      </c>
      <c r="AQ50" t="s">
        <v>1164</v>
      </c>
      <c r="AR50" t="s">
        <v>1165</v>
      </c>
      <c r="AS50" t="s">
        <v>462</v>
      </c>
      <c r="AT50" t="s">
        <v>606</v>
      </c>
      <c r="AU50" t="s">
        <v>354</v>
      </c>
      <c r="AV50"/>
      <c r="AW50" t="s">
        <v>444</v>
      </c>
      <c r="AX50" t="s">
        <v>445</v>
      </c>
      <c r="AY50" t="s">
        <v>610</v>
      </c>
      <c r="AZ50" t="s">
        <v>611</v>
      </c>
      <c r="BA50" t="s">
        <v>330</v>
      </c>
      <c r="BB50" t="s">
        <v>331</v>
      </c>
      <c r="BC50" t="s">
        <v>669</v>
      </c>
      <c r="BD50" t="s">
        <v>353</v>
      </c>
      <c r="BE50" t="s">
        <v>1166</v>
      </c>
      <c r="BF50" t="s">
        <v>314</v>
      </c>
      <c r="BG50"/>
      <c r="BH50"/>
      <c r="BI50"/>
      <c r="BJ50"/>
      <c r="BK50"/>
      <c r="BL50"/>
      <c r="BM50" t="s">
        <v>305</v>
      </c>
      <c r="BN50" t="s">
        <v>354</v>
      </c>
      <c r="BO50" t="s">
        <v>1167</v>
      </c>
      <c r="BP50"/>
      <c r="BQ50"/>
      <c r="BR50">
        <v>6.3</v>
      </c>
      <c r="BS50">
        <v>6.4</v>
      </c>
      <c r="BT50">
        <v>6.9</v>
      </c>
      <c r="BU50">
        <v>8.4</v>
      </c>
      <c r="BV50">
        <v>6.8</v>
      </c>
      <c r="BW50">
        <v>6.4</v>
      </c>
      <c r="BX50">
        <v>6.9</v>
      </c>
      <c r="BY50">
        <v>0</v>
      </c>
      <c r="BZ50">
        <v>0</v>
      </c>
      <c r="CA50">
        <v>5.7</v>
      </c>
      <c r="CB50">
        <v>6.4</v>
      </c>
      <c r="CC50">
        <v>0</v>
      </c>
      <c r="CD50">
        <v>0</v>
      </c>
      <c r="CE50">
        <v>0</v>
      </c>
      <c r="CF50">
        <v>0</v>
      </c>
      <c r="CG50">
        <v>0</v>
      </c>
      <c r="CH50">
        <v>0</v>
      </c>
      <c r="CI50">
        <v>0</v>
      </c>
      <c r="CJ50">
        <v>0</v>
      </c>
      <c r="CK50">
        <v>0</v>
      </c>
      <c r="CL50">
        <v>0</v>
      </c>
      <c r="CM50">
        <v>7</v>
      </c>
      <c r="CN50">
        <v>7.4</v>
      </c>
      <c r="CO50">
        <v>8.3000000000000007</v>
      </c>
      <c r="CP50">
        <v>6</v>
      </c>
      <c r="CQ50">
        <v>8.6</v>
      </c>
      <c r="CR50">
        <v>8.1999999999999993</v>
      </c>
      <c r="CS50">
        <v>8.9</v>
      </c>
      <c r="CT50">
        <v>0</v>
      </c>
      <c r="CU50">
        <v>0</v>
      </c>
      <c r="CV50">
        <v>7.7</v>
      </c>
      <c r="CW50">
        <v>7.5</v>
      </c>
      <c r="CX50">
        <v>0</v>
      </c>
      <c r="CY50">
        <v>0</v>
      </c>
      <c r="CZ50">
        <v>0</v>
      </c>
      <c r="DA50">
        <v>0</v>
      </c>
      <c r="DB50">
        <v>0</v>
      </c>
      <c r="DC50">
        <v>0</v>
      </c>
      <c r="DD50">
        <v>0</v>
      </c>
      <c r="DE50">
        <v>0</v>
      </c>
      <c r="DF50">
        <v>0</v>
      </c>
      <c r="DG50">
        <v>0</v>
      </c>
      <c r="DH50">
        <v>7.2</v>
      </c>
      <c r="DI50">
        <v>8</v>
      </c>
      <c r="DJ50">
        <v>8.6999999999999993</v>
      </c>
      <c r="DK50">
        <v>8.8000000000000007</v>
      </c>
      <c r="DL50">
        <v>7.9</v>
      </c>
      <c r="DM50">
        <v>8.9</v>
      </c>
      <c r="DN50">
        <v>8</v>
      </c>
      <c r="DO50">
        <v>0</v>
      </c>
      <c r="DP50">
        <v>0</v>
      </c>
      <c r="DQ50">
        <v>7.3</v>
      </c>
      <c r="DR50">
        <v>8.1999999999999993</v>
      </c>
      <c r="DS50">
        <v>0</v>
      </c>
      <c r="DT50">
        <v>0</v>
      </c>
      <c r="DU50">
        <v>0</v>
      </c>
      <c r="DV50">
        <v>0</v>
      </c>
      <c r="DW50">
        <v>0</v>
      </c>
      <c r="DX50">
        <v>0</v>
      </c>
      <c r="DY50">
        <v>0</v>
      </c>
      <c r="DZ50">
        <v>0</v>
      </c>
      <c r="EA50">
        <v>0</v>
      </c>
      <c r="EB50">
        <v>0</v>
      </c>
      <c r="EC50">
        <v>5.75</v>
      </c>
      <c r="ED50">
        <v>7</v>
      </c>
      <c r="EE50">
        <v>3.25</v>
      </c>
      <c r="EF50"/>
      <c r="EG50"/>
      <c r="EH50"/>
      <c r="EI50"/>
      <c r="EJ50"/>
      <c r="EK50"/>
      <c r="EL50"/>
      <c r="EM50"/>
      <c r="EN50"/>
      <c r="EO50"/>
      <c r="EP50"/>
      <c r="EQ50"/>
      <c r="ER50"/>
      <c r="ES50"/>
      <c r="ET50"/>
      <c r="EU50"/>
      <c r="EV50"/>
      <c r="EW50"/>
      <c r="EX50"/>
      <c r="EY50"/>
      <c r="EZ50"/>
      <c r="FA50"/>
      <c r="FB50"/>
      <c r="FC50"/>
      <c r="FD50"/>
    </row>
    <row r="51" spans="1:160" x14ac:dyDescent="0.25">
      <c r="A51" s="1" t="str">
        <f t="shared" si="0"/>
        <v>083308001521</v>
      </c>
      <c r="B51" t="s">
        <v>1168</v>
      </c>
      <c r="C51" t="s">
        <v>1169</v>
      </c>
      <c r="D51" t="s">
        <v>1170</v>
      </c>
      <c r="E51" t="s">
        <v>278</v>
      </c>
      <c r="F51" t="s">
        <v>1171</v>
      </c>
      <c r="G51" t="s">
        <v>1172</v>
      </c>
      <c r="H51" t="s">
        <v>1173</v>
      </c>
      <c r="I51" t="s">
        <v>1174</v>
      </c>
      <c r="J51" t="s">
        <v>1175</v>
      </c>
      <c r="K51" t="s">
        <v>321</v>
      </c>
      <c r="L51"/>
      <c r="M51" t="s">
        <v>287</v>
      </c>
      <c r="N51" t="s">
        <v>288</v>
      </c>
      <c r="O51"/>
      <c r="P51" t="s">
        <v>289</v>
      </c>
      <c r="Q51" t="s">
        <v>1176</v>
      </c>
      <c r="R51" t="s">
        <v>287</v>
      </c>
      <c r="S51" t="s">
        <v>287</v>
      </c>
      <c r="T51" t="s">
        <v>287</v>
      </c>
      <c r="U51"/>
      <c r="V51"/>
      <c r="W51"/>
      <c r="X51"/>
      <c r="Y51"/>
      <c r="Z51"/>
      <c r="AA51" t="s">
        <v>287</v>
      </c>
      <c r="AB51"/>
      <c r="AC51"/>
      <c r="AD51"/>
      <c r="AE51"/>
      <c r="AF51" t="s">
        <v>421</v>
      </c>
      <c r="AG51" t="s">
        <v>1177</v>
      </c>
      <c r="AH51" t="s">
        <v>1178</v>
      </c>
      <c r="AI51" t="s">
        <v>421</v>
      </c>
      <c r="AJ51" t="s">
        <v>1177</v>
      </c>
      <c r="AK51" t="s">
        <v>1178</v>
      </c>
      <c r="AL51" t="s">
        <v>421</v>
      </c>
      <c r="AM51" t="s">
        <v>1177</v>
      </c>
      <c r="AN51" t="s">
        <v>1178</v>
      </c>
      <c r="AO51" t="s">
        <v>299</v>
      </c>
      <c r="AP51" t="s">
        <v>348</v>
      </c>
      <c r="AQ51" t="s">
        <v>1179</v>
      </c>
      <c r="AR51" t="s">
        <v>606</v>
      </c>
      <c r="AS51" t="s">
        <v>1180</v>
      </c>
      <c r="AT51" t="s">
        <v>484</v>
      </c>
      <c r="AU51" t="s">
        <v>354</v>
      </c>
      <c r="AV51"/>
      <c r="AW51" t="s">
        <v>349</v>
      </c>
      <c r="AX51" t="s">
        <v>350</v>
      </c>
      <c r="AY51"/>
      <c r="AZ51"/>
      <c r="BA51"/>
      <c r="BB51"/>
      <c r="BC51" t="s">
        <v>669</v>
      </c>
      <c r="BD51" t="s">
        <v>353</v>
      </c>
      <c r="BE51"/>
      <c r="BF51" t="s">
        <v>314</v>
      </c>
      <c r="BG51"/>
      <c r="BH51"/>
      <c r="BI51"/>
      <c r="BJ51"/>
      <c r="BK51"/>
      <c r="BL51"/>
      <c r="BM51" t="s">
        <v>305</v>
      </c>
      <c r="BN51" t="s">
        <v>354</v>
      </c>
      <c r="BO51" t="s">
        <v>1181</v>
      </c>
      <c r="BP51"/>
      <c r="BQ51"/>
      <c r="BR51">
        <v>8.4</v>
      </c>
      <c r="BS51">
        <v>5.9</v>
      </c>
      <c r="BT51">
        <v>7.8</v>
      </c>
      <c r="BU51">
        <v>9.3000000000000007</v>
      </c>
      <c r="BV51">
        <v>8.1999999999999993</v>
      </c>
      <c r="BW51">
        <v>0</v>
      </c>
      <c r="BX51">
        <v>8.5</v>
      </c>
      <c r="BY51">
        <v>8.4</v>
      </c>
      <c r="BZ51">
        <v>8</v>
      </c>
      <c r="CA51">
        <v>8.5</v>
      </c>
      <c r="CB51">
        <v>0</v>
      </c>
      <c r="CC51">
        <v>0</v>
      </c>
      <c r="CD51">
        <v>0</v>
      </c>
      <c r="CE51">
        <v>0</v>
      </c>
      <c r="CF51">
        <v>0</v>
      </c>
      <c r="CG51">
        <v>0</v>
      </c>
      <c r="CH51">
        <v>0</v>
      </c>
      <c r="CI51">
        <v>0</v>
      </c>
      <c r="CJ51">
        <v>0</v>
      </c>
      <c r="CK51">
        <v>0</v>
      </c>
      <c r="CL51">
        <v>0</v>
      </c>
      <c r="CM51">
        <v>8.5</v>
      </c>
      <c r="CN51">
        <v>6.9</v>
      </c>
      <c r="CO51">
        <v>7.3</v>
      </c>
      <c r="CP51">
        <v>9.6</v>
      </c>
      <c r="CQ51">
        <v>9.1999999999999993</v>
      </c>
      <c r="CR51">
        <v>0</v>
      </c>
      <c r="CS51">
        <v>8.6</v>
      </c>
      <c r="CT51">
        <v>8.8000000000000007</v>
      </c>
      <c r="CU51">
        <v>7.8</v>
      </c>
      <c r="CV51">
        <v>8.9</v>
      </c>
      <c r="CW51">
        <v>0</v>
      </c>
      <c r="CX51">
        <v>0</v>
      </c>
      <c r="CY51">
        <v>0</v>
      </c>
      <c r="CZ51">
        <v>0</v>
      </c>
      <c r="DA51">
        <v>0</v>
      </c>
      <c r="DB51">
        <v>0</v>
      </c>
      <c r="DC51">
        <v>0</v>
      </c>
      <c r="DD51">
        <v>0</v>
      </c>
      <c r="DE51">
        <v>0</v>
      </c>
      <c r="DF51">
        <v>0</v>
      </c>
      <c r="DG51">
        <v>0</v>
      </c>
      <c r="DH51">
        <v>7.7</v>
      </c>
      <c r="DI51">
        <v>6.8</v>
      </c>
      <c r="DJ51">
        <v>8.4</v>
      </c>
      <c r="DK51">
        <v>9.5</v>
      </c>
      <c r="DL51">
        <v>9</v>
      </c>
      <c r="DM51">
        <v>0</v>
      </c>
      <c r="DN51">
        <v>8.1</v>
      </c>
      <c r="DO51">
        <v>8.4</v>
      </c>
      <c r="DP51">
        <v>8.8000000000000007</v>
      </c>
      <c r="DQ51">
        <v>9.6</v>
      </c>
      <c r="DR51">
        <v>0</v>
      </c>
      <c r="DS51">
        <v>0</v>
      </c>
      <c r="DT51">
        <v>0</v>
      </c>
      <c r="DU51">
        <v>0</v>
      </c>
      <c r="DV51">
        <v>0</v>
      </c>
      <c r="DW51">
        <v>0</v>
      </c>
      <c r="DX51">
        <v>0</v>
      </c>
      <c r="DY51">
        <v>0</v>
      </c>
      <c r="DZ51">
        <v>0</v>
      </c>
      <c r="EA51">
        <v>0</v>
      </c>
      <c r="EB51">
        <v>0</v>
      </c>
      <c r="EC51">
        <v>4.25</v>
      </c>
      <c r="ED51">
        <v>6</v>
      </c>
      <c r="EE51"/>
      <c r="EF51"/>
      <c r="EG51"/>
      <c r="EH51"/>
      <c r="EI51"/>
      <c r="EJ51">
        <v>4.3499999999999996</v>
      </c>
      <c r="EK51">
        <v>5.35</v>
      </c>
      <c r="EL51"/>
      <c r="EM51"/>
      <c r="EN51"/>
      <c r="EO51"/>
      <c r="EP51"/>
      <c r="EQ51"/>
      <c r="ER51"/>
      <c r="ES51"/>
      <c r="ET51"/>
      <c r="EU51"/>
      <c r="EV51"/>
      <c r="EW51"/>
      <c r="EX51"/>
      <c r="EY51"/>
      <c r="EZ51"/>
      <c r="FA51"/>
      <c r="FB51"/>
      <c r="FC51"/>
      <c r="FD51"/>
    </row>
    <row r="52" spans="1:160" x14ac:dyDescent="0.25">
      <c r="A52" s="1" t="str">
        <f t="shared" si="0"/>
        <v>083308001940</v>
      </c>
      <c r="B52" t="s">
        <v>1183</v>
      </c>
      <c r="C52" t="s">
        <v>1184</v>
      </c>
      <c r="D52" t="s">
        <v>1185</v>
      </c>
      <c r="E52" t="s">
        <v>278</v>
      </c>
      <c r="F52" t="s">
        <v>1186</v>
      </c>
      <c r="G52" t="s">
        <v>1187</v>
      </c>
      <c r="H52" t="s">
        <v>1188</v>
      </c>
      <c r="I52" t="s">
        <v>80</v>
      </c>
      <c r="J52" t="s">
        <v>1189</v>
      </c>
      <c r="K52" t="s">
        <v>321</v>
      </c>
      <c r="L52"/>
      <c r="M52" t="s">
        <v>287</v>
      </c>
      <c r="N52" t="s">
        <v>288</v>
      </c>
      <c r="O52"/>
      <c r="P52" t="s">
        <v>289</v>
      </c>
      <c r="Q52" t="s">
        <v>1190</v>
      </c>
      <c r="R52" t="s">
        <v>287</v>
      </c>
      <c r="S52" t="s">
        <v>287</v>
      </c>
      <c r="T52" t="s">
        <v>287</v>
      </c>
      <c r="U52"/>
      <c r="V52"/>
      <c r="W52"/>
      <c r="X52"/>
      <c r="Y52"/>
      <c r="Z52"/>
      <c r="AA52" t="s">
        <v>287</v>
      </c>
      <c r="AB52"/>
      <c r="AC52"/>
      <c r="AD52"/>
      <c r="AE52"/>
      <c r="AF52" t="s">
        <v>421</v>
      </c>
      <c r="AG52" t="s">
        <v>687</v>
      </c>
      <c r="AH52" t="s">
        <v>688</v>
      </c>
      <c r="AI52" t="s">
        <v>421</v>
      </c>
      <c r="AJ52" t="s">
        <v>687</v>
      </c>
      <c r="AK52" t="s">
        <v>688</v>
      </c>
      <c r="AL52" t="s">
        <v>421</v>
      </c>
      <c r="AM52" t="s">
        <v>687</v>
      </c>
      <c r="AN52" t="s">
        <v>688</v>
      </c>
      <c r="AO52" t="s">
        <v>299</v>
      </c>
      <c r="AP52" t="s">
        <v>603</v>
      </c>
      <c r="AQ52" t="s">
        <v>1191</v>
      </c>
      <c r="AR52" t="s">
        <v>613</v>
      </c>
      <c r="AS52" t="s">
        <v>1058</v>
      </c>
      <c r="AT52" t="s">
        <v>1192</v>
      </c>
      <c r="AU52" t="s">
        <v>354</v>
      </c>
      <c r="AV52"/>
      <c r="AW52" t="s">
        <v>349</v>
      </c>
      <c r="AX52" t="s">
        <v>350</v>
      </c>
      <c r="AY52" t="s">
        <v>306</v>
      </c>
      <c r="AZ52" t="s">
        <v>307</v>
      </c>
      <c r="BA52"/>
      <c r="BB52"/>
      <c r="BC52" t="s">
        <v>669</v>
      </c>
      <c r="BD52" t="s">
        <v>353</v>
      </c>
      <c r="BE52"/>
      <c r="BF52" t="s">
        <v>314</v>
      </c>
      <c r="BG52"/>
      <c r="BH52"/>
      <c r="BI52"/>
      <c r="BJ52"/>
      <c r="BK52"/>
      <c r="BL52"/>
      <c r="BM52" t="s">
        <v>305</v>
      </c>
      <c r="BN52" t="s">
        <v>354</v>
      </c>
      <c r="BO52" t="s">
        <v>1193</v>
      </c>
      <c r="BP52"/>
      <c r="BQ52"/>
      <c r="BR52">
        <v>8.5</v>
      </c>
      <c r="BS52">
        <v>5.8</v>
      </c>
      <c r="BT52">
        <v>6.4</v>
      </c>
      <c r="BU52">
        <v>9.1</v>
      </c>
      <c r="BV52">
        <v>8.6999999999999993</v>
      </c>
      <c r="BW52">
        <v>0</v>
      </c>
      <c r="BX52">
        <v>7.9</v>
      </c>
      <c r="BY52">
        <v>7.6</v>
      </c>
      <c r="BZ52">
        <v>0</v>
      </c>
      <c r="CA52">
        <v>0</v>
      </c>
      <c r="CB52">
        <v>9.3000000000000007</v>
      </c>
      <c r="CC52">
        <v>0</v>
      </c>
      <c r="CD52">
        <v>0</v>
      </c>
      <c r="CE52">
        <v>0</v>
      </c>
      <c r="CF52">
        <v>0</v>
      </c>
      <c r="CG52">
        <v>0</v>
      </c>
      <c r="CH52">
        <v>0</v>
      </c>
      <c r="CI52">
        <v>0</v>
      </c>
      <c r="CJ52">
        <v>0</v>
      </c>
      <c r="CK52">
        <v>0</v>
      </c>
      <c r="CL52">
        <v>0</v>
      </c>
      <c r="CM52">
        <v>8.6999999999999993</v>
      </c>
      <c r="CN52">
        <v>5.3</v>
      </c>
      <c r="CO52">
        <v>7</v>
      </c>
      <c r="CP52">
        <v>8.6</v>
      </c>
      <c r="CQ52">
        <v>9.3000000000000007</v>
      </c>
      <c r="CR52">
        <v>0</v>
      </c>
      <c r="CS52">
        <v>9</v>
      </c>
      <c r="CT52">
        <v>7</v>
      </c>
      <c r="CU52">
        <v>0</v>
      </c>
      <c r="CV52">
        <v>0</v>
      </c>
      <c r="CW52">
        <v>9.6</v>
      </c>
      <c r="CX52">
        <v>0</v>
      </c>
      <c r="CY52">
        <v>0</v>
      </c>
      <c r="CZ52">
        <v>0</v>
      </c>
      <c r="DA52">
        <v>0</v>
      </c>
      <c r="DB52">
        <v>0</v>
      </c>
      <c r="DC52">
        <v>0</v>
      </c>
      <c r="DD52">
        <v>0</v>
      </c>
      <c r="DE52">
        <v>0</v>
      </c>
      <c r="DF52">
        <v>0</v>
      </c>
      <c r="DG52">
        <v>0</v>
      </c>
      <c r="DH52">
        <v>9.5</v>
      </c>
      <c r="DI52">
        <v>7</v>
      </c>
      <c r="DJ52">
        <v>8</v>
      </c>
      <c r="DK52">
        <v>9.9</v>
      </c>
      <c r="DL52">
        <v>9.6</v>
      </c>
      <c r="DM52">
        <v>0</v>
      </c>
      <c r="DN52">
        <v>9</v>
      </c>
      <c r="DO52">
        <v>9.1</v>
      </c>
      <c r="DP52">
        <v>0</v>
      </c>
      <c r="DQ52">
        <v>0</v>
      </c>
      <c r="DR52">
        <v>8.6</v>
      </c>
      <c r="DS52">
        <v>0</v>
      </c>
      <c r="DT52">
        <v>0</v>
      </c>
      <c r="DU52">
        <v>0</v>
      </c>
      <c r="DV52">
        <v>0</v>
      </c>
      <c r="DW52">
        <v>0</v>
      </c>
      <c r="DX52">
        <v>0</v>
      </c>
      <c r="DY52">
        <v>0</v>
      </c>
      <c r="DZ52">
        <v>0</v>
      </c>
      <c r="EA52">
        <v>0</v>
      </c>
      <c r="EB52">
        <v>0</v>
      </c>
      <c r="EC52">
        <v>7</v>
      </c>
      <c r="ED52">
        <v>4.5</v>
      </c>
      <c r="EE52">
        <v>3.75</v>
      </c>
      <c r="EF52"/>
      <c r="EG52"/>
      <c r="EH52"/>
      <c r="EI52"/>
      <c r="EJ52">
        <v>5.5</v>
      </c>
      <c r="EK52"/>
      <c r="EL52"/>
      <c r="EM52"/>
      <c r="EN52"/>
      <c r="EO52"/>
      <c r="EP52"/>
      <c r="EQ52"/>
      <c r="ER52"/>
      <c r="ES52"/>
      <c r="ET52"/>
      <c r="EU52"/>
      <c r="EV52"/>
      <c r="EW52"/>
      <c r="EX52"/>
      <c r="EY52"/>
      <c r="EZ52"/>
      <c r="FA52"/>
      <c r="FB52"/>
      <c r="FC52"/>
      <c r="FD52"/>
    </row>
    <row r="53" spans="1:160" x14ac:dyDescent="0.25">
      <c r="A53" s="1" t="str">
        <f t="shared" si="0"/>
        <v>038308013704</v>
      </c>
      <c r="B53" t="s">
        <v>1194</v>
      </c>
      <c r="C53" t="s">
        <v>1195</v>
      </c>
      <c r="D53" t="s">
        <v>1196</v>
      </c>
      <c r="E53" t="s">
        <v>278</v>
      </c>
      <c r="F53" t="s">
        <v>1197</v>
      </c>
      <c r="G53" t="s">
        <v>1198</v>
      </c>
      <c r="H53" t="s">
        <v>1199</v>
      </c>
      <c r="I53" t="s">
        <v>114</v>
      </c>
      <c r="J53" t="s">
        <v>1200</v>
      </c>
      <c r="K53" t="s">
        <v>286</v>
      </c>
      <c r="L53"/>
      <c r="M53" t="s">
        <v>287</v>
      </c>
      <c r="N53" t="s">
        <v>288</v>
      </c>
      <c r="O53"/>
      <c r="P53" t="s">
        <v>289</v>
      </c>
      <c r="Q53" t="s">
        <v>1201</v>
      </c>
      <c r="R53" t="s">
        <v>287</v>
      </c>
      <c r="S53" t="s">
        <v>287</v>
      </c>
      <c r="T53" t="s">
        <v>287</v>
      </c>
      <c r="U53"/>
      <c r="V53"/>
      <c r="W53"/>
      <c r="X53"/>
      <c r="Y53"/>
      <c r="Z53"/>
      <c r="AA53" t="s">
        <v>287</v>
      </c>
      <c r="AB53"/>
      <c r="AC53"/>
      <c r="AD53"/>
      <c r="AE53"/>
      <c r="AF53" t="s">
        <v>706</v>
      </c>
      <c r="AG53" t="s">
        <v>1202</v>
      </c>
      <c r="AH53" t="s">
        <v>1203</v>
      </c>
      <c r="AI53" t="s">
        <v>706</v>
      </c>
      <c r="AJ53" t="s">
        <v>1202</v>
      </c>
      <c r="AK53" t="s">
        <v>1203</v>
      </c>
      <c r="AL53" t="s">
        <v>706</v>
      </c>
      <c r="AM53" t="s">
        <v>1202</v>
      </c>
      <c r="AN53" t="s">
        <v>1203</v>
      </c>
      <c r="AO53" t="s">
        <v>299</v>
      </c>
      <c r="AP53" t="s">
        <v>603</v>
      </c>
      <c r="AQ53" t="s">
        <v>1204</v>
      </c>
      <c r="AR53" t="s">
        <v>731</v>
      </c>
      <c r="AS53" t="s">
        <v>1205</v>
      </c>
      <c r="AT53" t="s">
        <v>1204</v>
      </c>
      <c r="AU53" t="s">
        <v>354</v>
      </c>
      <c r="AV53"/>
      <c r="AW53" t="s">
        <v>372</v>
      </c>
      <c r="AX53" t="s">
        <v>373</v>
      </c>
      <c r="AY53"/>
      <c r="AZ53"/>
      <c r="BA53"/>
      <c r="BB53"/>
      <c r="BC53" t="s">
        <v>669</v>
      </c>
      <c r="BD53" t="s">
        <v>353</v>
      </c>
      <c r="BE53"/>
      <c r="BF53" t="s">
        <v>314</v>
      </c>
      <c r="BG53"/>
      <c r="BH53"/>
      <c r="BI53"/>
      <c r="BJ53"/>
      <c r="BK53"/>
      <c r="BL53"/>
      <c r="BM53" t="s">
        <v>305</v>
      </c>
      <c r="BN53" t="s">
        <v>354</v>
      </c>
      <c r="BO53" t="s">
        <v>1206</v>
      </c>
      <c r="BP53"/>
      <c r="BQ53"/>
      <c r="BR53">
        <v>7.6</v>
      </c>
      <c r="BS53">
        <v>7.6</v>
      </c>
      <c r="BT53">
        <v>7.1</v>
      </c>
      <c r="BU53">
        <v>7.8</v>
      </c>
      <c r="BV53">
        <v>8.8000000000000007</v>
      </c>
      <c r="BW53">
        <v>9.3000000000000007</v>
      </c>
      <c r="BX53">
        <v>8.3000000000000007</v>
      </c>
      <c r="BY53">
        <v>0</v>
      </c>
      <c r="BZ53">
        <v>0</v>
      </c>
      <c r="CA53">
        <v>8.3000000000000007</v>
      </c>
      <c r="CB53">
        <v>0</v>
      </c>
      <c r="CC53">
        <v>7.5</v>
      </c>
      <c r="CD53">
        <v>0</v>
      </c>
      <c r="CE53">
        <v>0</v>
      </c>
      <c r="CF53">
        <v>0</v>
      </c>
      <c r="CG53">
        <v>0</v>
      </c>
      <c r="CH53">
        <v>0</v>
      </c>
      <c r="CI53">
        <v>0</v>
      </c>
      <c r="CJ53">
        <v>0</v>
      </c>
      <c r="CK53">
        <v>0</v>
      </c>
      <c r="CL53">
        <v>0</v>
      </c>
      <c r="CM53">
        <v>7.4</v>
      </c>
      <c r="CN53">
        <v>7.6</v>
      </c>
      <c r="CO53">
        <v>7.5</v>
      </c>
      <c r="CP53">
        <v>8.3000000000000007</v>
      </c>
      <c r="CQ53">
        <v>8</v>
      </c>
      <c r="CR53">
        <v>8.8000000000000007</v>
      </c>
      <c r="CS53">
        <v>8</v>
      </c>
      <c r="CT53">
        <v>0</v>
      </c>
      <c r="CU53">
        <v>0</v>
      </c>
      <c r="CV53">
        <v>8.3000000000000007</v>
      </c>
      <c r="CW53">
        <v>0</v>
      </c>
      <c r="CX53">
        <v>8.1999999999999993</v>
      </c>
      <c r="CY53">
        <v>0</v>
      </c>
      <c r="CZ53">
        <v>0</v>
      </c>
      <c r="DA53">
        <v>0</v>
      </c>
      <c r="DB53">
        <v>0</v>
      </c>
      <c r="DC53">
        <v>0</v>
      </c>
      <c r="DD53">
        <v>0</v>
      </c>
      <c r="DE53">
        <v>0</v>
      </c>
      <c r="DF53">
        <v>0</v>
      </c>
      <c r="DG53">
        <v>0</v>
      </c>
      <c r="DH53">
        <v>6.5</v>
      </c>
      <c r="DI53">
        <v>7</v>
      </c>
      <c r="DJ53">
        <v>6.6</v>
      </c>
      <c r="DK53">
        <v>9.1</v>
      </c>
      <c r="DL53">
        <v>8.6</v>
      </c>
      <c r="DM53">
        <v>8.1</v>
      </c>
      <c r="DN53">
        <v>8.6</v>
      </c>
      <c r="DO53">
        <v>0</v>
      </c>
      <c r="DP53">
        <v>0</v>
      </c>
      <c r="DQ53">
        <v>8</v>
      </c>
      <c r="DR53">
        <v>0</v>
      </c>
      <c r="DS53">
        <v>9.5</v>
      </c>
      <c r="DT53">
        <v>0</v>
      </c>
      <c r="DU53">
        <v>0</v>
      </c>
      <c r="DV53">
        <v>0</v>
      </c>
      <c r="DW53">
        <v>0</v>
      </c>
      <c r="DX53">
        <v>0</v>
      </c>
      <c r="DY53">
        <v>0</v>
      </c>
      <c r="DZ53">
        <v>0</v>
      </c>
      <c r="EA53">
        <v>0</v>
      </c>
      <c r="EB53">
        <v>0</v>
      </c>
      <c r="EC53">
        <v>5.25</v>
      </c>
      <c r="ED53">
        <v>6.5</v>
      </c>
      <c r="EE53">
        <v>3.25</v>
      </c>
      <c r="EF53"/>
      <c r="EG53">
        <v>4.8499999999999996</v>
      </c>
      <c r="EH53"/>
      <c r="EI53"/>
      <c r="EJ53"/>
      <c r="EK53"/>
      <c r="EL53"/>
      <c r="EM53"/>
      <c r="EN53"/>
      <c r="EO53"/>
      <c r="EP53"/>
      <c r="EQ53"/>
      <c r="ER53"/>
      <c r="ES53"/>
      <c r="ET53"/>
      <c r="EU53"/>
      <c r="EV53"/>
      <c r="EW53"/>
      <c r="EX53"/>
      <c r="EY53"/>
      <c r="EZ53"/>
      <c r="FA53"/>
      <c r="FB53"/>
      <c r="FC53"/>
      <c r="FD53"/>
    </row>
    <row r="54" spans="1:160" x14ac:dyDescent="0.25">
      <c r="A54" s="1" t="str">
        <f t="shared" si="0"/>
        <v>089308011621</v>
      </c>
      <c r="B54" t="s">
        <v>1207</v>
      </c>
      <c r="C54" t="s">
        <v>1208</v>
      </c>
      <c r="D54" t="s">
        <v>1209</v>
      </c>
      <c r="E54" t="s">
        <v>278</v>
      </c>
      <c r="F54" t="s">
        <v>1210</v>
      </c>
      <c r="G54" t="s">
        <v>1211</v>
      </c>
      <c r="H54" t="s">
        <v>1212</v>
      </c>
      <c r="I54" t="s">
        <v>43</v>
      </c>
      <c r="J54" t="s">
        <v>1213</v>
      </c>
      <c r="K54" t="s">
        <v>321</v>
      </c>
      <c r="L54"/>
      <c r="M54" t="s">
        <v>287</v>
      </c>
      <c r="N54" t="s">
        <v>288</v>
      </c>
      <c r="O54"/>
      <c r="P54" t="s">
        <v>289</v>
      </c>
      <c r="Q54" t="s">
        <v>1214</v>
      </c>
      <c r="R54" t="s">
        <v>287</v>
      </c>
      <c r="S54" t="s">
        <v>287</v>
      </c>
      <c r="T54" t="s">
        <v>287</v>
      </c>
      <c r="U54"/>
      <c r="V54"/>
      <c r="W54"/>
      <c r="X54"/>
      <c r="Y54"/>
      <c r="Z54"/>
      <c r="AA54" t="s">
        <v>287</v>
      </c>
      <c r="AB54"/>
      <c r="AC54"/>
      <c r="AD54"/>
      <c r="AE54"/>
      <c r="AF54" t="s">
        <v>401</v>
      </c>
      <c r="AG54" t="s">
        <v>1215</v>
      </c>
      <c r="AH54" t="s">
        <v>1216</v>
      </c>
      <c r="AI54" t="s">
        <v>401</v>
      </c>
      <c r="AJ54" t="s">
        <v>1215</v>
      </c>
      <c r="AK54" t="s">
        <v>1216</v>
      </c>
      <c r="AL54" t="s">
        <v>401</v>
      </c>
      <c r="AM54" t="s">
        <v>1215</v>
      </c>
      <c r="AN54" t="s">
        <v>1216</v>
      </c>
      <c r="AO54" t="s">
        <v>299</v>
      </c>
      <c r="AP54" t="s">
        <v>300</v>
      </c>
      <c r="AQ54" t="s">
        <v>1217</v>
      </c>
      <c r="AR54" t="s">
        <v>465</v>
      </c>
      <c r="AS54" t="s">
        <v>1218</v>
      </c>
      <c r="AT54" t="s">
        <v>1219</v>
      </c>
      <c r="AU54" t="s">
        <v>354</v>
      </c>
      <c r="AV54"/>
      <c r="AW54" t="s">
        <v>444</v>
      </c>
      <c r="AX54" t="s">
        <v>445</v>
      </c>
      <c r="AY54"/>
      <c r="AZ54"/>
      <c r="BA54"/>
      <c r="BB54"/>
      <c r="BC54" t="s">
        <v>669</v>
      </c>
      <c r="BD54" t="s">
        <v>353</v>
      </c>
      <c r="BE54"/>
      <c r="BF54" t="s">
        <v>314</v>
      </c>
      <c r="BG54"/>
      <c r="BH54"/>
      <c r="BI54"/>
      <c r="BJ54"/>
      <c r="BK54"/>
      <c r="BL54"/>
      <c r="BM54" t="s">
        <v>305</v>
      </c>
      <c r="BN54" t="s">
        <v>354</v>
      </c>
      <c r="BO54" t="s">
        <v>1220</v>
      </c>
      <c r="BP54"/>
      <c r="BQ54"/>
      <c r="BR54">
        <v>8.6999999999999993</v>
      </c>
      <c r="BS54">
        <v>9.3000000000000007</v>
      </c>
      <c r="BT54">
        <v>8.8000000000000007</v>
      </c>
      <c r="BU54">
        <v>10</v>
      </c>
      <c r="BV54">
        <v>8.9</v>
      </c>
      <c r="BW54">
        <v>9.1999999999999993</v>
      </c>
      <c r="BX54">
        <v>9.5</v>
      </c>
      <c r="BY54">
        <v>0</v>
      </c>
      <c r="BZ54">
        <v>0</v>
      </c>
      <c r="CA54">
        <v>0</v>
      </c>
      <c r="CB54">
        <v>9.5</v>
      </c>
      <c r="CC54">
        <v>9.3000000000000007</v>
      </c>
      <c r="CD54">
        <v>0</v>
      </c>
      <c r="CE54">
        <v>0</v>
      </c>
      <c r="CF54">
        <v>0</v>
      </c>
      <c r="CG54">
        <v>0</v>
      </c>
      <c r="CH54">
        <v>0</v>
      </c>
      <c r="CI54">
        <v>0</v>
      </c>
      <c r="CJ54">
        <v>0</v>
      </c>
      <c r="CK54">
        <v>0</v>
      </c>
      <c r="CL54">
        <v>0</v>
      </c>
      <c r="CM54">
        <v>9.1999999999999993</v>
      </c>
      <c r="CN54">
        <v>8.6999999999999993</v>
      </c>
      <c r="CO54">
        <v>8</v>
      </c>
      <c r="CP54">
        <v>9.8000000000000007</v>
      </c>
      <c r="CQ54">
        <v>9</v>
      </c>
      <c r="CR54">
        <v>9.5</v>
      </c>
      <c r="CS54">
        <v>9.5</v>
      </c>
      <c r="CT54">
        <v>0</v>
      </c>
      <c r="CU54">
        <v>0</v>
      </c>
      <c r="CV54">
        <v>0</v>
      </c>
      <c r="CW54">
        <v>9.4</v>
      </c>
      <c r="CX54">
        <v>9.3000000000000007</v>
      </c>
      <c r="CY54">
        <v>0</v>
      </c>
      <c r="CZ54">
        <v>0</v>
      </c>
      <c r="DA54">
        <v>0</v>
      </c>
      <c r="DB54">
        <v>0</v>
      </c>
      <c r="DC54">
        <v>0</v>
      </c>
      <c r="DD54">
        <v>0</v>
      </c>
      <c r="DE54">
        <v>0</v>
      </c>
      <c r="DF54">
        <v>0</v>
      </c>
      <c r="DG54">
        <v>0</v>
      </c>
      <c r="DH54">
        <v>9.4</v>
      </c>
      <c r="DI54">
        <v>9.3000000000000007</v>
      </c>
      <c r="DJ54">
        <v>8.6</v>
      </c>
      <c r="DK54">
        <v>9.8000000000000007</v>
      </c>
      <c r="DL54">
        <v>9.1</v>
      </c>
      <c r="DM54">
        <v>9.3000000000000007</v>
      </c>
      <c r="DN54">
        <v>9.1999999999999993</v>
      </c>
      <c r="DO54">
        <v>0</v>
      </c>
      <c r="DP54">
        <v>0</v>
      </c>
      <c r="DQ54">
        <v>0</v>
      </c>
      <c r="DR54">
        <v>9.8000000000000007</v>
      </c>
      <c r="DS54">
        <v>9.6999999999999993</v>
      </c>
      <c r="DT54">
        <v>0</v>
      </c>
      <c r="DU54">
        <v>0</v>
      </c>
      <c r="DV54">
        <v>0</v>
      </c>
      <c r="DW54">
        <v>0</v>
      </c>
      <c r="DX54">
        <v>0</v>
      </c>
      <c r="DY54">
        <v>0</v>
      </c>
      <c r="DZ54">
        <v>0</v>
      </c>
      <c r="EA54">
        <v>0</v>
      </c>
      <c r="EB54">
        <v>0</v>
      </c>
      <c r="EC54">
        <v>6</v>
      </c>
      <c r="ED54">
        <v>7.75</v>
      </c>
      <c r="EE54">
        <v>4.5</v>
      </c>
      <c r="EF54"/>
      <c r="EG54"/>
      <c r="EH54"/>
      <c r="EI54">
        <v>5.0999999999999996</v>
      </c>
      <c r="EJ54"/>
      <c r="EK54"/>
      <c r="EL54"/>
      <c r="EM54"/>
      <c r="EN54"/>
      <c r="EO54"/>
      <c r="EP54"/>
      <c r="EQ54"/>
      <c r="ER54"/>
      <c r="ES54"/>
      <c r="ET54"/>
      <c r="EU54"/>
      <c r="EV54"/>
      <c r="EW54"/>
      <c r="EX54"/>
      <c r="EY54"/>
      <c r="EZ54"/>
      <c r="FA54"/>
      <c r="FB54"/>
      <c r="FC54"/>
      <c r="FD54"/>
    </row>
    <row r="55" spans="1:160" x14ac:dyDescent="0.25">
      <c r="A55" s="1" t="str">
        <f t="shared" si="0"/>
        <v>092208001825</v>
      </c>
      <c r="B55" t="s">
        <v>1221</v>
      </c>
      <c r="C55" t="s">
        <v>1222</v>
      </c>
      <c r="D55" t="s">
        <v>1223</v>
      </c>
      <c r="E55" t="s">
        <v>280</v>
      </c>
      <c r="F55" t="s">
        <v>1224</v>
      </c>
      <c r="G55" t="s">
        <v>1225</v>
      </c>
      <c r="H55" t="s">
        <v>1226</v>
      </c>
      <c r="I55" t="s">
        <v>36</v>
      </c>
      <c r="J55" t="s">
        <v>1227</v>
      </c>
      <c r="K55" t="s">
        <v>286</v>
      </c>
      <c r="L55"/>
      <c r="M55" t="s">
        <v>287</v>
      </c>
      <c r="N55" t="s">
        <v>288</v>
      </c>
      <c r="O55"/>
      <c r="P55" t="s">
        <v>289</v>
      </c>
      <c r="Q55" t="s">
        <v>1228</v>
      </c>
      <c r="R55" t="s">
        <v>287</v>
      </c>
      <c r="S55" t="s">
        <v>287</v>
      </c>
      <c r="T55" t="s">
        <v>287</v>
      </c>
      <c r="U55"/>
      <c r="V55"/>
      <c r="W55"/>
      <c r="X55"/>
      <c r="Y55"/>
      <c r="Z55"/>
      <c r="AA55" t="s">
        <v>287</v>
      </c>
      <c r="AB55"/>
      <c r="AC55"/>
      <c r="AD55"/>
      <c r="AE55"/>
      <c r="AF55" t="s">
        <v>383</v>
      </c>
      <c r="AG55" t="s">
        <v>1229</v>
      </c>
      <c r="AH55" t="s">
        <v>1230</v>
      </c>
      <c r="AI55" t="s">
        <v>383</v>
      </c>
      <c r="AJ55" t="s">
        <v>1229</v>
      </c>
      <c r="AK55" t="s">
        <v>1230</v>
      </c>
      <c r="AL55" t="s">
        <v>383</v>
      </c>
      <c r="AM55" t="s">
        <v>1231</v>
      </c>
      <c r="AN55" t="s">
        <v>1232</v>
      </c>
      <c r="AO55" t="s">
        <v>299</v>
      </c>
      <c r="AP55" t="s">
        <v>388</v>
      </c>
      <c r="AQ55" t="s">
        <v>1233</v>
      </c>
      <c r="AR55" t="s">
        <v>1234</v>
      </c>
      <c r="AS55" t="s">
        <v>891</v>
      </c>
      <c r="AT55" t="s">
        <v>1057</v>
      </c>
      <c r="AU55" t="s">
        <v>354</v>
      </c>
      <c r="AV55"/>
      <c r="AW55" t="s">
        <v>562</v>
      </c>
      <c r="AX55" t="s">
        <v>563</v>
      </c>
      <c r="AY55"/>
      <c r="AZ55"/>
      <c r="BA55"/>
      <c r="BB55"/>
      <c r="BC55" t="s">
        <v>669</v>
      </c>
      <c r="BD55" t="s">
        <v>353</v>
      </c>
      <c r="BE55"/>
      <c r="BF55" t="s">
        <v>314</v>
      </c>
      <c r="BG55"/>
      <c r="BH55"/>
      <c r="BI55"/>
      <c r="BJ55"/>
      <c r="BK55"/>
      <c r="BL55"/>
      <c r="BM55" t="s">
        <v>305</v>
      </c>
      <c r="BN55" t="s">
        <v>305</v>
      </c>
      <c r="BO55" t="s">
        <v>1235</v>
      </c>
      <c r="BP55"/>
      <c r="BQ55" t="s">
        <v>1236</v>
      </c>
      <c r="BR55">
        <v>5.5</v>
      </c>
      <c r="BS55">
        <v>6.6</v>
      </c>
      <c r="BT55">
        <v>6</v>
      </c>
      <c r="BU55">
        <v>8.6</v>
      </c>
      <c r="BV55">
        <v>8.6</v>
      </c>
      <c r="BW55">
        <v>8</v>
      </c>
      <c r="BX55">
        <v>8.4</v>
      </c>
      <c r="BY55">
        <v>4.7</v>
      </c>
      <c r="BZ55">
        <v>0</v>
      </c>
      <c r="CA55">
        <v>0</v>
      </c>
      <c r="CB55">
        <v>0</v>
      </c>
      <c r="CC55">
        <v>7.9</v>
      </c>
      <c r="CD55">
        <v>0</v>
      </c>
      <c r="CE55">
        <v>0</v>
      </c>
      <c r="CF55">
        <v>0</v>
      </c>
      <c r="CG55">
        <v>0</v>
      </c>
      <c r="CH55">
        <v>0</v>
      </c>
      <c r="CI55">
        <v>0</v>
      </c>
      <c r="CJ55">
        <v>0</v>
      </c>
      <c r="CK55">
        <v>0</v>
      </c>
      <c r="CL55">
        <v>0</v>
      </c>
      <c r="CM55">
        <v>7.8</v>
      </c>
      <c r="CN55">
        <v>6.7</v>
      </c>
      <c r="CO55">
        <v>7.3</v>
      </c>
      <c r="CP55">
        <v>7.5</v>
      </c>
      <c r="CQ55">
        <v>9.1</v>
      </c>
      <c r="CR55">
        <v>8.6</v>
      </c>
      <c r="CS55">
        <v>8.6999999999999993</v>
      </c>
      <c r="CT55">
        <v>7.1</v>
      </c>
      <c r="CU55">
        <v>0</v>
      </c>
      <c r="CV55">
        <v>0</v>
      </c>
      <c r="CW55">
        <v>0</v>
      </c>
      <c r="CX55">
        <v>8.6999999999999993</v>
      </c>
      <c r="CY55">
        <v>0</v>
      </c>
      <c r="CZ55">
        <v>0</v>
      </c>
      <c r="DA55">
        <v>0</v>
      </c>
      <c r="DB55">
        <v>0</v>
      </c>
      <c r="DC55">
        <v>0</v>
      </c>
      <c r="DD55">
        <v>0</v>
      </c>
      <c r="DE55">
        <v>0</v>
      </c>
      <c r="DF55">
        <v>0</v>
      </c>
      <c r="DG55">
        <v>0</v>
      </c>
      <c r="DH55">
        <v>6.7</v>
      </c>
      <c r="DI55">
        <v>7.5</v>
      </c>
      <c r="DJ55">
        <v>6.7</v>
      </c>
      <c r="DK55">
        <v>8.8000000000000007</v>
      </c>
      <c r="DL55">
        <v>7.9</v>
      </c>
      <c r="DM55">
        <v>9.1</v>
      </c>
      <c r="DN55">
        <v>7.3</v>
      </c>
      <c r="DO55">
        <v>7.2</v>
      </c>
      <c r="DP55">
        <v>0</v>
      </c>
      <c r="DQ55">
        <v>0</v>
      </c>
      <c r="DR55">
        <v>0</v>
      </c>
      <c r="DS55">
        <v>9.1</v>
      </c>
      <c r="DT55">
        <v>0</v>
      </c>
      <c r="DU55">
        <v>0</v>
      </c>
      <c r="DV55">
        <v>0</v>
      </c>
      <c r="DW55">
        <v>0</v>
      </c>
      <c r="DX55">
        <v>0</v>
      </c>
      <c r="DY55">
        <v>0</v>
      </c>
      <c r="DZ55">
        <v>0</v>
      </c>
      <c r="EA55">
        <v>0</v>
      </c>
      <c r="EB55">
        <v>0</v>
      </c>
      <c r="EC55">
        <v>5</v>
      </c>
      <c r="ED55">
        <v>7</v>
      </c>
      <c r="EE55">
        <v>3</v>
      </c>
      <c r="EF55"/>
      <c r="EG55"/>
      <c r="EH55"/>
      <c r="EI55"/>
      <c r="EJ55">
        <v>2.75</v>
      </c>
      <c r="EK55"/>
      <c r="EL55"/>
      <c r="EM55"/>
      <c r="EN55"/>
      <c r="EO55"/>
      <c r="EP55"/>
      <c r="EQ55"/>
      <c r="ER55"/>
      <c r="ES55"/>
      <c r="ET55"/>
      <c r="EU55"/>
      <c r="EV55"/>
      <c r="EW55">
        <v>63.5</v>
      </c>
      <c r="EX55">
        <v>101.5</v>
      </c>
      <c r="EY55">
        <v>79.5</v>
      </c>
      <c r="EZ55"/>
      <c r="FA55"/>
      <c r="FB55"/>
      <c r="FC55"/>
      <c r="FD55"/>
    </row>
    <row r="56" spans="1:160" x14ac:dyDescent="0.25">
      <c r="A56" s="1" t="str">
        <f t="shared" si="0"/>
        <v>068208002791</v>
      </c>
      <c r="B56" t="s">
        <v>1237</v>
      </c>
      <c r="C56" t="s">
        <v>1238</v>
      </c>
      <c r="D56" t="s">
        <v>1239</v>
      </c>
      <c r="E56" t="s">
        <v>280</v>
      </c>
      <c r="F56" t="s">
        <v>472</v>
      </c>
      <c r="G56" t="s">
        <v>1240</v>
      </c>
      <c r="H56" t="s">
        <v>1241</v>
      </c>
      <c r="I56" t="s">
        <v>105</v>
      </c>
      <c r="J56" t="s">
        <v>1242</v>
      </c>
      <c r="K56" t="s">
        <v>321</v>
      </c>
      <c r="L56"/>
      <c r="M56" t="s">
        <v>287</v>
      </c>
      <c r="N56" t="s">
        <v>288</v>
      </c>
      <c r="O56"/>
      <c r="P56" t="s">
        <v>289</v>
      </c>
      <c r="Q56" t="s">
        <v>1243</v>
      </c>
      <c r="R56" t="s">
        <v>287</v>
      </c>
      <c r="S56" t="s">
        <v>287</v>
      </c>
      <c r="T56" t="s">
        <v>287</v>
      </c>
      <c r="U56"/>
      <c r="V56" t="s">
        <v>1244</v>
      </c>
      <c r="W56" t="s">
        <v>1245</v>
      </c>
      <c r="X56" t="s">
        <v>1246</v>
      </c>
      <c r="Y56" t="s">
        <v>1247</v>
      </c>
      <c r="Z56" t="s">
        <v>1248</v>
      </c>
      <c r="AA56" t="s">
        <v>287</v>
      </c>
      <c r="AB56"/>
      <c r="AC56"/>
      <c r="AD56"/>
      <c r="AE56"/>
      <c r="AF56" t="s">
        <v>365</v>
      </c>
      <c r="AG56" t="s">
        <v>1249</v>
      </c>
      <c r="AH56" t="s">
        <v>1250</v>
      </c>
      <c r="AI56" t="s">
        <v>365</v>
      </c>
      <c r="AJ56" t="s">
        <v>1249</v>
      </c>
      <c r="AK56" t="s">
        <v>1250</v>
      </c>
      <c r="AL56" t="s">
        <v>365</v>
      </c>
      <c r="AM56" t="s">
        <v>1249</v>
      </c>
      <c r="AN56" t="s">
        <v>1250</v>
      </c>
      <c r="AO56" t="s">
        <v>299</v>
      </c>
      <c r="AP56" t="s">
        <v>348</v>
      </c>
      <c r="AQ56" t="s">
        <v>294</v>
      </c>
      <c r="AR56" t="s">
        <v>328</v>
      </c>
      <c r="AS56" t="s">
        <v>605</v>
      </c>
      <c r="AT56" t="s">
        <v>301</v>
      </c>
      <c r="AU56" t="s">
        <v>305</v>
      </c>
      <c r="AV56"/>
      <c r="AW56" t="s">
        <v>545</v>
      </c>
      <c r="AX56" t="s">
        <v>546</v>
      </c>
      <c r="AY56"/>
      <c r="AZ56"/>
      <c r="BA56"/>
      <c r="BB56"/>
      <c r="BC56" t="s">
        <v>669</v>
      </c>
      <c r="BD56" t="s">
        <v>353</v>
      </c>
      <c r="BE56" t="s">
        <v>1251</v>
      </c>
      <c r="BF56" t="s">
        <v>314</v>
      </c>
      <c r="BG56"/>
      <c r="BH56"/>
      <c r="BI56"/>
      <c r="BJ56"/>
      <c r="BK56"/>
      <c r="BL56"/>
      <c r="BM56" t="s">
        <v>305</v>
      </c>
      <c r="BN56" t="s">
        <v>354</v>
      </c>
      <c r="BO56" t="s">
        <v>1252</v>
      </c>
      <c r="BP56" t="s">
        <v>1253</v>
      </c>
      <c r="BQ56"/>
      <c r="BR56">
        <v>9.3000000000000007</v>
      </c>
      <c r="BS56">
        <v>8</v>
      </c>
      <c r="BT56">
        <v>8.6</v>
      </c>
      <c r="BU56">
        <v>8.6999999999999993</v>
      </c>
      <c r="BV56">
        <v>9</v>
      </c>
      <c r="BW56">
        <v>0</v>
      </c>
      <c r="BX56">
        <v>0</v>
      </c>
      <c r="BY56">
        <v>8.6999999999999993</v>
      </c>
      <c r="BZ56">
        <v>8.9</v>
      </c>
      <c r="CA56">
        <v>8.3000000000000007</v>
      </c>
      <c r="CB56">
        <v>0</v>
      </c>
      <c r="CC56">
        <v>9.1</v>
      </c>
      <c r="CD56">
        <v>0</v>
      </c>
      <c r="CE56">
        <v>0</v>
      </c>
      <c r="CF56">
        <v>0</v>
      </c>
      <c r="CG56">
        <v>0</v>
      </c>
      <c r="CH56">
        <v>0</v>
      </c>
      <c r="CI56">
        <v>0</v>
      </c>
      <c r="CJ56">
        <v>0</v>
      </c>
      <c r="CK56">
        <v>0</v>
      </c>
      <c r="CL56">
        <v>0</v>
      </c>
      <c r="CM56">
        <v>8.8000000000000007</v>
      </c>
      <c r="CN56">
        <v>7.5</v>
      </c>
      <c r="CO56">
        <v>8.1999999999999993</v>
      </c>
      <c r="CP56">
        <v>8.5</v>
      </c>
      <c r="CQ56">
        <v>8.8000000000000007</v>
      </c>
      <c r="CR56">
        <v>0</v>
      </c>
      <c r="CS56">
        <v>0</v>
      </c>
      <c r="CT56">
        <v>9.1999999999999993</v>
      </c>
      <c r="CU56">
        <v>9.4</v>
      </c>
      <c r="CV56">
        <v>8.5</v>
      </c>
      <c r="CW56">
        <v>0</v>
      </c>
      <c r="CX56">
        <v>9.1999999999999993</v>
      </c>
      <c r="CY56">
        <v>0</v>
      </c>
      <c r="CZ56">
        <v>0</v>
      </c>
      <c r="DA56">
        <v>0</v>
      </c>
      <c r="DB56">
        <v>0</v>
      </c>
      <c r="DC56">
        <v>0</v>
      </c>
      <c r="DD56">
        <v>0</v>
      </c>
      <c r="DE56">
        <v>0</v>
      </c>
      <c r="DF56">
        <v>0</v>
      </c>
      <c r="DG56">
        <v>0</v>
      </c>
      <c r="DH56">
        <v>9.1999999999999993</v>
      </c>
      <c r="DI56">
        <v>7.9</v>
      </c>
      <c r="DJ56">
        <v>8.8000000000000007</v>
      </c>
      <c r="DK56">
        <v>8.9</v>
      </c>
      <c r="DL56">
        <v>8.3000000000000007</v>
      </c>
      <c r="DM56">
        <v>0</v>
      </c>
      <c r="DN56">
        <v>0</v>
      </c>
      <c r="DO56">
        <v>9.1999999999999993</v>
      </c>
      <c r="DP56">
        <v>9.5</v>
      </c>
      <c r="DQ56">
        <v>8.1999999999999993</v>
      </c>
      <c r="DR56">
        <v>0</v>
      </c>
      <c r="DS56">
        <v>8.8000000000000007</v>
      </c>
      <c r="DT56">
        <v>0</v>
      </c>
      <c r="DU56">
        <v>0</v>
      </c>
      <c r="DV56">
        <v>0</v>
      </c>
      <c r="DW56">
        <v>0</v>
      </c>
      <c r="DX56">
        <v>0</v>
      </c>
      <c r="DY56">
        <v>0</v>
      </c>
      <c r="DZ56">
        <v>0</v>
      </c>
      <c r="EA56">
        <v>0</v>
      </c>
      <c r="EB56">
        <v>0</v>
      </c>
      <c r="EC56">
        <v>7.5</v>
      </c>
      <c r="ED56">
        <v>7</v>
      </c>
      <c r="EE56">
        <v>6.75</v>
      </c>
      <c r="EF56"/>
      <c r="EG56"/>
      <c r="EH56"/>
      <c r="EI56"/>
      <c r="EJ56">
        <v>7.75</v>
      </c>
      <c r="EK56"/>
      <c r="EL56"/>
      <c r="EM56"/>
      <c r="EN56"/>
      <c r="EO56"/>
      <c r="EP56"/>
      <c r="EQ56"/>
      <c r="ER56"/>
      <c r="ES56"/>
      <c r="ET56"/>
      <c r="EU56"/>
      <c r="EV56"/>
      <c r="EW56"/>
      <c r="EX56"/>
      <c r="EY56"/>
      <c r="EZ56"/>
      <c r="FA56"/>
      <c r="FB56"/>
      <c r="FC56"/>
      <c r="FD56"/>
    </row>
    <row r="57" spans="1:160" x14ac:dyDescent="0.25">
      <c r="A57" s="1" t="str">
        <f t="shared" si="0"/>
        <v>086208000490</v>
      </c>
      <c r="B57" t="s">
        <v>1254</v>
      </c>
      <c r="C57" t="s">
        <v>1255</v>
      </c>
      <c r="D57" t="s">
        <v>1256</v>
      </c>
      <c r="E57" t="s">
        <v>280</v>
      </c>
      <c r="F57" t="s">
        <v>1257</v>
      </c>
      <c r="G57" t="s">
        <v>1258</v>
      </c>
      <c r="H57" t="s">
        <v>1259</v>
      </c>
      <c r="I57" t="s">
        <v>72</v>
      </c>
      <c r="J57" t="s">
        <v>1260</v>
      </c>
      <c r="K57" t="s">
        <v>476</v>
      </c>
      <c r="L57"/>
      <c r="M57" t="s">
        <v>287</v>
      </c>
      <c r="N57" t="s">
        <v>288</v>
      </c>
      <c r="O57"/>
      <c r="P57" t="s">
        <v>289</v>
      </c>
      <c r="Q57" t="s">
        <v>1261</v>
      </c>
      <c r="R57" t="s">
        <v>287</v>
      </c>
      <c r="S57" t="s">
        <v>287</v>
      </c>
      <c r="T57" t="s">
        <v>287</v>
      </c>
      <c r="U57"/>
      <c r="V57"/>
      <c r="W57"/>
      <c r="X57"/>
      <c r="Y57"/>
      <c r="Z57"/>
      <c r="AA57" t="s">
        <v>287</v>
      </c>
      <c r="AB57"/>
      <c r="AC57"/>
      <c r="AD57"/>
      <c r="AE57"/>
      <c r="AF57" t="s">
        <v>421</v>
      </c>
      <c r="AG57" t="s">
        <v>1131</v>
      </c>
      <c r="AH57" t="s">
        <v>1132</v>
      </c>
      <c r="AI57" t="s">
        <v>421</v>
      </c>
      <c r="AJ57" t="s">
        <v>1131</v>
      </c>
      <c r="AK57" t="s">
        <v>1132</v>
      </c>
      <c r="AL57" t="s">
        <v>421</v>
      </c>
      <c r="AM57" t="s">
        <v>1131</v>
      </c>
      <c r="AN57" t="s">
        <v>1132</v>
      </c>
      <c r="AO57" t="s">
        <v>299</v>
      </c>
      <c r="AP57" t="s">
        <v>603</v>
      </c>
      <c r="AQ57" t="s">
        <v>294</v>
      </c>
      <c r="AR57" t="s">
        <v>1262</v>
      </c>
      <c r="AS57" t="s">
        <v>525</v>
      </c>
      <c r="AT57" t="s">
        <v>1263</v>
      </c>
      <c r="AU57" t="s">
        <v>354</v>
      </c>
      <c r="AV57"/>
      <c r="AW57" t="s">
        <v>351</v>
      </c>
      <c r="AX57" t="s">
        <v>352</v>
      </c>
      <c r="AY57"/>
      <c r="AZ57"/>
      <c r="BA57"/>
      <c r="BB57"/>
      <c r="BC57" t="s">
        <v>669</v>
      </c>
      <c r="BD57" t="s">
        <v>353</v>
      </c>
      <c r="BE57"/>
      <c r="BF57" t="s">
        <v>314</v>
      </c>
      <c r="BG57"/>
      <c r="BH57"/>
      <c r="BI57"/>
      <c r="BJ57"/>
      <c r="BK57"/>
      <c r="BL57"/>
      <c r="BM57" t="s">
        <v>305</v>
      </c>
      <c r="BN57" t="s">
        <v>305</v>
      </c>
      <c r="BO57" t="s">
        <v>1264</v>
      </c>
      <c r="BP57"/>
      <c r="BQ57" t="s">
        <v>1265</v>
      </c>
      <c r="BR57">
        <v>6.7</v>
      </c>
      <c r="BS57">
        <v>8.1</v>
      </c>
      <c r="BT57">
        <v>8.9</v>
      </c>
      <c r="BU57">
        <v>8.6</v>
      </c>
      <c r="BV57">
        <v>9.1</v>
      </c>
      <c r="BW57">
        <v>0</v>
      </c>
      <c r="BX57">
        <v>0</v>
      </c>
      <c r="BY57">
        <v>8.5</v>
      </c>
      <c r="BZ57">
        <v>8.1999999999999993</v>
      </c>
      <c r="CA57">
        <v>8.3000000000000007</v>
      </c>
      <c r="CB57">
        <v>0</v>
      </c>
      <c r="CC57">
        <v>8.6</v>
      </c>
      <c r="CD57">
        <v>0</v>
      </c>
      <c r="CE57">
        <v>0</v>
      </c>
      <c r="CF57">
        <v>0</v>
      </c>
      <c r="CG57">
        <v>0</v>
      </c>
      <c r="CH57">
        <v>0</v>
      </c>
      <c r="CI57">
        <v>0</v>
      </c>
      <c r="CJ57">
        <v>0</v>
      </c>
      <c r="CK57">
        <v>0</v>
      </c>
      <c r="CL57">
        <v>0</v>
      </c>
      <c r="CM57">
        <v>6.7</v>
      </c>
      <c r="CN57">
        <v>8.8000000000000007</v>
      </c>
      <c r="CO57">
        <v>8.1999999999999993</v>
      </c>
      <c r="CP57">
        <v>9.4</v>
      </c>
      <c r="CQ57">
        <v>8.8000000000000007</v>
      </c>
      <c r="CR57">
        <v>0</v>
      </c>
      <c r="CS57">
        <v>0</v>
      </c>
      <c r="CT57">
        <v>8</v>
      </c>
      <c r="CU57">
        <v>8.1999999999999993</v>
      </c>
      <c r="CV57">
        <v>8.5</v>
      </c>
      <c r="CW57">
        <v>0</v>
      </c>
      <c r="CX57">
        <v>8.8000000000000007</v>
      </c>
      <c r="CY57">
        <v>0</v>
      </c>
      <c r="CZ57">
        <v>0</v>
      </c>
      <c r="DA57">
        <v>0</v>
      </c>
      <c r="DB57">
        <v>0</v>
      </c>
      <c r="DC57">
        <v>0</v>
      </c>
      <c r="DD57">
        <v>0</v>
      </c>
      <c r="DE57">
        <v>0</v>
      </c>
      <c r="DF57">
        <v>0</v>
      </c>
      <c r="DG57">
        <v>0</v>
      </c>
      <c r="DH57">
        <v>8.1999999999999993</v>
      </c>
      <c r="DI57">
        <v>9</v>
      </c>
      <c r="DJ57">
        <v>8.9</v>
      </c>
      <c r="DK57">
        <v>9.6</v>
      </c>
      <c r="DL57">
        <v>9.5</v>
      </c>
      <c r="DM57">
        <v>0</v>
      </c>
      <c r="DN57">
        <v>0</v>
      </c>
      <c r="DO57">
        <v>8.5</v>
      </c>
      <c r="DP57">
        <v>8.4</v>
      </c>
      <c r="DQ57">
        <v>8.6999999999999993</v>
      </c>
      <c r="DR57">
        <v>0</v>
      </c>
      <c r="DS57">
        <v>9.4</v>
      </c>
      <c r="DT57">
        <v>0</v>
      </c>
      <c r="DU57">
        <v>0</v>
      </c>
      <c r="DV57">
        <v>0</v>
      </c>
      <c r="DW57">
        <v>0</v>
      </c>
      <c r="DX57">
        <v>0</v>
      </c>
      <c r="DY57">
        <v>0</v>
      </c>
      <c r="DZ57">
        <v>0</v>
      </c>
      <c r="EA57">
        <v>0</v>
      </c>
      <c r="EB57">
        <v>0</v>
      </c>
      <c r="EC57">
        <v>5.25</v>
      </c>
      <c r="ED57">
        <v>5</v>
      </c>
      <c r="EE57">
        <v>5</v>
      </c>
      <c r="EF57"/>
      <c r="EG57">
        <v>7.75</v>
      </c>
      <c r="EH57"/>
      <c r="EI57"/>
      <c r="EJ57"/>
      <c r="EK57"/>
      <c r="EL57"/>
      <c r="EM57"/>
      <c r="EN57"/>
      <c r="EO57"/>
      <c r="EP57"/>
      <c r="EQ57"/>
      <c r="ER57"/>
      <c r="ES57"/>
      <c r="ET57"/>
      <c r="EU57"/>
      <c r="EV57"/>
      <c r="EW57">
        <v>61.5</v>
      </c>
      <c r="EX57">
        <v>121.5</v>
      </c>
      <c r="EY57">
        <v>115.5</v>
      </c>
      <c r="EZ57">
        <v>126</v>
      </c>
      <c r="FA57"/>
      <c r="FB57"/>
      <c r="FC57"/>
      <c r="FD57"/>
    </row>
    <row r="58" spans="1:160" x14ac:dyDescent="0.25">
      <c r="A58" s="1" t="str">
        <f t="shared" si="0"/>
        <v>079308009276</v>
      </c>
      <c r="B58" t="s">
        <v>1266</v>
      </c>
      <c r="C58" t="s">
        <v>1267</v>
      </c>
      <c r="D58" t="s">
        <v>1268</v>
      </c>
      <c r="E58" t="s">
        <v>278</v>
      </c>
      <c r="F58" t="s">
        <v>1269</v>
      </c>
      <c r="G58" t="s">
        <v>1270</v>
      </c>
      <c r="H58" t="s">
        <v>1271</v>
      </c>
      <c r="I58" t="s">
        <v>97</v>
      </c>
      <c r="J58" t="s">
        <v>1272</v>
      </c>
      <c r="K58" t="s">
        <v>286</v>
      </c>
      <c r="L58"/>
      <c r="M58" t="s">
        <v>287</v>
      </c>
      <c r="N58" t="s">
        <v>288</v>
      </c>
      <c r="O58"/>
      <c r="P58" t="s">
        <v>289</v>
      </c>
      <c r="Q58" t="s">
        <v>1273</v>
      </c>
      <c r="R58" t="s">
        <v>287</v>
      </c>
      <c r="S58" t="s">
        <v>287</v>
      </c>
      <c r="T58" t="s">
        <v>287</v>
      </c>
      <c r="U58" t="s">
        <v>1274</v>
      </c>
      <c r="V58" t="s">
        <v>1275</v>
      </c>
      <c r="W58" t="s">
        <v>1276</v>
      </c>
      <c r="X58"/>
      <c r="Y58"/>
      <c r="Z58" t="s">
        <v>294</v>
      </c>
      <c r="AA58" t="s">
        <v>596</v>
      </c>
      <c r="AB58" t="s">
        <v>1277</v>
      </c>
      <c r="AC58" t="s">
        <v>1278</v>
      </c>
      <c r="AD58" t="s">
        <v>1279</v>
      </c>
      <c r="AE58" t="s">
        <v>1280</v>
      </c>
      <c r="AF58" t="s">
        <v>706</v>
      </c>
      <c r="AG58" t="s">
        <v>1281</v>
      </c>
      <c r="AH58" t="s">
        <v>1282</v>
      </c>
      <c r="AI58" t="s">
        <v>706</v>
      </c>
      <c r="AJ58" t="s">
        <v>1281</v>
      </c>
      <c r="AK58" t="s">
        <v>1282</v>
      </c>
      <c r="AL58" t="s">
        <v>706</v>
      </c>
      <c r="AM58" t="s">
        <v>1281</v>
      </c>
      <c r="AN58" t="s">
        <v>1282</v>
      </c>
      <c r="AO58" t="s">
        <v>299</v>
      </c>
      <c r="AP58" t="s">
        <v>603</v>
      </c>
      <c r="AQ58" t="s">
        <v>1283</v>
      </c>
      <c r="AR58" t="s">
        <v>1284</v>
      </c>
      <c r="AS58" t="s">
        <v>1285</v>
      </c>
      <c r="AT58" t="s">
        <v>1286</v>
      </c>
      <c r="AU58" t="s">
        <v>305</v>
      </c>
      <c r="AV58"/>
      <c r="AW58" t="s">
        <v>610</v>
      </c>
      <c r="AX58" t="s">
        <v>611</v>
      </c>
      <c r="AY58"/>
      <c r="AZ58"/>
      <c r="BA58"/>
      <c r="BB58"/>
      <c r="BC58" t="s">
        <v>669</v>
      </c>
      <c r="BD58" t="s">
        <v>353</v>
      </c>
      <c r="BE58"/>
      <c r="BF58" t="s">
        <v>314</v>
      </c>
      <c r="BG58"/>
      <c r="BH58"/>
      <c r="BI58"/>
      <c r="BJ58"/>
      <c r="BK58"/>
      <c r="BL58"/>
      <c r="BM58" t="s">
        <v>305</v>
      </c>
      <c r="BN58" t="s">
        <v>354</v>
      </c>
      <c r="BO58" t="s">
        <v>1287</v>
      </c>
      <c r="BP58" t="s">
        <v>1288</v>
      </c>
      <c r="BQ58"/>
      <c r="BR58">
        <v>9.1</v>
      </c>
      <c r="BS58">
        <v>8.3000000000000007</v>
      </c>
      <c r="BT58">
        <v>9.6</v>
      </c>
      <c r="BU58">
        <v>9.5</v>
      </c>
      <c r="BV58">
        <v>9.9</v>
      </c>
      <c r="BW58">
        <v>9.3000000000000007</v>
      </c>
      <c r="BX58">
        <v>9.8000000000000007</v>
      </c>
      <c r="BY58">
        <v>9.5</v>
      </c>
      <c r="BZ58">
        <v>0</v>
      </c>
      <c r="CA58">
        <v>0</v>
      </c>
      <c r="CB58">
        <v>0</v>
      </c>
      <c r="CC58">
        <v>9.5</v>
      </c>
      <c r="CD58">
        <v>0</v>
      </c>
      <c r="CE58">
        <v>0</v>
      </c>
      <c r="CF58">
        <v>0</v>
      </c>
      <c r="CG58">
        <v>0</v>
      </c>
      <c r="CH58">
        <v>0</v>
      </c>
      <c r="CI58">
        <v>0</v>
      </c>
      <c r="CJ58">
        <v>0</v>
      </c>
      <c r="CK58">
        <v>0</v>
      </c>
      <c r="CL58">
        <v>0</v>
      </c>
      <c r="CM58">
        <v>8.4</v>
      </c>
      <c r="CN58">
        <v>9</v>
      </c>
      <c r="CO58">
        <v>9.5</v>
      </c>
      <c r="CP58">
        <v>9.6</v>
      </c>
      <c r="CQ58">
        <v>9.6999999999999993</v>
      </c>
      <c r="CR58">
        <v>9.5</v>
      </c>
      <c r="CS58">
        <v>9.6999999999999993</v>
      </c>
      <c r="CT58">
        <v>9.3000000000000007</v>
      </c>
      <c r="CU58">
        <v>0</v>
      </c>
      <c r="CV58">
        <v>0</v>
      </c>
      <c r="CW58">
        <v>0</v>
      </c>
      <c r="CX58">
        <v>8.9</v>
      </c>
      <c r="CY58">
        <v>0</v>
      </c>
      <c r="CZ58">
        <v>0</v>
      </c>
      <c r="DA58">
        <v>0</v>
      </c>
      <c r="DB58">
        <v>0</v>
      </c>
      <c r="DC58">
        <v>0</v>
      </c>
      <c r="DD58">
        <v>0</v>
      </c>
      <c r="DE58">
        <v>0</v>
      </c>
      <c r="DF58">
        <v>0</v>
      </c>
      <c r="DG58">
        <v>0</v>
      </c>
      <c r="DH58">
        <v>8.8000000000000007</v>
      </c>
      <c r="DI58">
        <v>8.9</v>
      </c>
      <c r="DJ58">
        <v>9.3000000000000007</v>
      </c>
      <c r="DK58">
        <v>9.8000000000000007</v>
      </c>
      <c r="DL58">
        <v>9.1999999999999993</v>
      </c>
      <c r="DM58">
        <v>9.5</v>
      </c>
      <c r="DN58">
        <v>9.6</v>
      </c>
      <c r="DO58">
        <v>9.9</v>
      </c>
      <c r="DP58">
        <v>0</v>
      </c>
      <c r="DQ58">
        <v>0</v>
      </c>
      <c r="DR58">
        <v>0</v>
      </c>
      <c r="DS58">
        <v>9.8000000000000007</v>
      </c>
      <c r="DT58">
        <v>0</v>
      </c>
      <c r="DU58">
        <v>0</v>
      </c>
      <c r="DV58">
        <v>0</v>
      </c>
      <c r="DW58">
        <v>0</v>
      </c>
      <c r="DX58">
        <v>0</v>
      </c>
      <c r="DY58">
        <v>0</v>
      </c>
      <c r="DZ58">
        <v>0</v>
      </c>
      <c r="EA58">
        <v>0</v>
      </c>
      <c r="EB58">
        <v>0</v>
      </c>
      <c r="EC58">
        <v>7</v>
      </c>
      <c r="ED58">
        <v>7.5</v>
      </c>
      <c r="EE58">
        <v>5.25</v>
      </c>
      <c r="EF58"/>
      <c r="EG58"/>
      <c r="EH58">
        <v>5.85</v>
      </c>
      <c r="EI58"/>
      <c r="EJ58"/>
      <c r="EK58"/>
      <c r="EL58"/>
      <c r="EM58"/>
      <c r="EN58"/>
      <c r="EO58"/>
      <c r="EP58"/>
      <c r="EQ58"/>
      <c r="ER58"/>
      <c r="ES58"/>
      <c r="ET58"/>
      <c r="EU58"/>
      <c r="EV58"/>
      <c r="EW58"/>
      <c r="EX58"/>
      <c r="EY58"/>
      <c r="EZ58"/>
      <c r="FA58"/>
      <c r="FB58"/>
      <c r="FC58"/>
      <c r="FD58"/>
    </row>
    <row r="59" spans="1:160" x14ac:dyDescent="0.25">
      <c r="A59" s="1" t="str">
        <f t="shared" si="0"/>
        <v>066208003927</v>
      </c>
      <c r="B59" t="s">
        <v>1289</v>
      </c>
      <c r="C59" t="s">
        <v>1290</v>
      </c>
      <c r="D59" t="s">
        <v>1291</v>
      </c>
      <c r="E59" t="s">
        <v>280</v>
      </c>
      <c r="F59" t="s">
        <v>1292</v>
      </c>
      <c r="G59" t="s">
        <v>1293</v>
      </c>
      <c r="H59" t="s">
        <v>1294</v>
      </c>
      <c r="I59" t="s">
        <v>108</v>
      </c>
      <c r="J59" t="s">
        <v>1295</v>
      </c>
      <c r="K59" t="s">
        <v>476</v>
      </c>
      <c r="L59"/>
      <c r="M59" t="s">
        <v>287</v>
      </c>
      <c r="N59" t="s">
        <v>288</v>
      </c>
      <c r="O59"/>
      <c r="P59" t="s">
        <v>289</v>
      </c>
      <c r="Q59" t="s">
        <v>1296</v>
      </c>
      <c r="R59" t="s">
        <v>287</v>
      </c>
      <c r="S59" t="s">
        <v>287</v>
      </c>
      <c r="T59" t="s">
        <v>287</v>
      </c>
      <c r="U59" t="s">
        <v>1297</v>
      </c>
      <c r="V59" t="s">
        <v>1298</v>
      </c>
      <c r="W59" t="s">
        <v>1299</v>
      </c>
      <c r="X59" t="s">
        <v>1300</v>
      </c>
      <c r="Y59" t="s">
        <v>1301</v>
      </c>
      <c r="Z59" t="s">
        <v>1302</v>
      </c>
      <c r="AA59" t="s">
        <v>287</v>
      </c>
      <c r="AB59"/>
      <c r="AC59"/>
      <c r="AD59"/>
      <c r="AE59"/>
      <c r="AF59" t="s">
        <v>1303</v>
      </c>
      <c r="AG59" t="s">
        <v>557</v>
      </c>
      <c r="AH59" t="s">
        <v>1304</v>
      </c>
      <c r="AI59" t="s">
        <v>1303</v>
      </c>
      <c r="AJ59" t="s">
        <v>557</v>
      </c>
      <c r="AK59" t="s">
        <v>1304</v>
      </c>
      <c r="AL59" t="s">
        <v>1303</v>
      </c>
      <c r="AM59" t="s">
        <v>557</v>
      </c>
      <c r="AN59" t="s">
        <v>1304</v>
      </c>
      <c r="AO59" t="s">
        <v>299</v>
      </c>
      <c r="AP59" t="s">
        <v>348</v>
      </c>
      <c r="AQ59" t="s">
        <v>1056</v>
      </c>
      <c r="AR59" t="s">
        <v>1305</v>
      </c>
      <c r="AS59" t="s">
        <v>1306</v>
      </c>
      <c r="AT59" t="s">
        <v>1307</v>
      </c>
      <c r="AU59" t="s">
        <v>305</v>
      </c>
      <c r="AV59"/>
      <c r="AW59" t="s">
        <v>562</v>
      </c>
      <c r="AX59" t="s">
        <v>563</v>
      </c>
      <c r="AY59"/>
      <c r="AZ59"/>
      <c r="BA59"/>
      <c r="BB59"/>
      <c r="BC59" t="s">
        <v>669</v>
      </c>
      <c r="BD59" t="s">
        <v>353</v>
      </c>
      <c r="BE59"/>
      <c r="BF59" t="s">
        <v>314</v>
      </c>
      <c r="BG59"/>
      <c r="BH59"/>
      <c r="BI59"/>
      <c r="BJ59"/>
      <c r="BK59"/>
      <c r="BL59"/>
      <c r="BM59" t="s">
        <v>305</v>
      </c>
      <c r="BN59" t="s">
        <v>354</v>
      </c>
      <c r="BO59" t="s">
        <v>1308</v>
      </c>
      <c r="BP59" t="s">
        <v>1309</v>
      </c>
      <c r="BQ59"/>
      <c r="BR59">
        <v>7.4</v>
      </c>
      <c r="BS59">
        <v>7.5</v>
      </c>
      <c r="BT59">
        <v>8.1</v>
      </c>
      <c r="BU59">
        <v>9.3000000000000007</v>
      </c>
      <c r="BV59">
        <v>7.4</v>
      </c>
      <c r="BW59">
        <v>0</v>
      </c>
      <c r="BX59">
        <v>0</v>
      </c>
      <c r="BY59">
        <v>8.8000000000000007</v>
      </c>
      <c r="BZ59">
        <v>8.5</v>
      </c>
      <c r="CA59">
        <v>8.6</v>
      </c>
      <c r="CB59">
        <v>0</v>
      </c>
      <c r="CC59">
        <v>8.9</v>
      </c>
      <c r="CD59">
        <v>0</v>
      </c>
      <c r="CE59">
        <v>0</v>
      </c>
      <c r="CF59">
        <v>0</v>
      </c>
      <c r="CG59">
        <v>0</v>
      </c>
      <c r="CH59">
        <v>0</v>
      </c>
      <c r="CI59">
        <v>0</v>
      </c>
      <c r="CJ59">
        <v>0</v>
      </c>
      <c r="CK59">
        <v>0</v>
      </c>
      <c r="CL59">
        <v>0</v>
      </c>
      <c r="CM59">
        <v>8.5</v>
      </c>
      <c r="CN59">
        <v>7.9</v>
      </c>
      <c r="CO59">
        <v>8.3000000000000007</v>
      </c>
      <c r="CP59">
        <v>9.6</v>
      </c>
      <c r="CQ59">
        <v>9</v>
      </c>
      <c r="CR59">
        <v>0</v>
      </c>
      <c r="CS59">
        <v>0</v>
      </c>
      <c r="CT59">
        <v>9.6</v>
      </c>
      <c r="CU59">
        <v>8.1</v>
      </c>
      <c r="CV59">
        <v>9.6</v>
      </c>
      <c r="CW59">
        <v>0</v>
      </c>
      <c r="CX59">
        <v>9.3000000000000007</v>
      </c>
      <c r="CY59">
        <v>0</v>
      </c>
      <c r="CZ59">
        <v>0</v>
      </c>
      <c r="DA59">
        <v>0</v>
      </c>
      <c r="DB59">
        <v>0</v>
      </c>
      <c r="DC59">
        <v>0</v>
      </c>
      <c r="DD59">
        <v>0</v>
      </c>
      <c r="DE59">
        <v>0</v>
      </c>
      <c r="DF59">
        <v>0</v>
      </c>
      <c r="DG59">
        <v>0</v>
      </c>
      <c r="DH59">
        <v>9</v>
      </c>
      <c r="DI59">
        <v>6.7</v>
      </c>
      <c r="DJ59">
        <v>7.6</v>
      </c>
      <c r="DK59">
        <v>9.9</v>
      </c>
      <c r="DL59">
        <v>7.9</v>
      </c>
      <c r="DM59">
        <v>0</v>
      </c>
      <c r="DN59">
        <v>0</v>
      </c>
      <c r="DO59">
        <v>8.9</v>
      </c>
      <c r="DP59">
        <v>9</v>
      </c>
      <c r="DQ59">
        <v>9</v>
      </c>
      <c r="DR59">
        <v>0</v>
      </c>
      <c r="DS59">
        <v>8.8000000000000007</v>
      </c>
      <c r="DT59">
        <v>0</v>
      </c>
      <c r="DU59">
        <v>0</v>
      </c>
      <c r="DV59">
        <v>0</v>
      </c>
      <c r="DW59">
        <v>0</v>
      </c>
      <c r="DX59">
        <v>0</v>
      </c>
      <c r="DY59">
        <v>0</v>
      </c>
      <c r="DZ59">
        <v>0</v>
      </c>
      <c r="EA59">
        <v>0</v>
      </c>
      <c r="EB59">
        <v>0</v>
      </c>
      <c r="EC59">
        <v>8.5</v>
      </c>
      <c r="ED59">
        <v>5.25</v>
      </c>
      <c r="EE59">
        <v>4</v>
      </c>
      <c r="EF59"/>
      <c r="EG59"/>
      <c r="EH59"/>
      <c r="EI59"/>
      <c r="EJ59">
        <v>7.25</v>
      </c>
      <c r="EK59"/>
      <c r="EL59"/>
      <c r="EM59"/>
      <c r="EN59"/>
      <c r="EO59"/>
      <c r="EP59"/>
      <c r="EQ59"/>
      <c r="ER59"/>
      <c r="ES59"/>
      <c r="ET59"/>
      <c r="EU59"/>
      <c r="EV59"/>
      <c r="EW59"/>
      <c r="EX59"/>
      <c r="EY59"/>
      <c r="EZ59"/>
      <c r="FA59"/>
      <c r="FB59"/>
      <c r="FC59"/>
      <c r="FD59"/>
    </row>
    <row r="60" spans="1:160" x14ac:dyDescent="0.25">
      <c r="A60" s="1" t="str">
        <f t="shared" si="0"/>
        <v>086208007331</v>
      </c>
      <c r="B60" t="s">
        <v>1310</v>
      </c>
      <c r="C60" t="s">
        <v>1311</v>
      </c>
      <c r="D60" t="s">
        <v>1312</v>
      </c>
      <c r="E60" t="s">
        <v>280</v>
      </c>
      <c r="F60" t="s">
        <v>1313</v>
      </c>
      <c r="G60" t="s">
        <v>1314</v>
      </c>
      <c r="H60" t="s">
        <v>1315</v>
      </c>
      <c r="I60" t="s">
        <v>67</v>
      </c>
      <c r="J60" t="s">
        <v>1316</v>
      </c>
      <c r="K60" t="s">
        <v>516</v>
      </c>
      <c r="L60"/>
      <c r="M60" t="s">
        <v>287</v>
      </c>
      <c r="N60" t="s">
        <v>288</v>
      </c>
      <c r="O60"/>
      <c r="P60" t="s">
        <v>289</v>
      </c>
      <c r="Q60" t="s">
        <v>1317</v>
      </c>
      <c r="R60" t="s">
        <v>287</v>
      </c>
      <c r="S60" t="s">
        <v>287</v>
      </c>
      <c r="T60" t="s">
        <v>287</v>
      </c>
      <c r="U60"/>
      <c r="V60"/>
      <c r="W60" t="s">
        <v>294</v>
      </c>
      <c r="X60" t="s">
        <v>1318</v>
      </c>
      <c r="Y60" t="s">
        <v>1319</v>
      </c>
      <c r="Z60" t="s">
        <v>1320</v>
      </c>
      <c r="AA60" t="s">
        <v>287</v>
      </c>
      <c r="AB60"/>
      <c r="AC60"/>
      <c r="AD60"/>
      <c r="AE60"/>
      <c r="AF60" t="s">
        <v>421</v>
      </c>
      <c r="AG60" t="s">
        <v>1321</v>
      </c>
      <c r="AH60" t="s">
        <v>1322</v>
      </c>
      <c r="AI60" t="s">
        <v>421</v>
      </c>
      <c r="AJ60" t="s">
        <v>1321</v>
      </c>
      <c r="AK60" t="s">
        <v>1322</v>
      </c>
      <c r="AL60" t="s">
        <v>421</v>
      </c>
      <c r="AM60" t="s">
        <v>1321</v>
      </c>
      <c r="AN60" t="s">
        <v>1322</v>
      </c>
      <c r="AO60" t="s">
        <v>299</v>
      </c>
      <c r="AP60" t="s">
        <v>348</v>
      </c>
      <c r="AQ60" t="s">
        <v>1307</v>
      </c>
      <c r="AR60" t="s">
        <v>369</v>
      </c>
      <c r="AS60" t="s">
        <v>579</v>
      </c>
      <c r="AT60" t="s">
        <v>1323</v>
      </c>
      <c r="AU60" t="s">
        <v>305</v>
      </c>
      <c r="AV60"/>
      <c r="AW60" t="s">
        <v>562</v>
      </c>
      <c r="AX60" t="s">
        <v>563</v>
      </c>
      <c r="AY60"/>
      <c r="AZ60"/>
      <c r="BA60"/>
      <c r="BB60"/>
      <c r="BC60" t="s">
        <v>669</v>
      </c>
      <c r="BD60" t="s">
        <v>353</v>
      </c>
      <c r="BE60"/>
      <c r="BF60" t="s">
        <v>314</v>
      </c>
      <c r="BG60"/>
      <c r="BH60"/>
      <c r="BI60"/>
      <c r="BJ60"/>
      <c r="BK60"/>
      <c r="BL60"/>
      <c r="BM60" t="s">
        <v>305</v>
      </c>
      <c r="BN60" t="s">
        <v>354</v>
      </c>
      <c r="BO60" t="s">
        <v>1324</v>
      </c>
      <c r="BP60" t="s">
        <v>1325</v>
      </c>
      <c r="BQ60"/>
      <c r="BR60">
        <v>8.8000000000000007</v>
      </c>
      <c r="BS60">
        <v>7.8</v>
      </c>
      <c r="BT60">
        <v>8</v>
      </c>
      <c r="BU60">
        <v>10</v>
      </c>
      <c r="BV60">
        <v>8.8000000000000007</v>
      </c>
      <c r="BW60">
        <v>0</v>
      </c>
      <c r="BX60">
        <v>0</v>
      </c>
      <c r="BY60">
        <v>8.5</v>
      </c>
      <c r="BZ60">
        <v>8.6999999999999993</v>
      </c>
      <c r="CA60">
        <v>8.5</v>
      </c>
      <c r="CB60">
        <v>0</v>
      </c>
      <c r="CC60">
        <v>9.1999999999999993</v>
      </c>
      <c r="CD60">
        <v>0</v>
      </c>
      <c r="CE60">
        <v>0</v>
      </c>
      <c r="CF60">
        <v>0</v>
      </c>
      <c r="CG60">
        <v>0</v>
      </c>
      <c r="CH60">
        <v>0</v>
      </c>
      <c r="CI60">
        <v>0</v>
      </c>
      <c r="CJ60">
        <v>0</v>
      </c>
      <c r="CK60">
        <v>0</v>
      </c>
      <c r="CL60">
        <v>0</v>
      </c>
      <c r="CM60">
        <v>9.1</v>
      </c>
      <c r="CN60">
        <v>7.5</v>
      </c>
      <c r="CO60">
        <v>7.9</v>
      </c>
      <c r="CP60">
        <v>10</v>
      </c>
      <c r="CQ60">
        <v>9.1999999999999993</v>
      </c>
      <c r="CR60">
        <v>0</v>
      </c>
      <c r="CS60">
        <v>0</v>
      </c>
      <c r="CT60">
        <v>9</v>
      </c>
      <c r="CU60">
        <v>7</v>
      </c>
      <c r="CV60">
        <v>8.6</v>
      </c>
      <c r="CW60">
        <v>0</v>
      </c>
      <c r="CX60">
        <v>9.1</v>
      </c>
      <c r="CY60">
        <v>0</v>
      </c>
      <c r="CZ60">
        <v>0</v>
      </c>
      <c r="DA60">
        <v>0</v>
      </c>
      <c r="DB60">
        <v>0</v>
      </c>
      <c r="DC60">
        <v>0</v>
      </c>
      <c r="DD60">
        <v>0</v>
      </c>
      <c r="DE60">
        <v>0</v>
      </c>
      <c r="DF60">
        <v>0</v>
      </c>
      <c r="DG60">
        <v>0</v>
      </c>
      <c r="DH60">
        <v>9</v>
      </c>
      <c r="DI60">
        <v>7.1</v>
      </c>
      <c r="DJ60">
        <v>7.2</v>
      </c>
      <c r="DK60">
        <v>10</v>
      </c>
      <c r="DL60">
        <v>9.3000000000000007</v>
      </c>
      <c r="DM60">
        <v>0</v>
      </c>
      <c r="DN60">
        <v>0</v>
      </c>
      <c r="DO60">
        <v>9.3000000000000007</v>
      </c>
      <c r="DP60">
        <v>8.1999999999999993</v>
      </c>
      <c r="DQ60">
        <v>6.7</v>
      </c>
      <c r="DR60">
        <v>0</v>
      </c>
      <c r="DS60">
        <v>9.1</v>
      </c>
      <c r="DT60">
        <v>0</v>
      </c>
      <c r="DU60">
        <v>0</v>
      </c>
      <c r="DV60">
        <v>0</v>
      </c>
      <c r="DW60">
        <v>0</v>
      </c>
      <c r="DX60">
        <v>0</v>
      </c>
      <c r="DY60">
        <v>0</v>
      </c>
      <c r="DZ60">
        <v>0</v>
      </c>
      <c r="EA60">
        <v>0</v>
      </c>
      <c r="EB60">
        <v>0</v>
      </c>
      <c r="EC60">
        <v>9</v>
      </c>
      <c r="ED60">
        <v>5.25</v>
      </c>
      <c r="EE60">
        <v>4.75</v>
      </c>
      <c r="EF60"/>
      <c r="EG60"/>
      <c r="EH60"/>
      <c r="EI60"/>
      <c r="EJ60">
        <v>6.75</v>
      </c>
      <c r="EK60"/>
      <c r="EL60"/>
      <c r="EM60"/>
      <c r="EN60"/>
      <c r="EO60"/>
      <c r="EP60"/>
      <c r="EQ60"/>
      <c r="ER60"/>
      <c r="ES60"/>
      <c r="ET60"/>
      <c r="EU60"/>
      <c r="EV60"/>
      <c r="EW60"/>
      <c r="EX60"/>
      <c r="EY60"/>
      <c r="EZ60"/>
      <c r="FA60"/>
      <c r="FB60">
        <v>113.5</v>
      </c>
      <c r="FC60">
        <v>99.5</v>
      </c>
      <c r="FD60">
        <v>0</v>
      </c>
    </row>
    <row r="61" spans="1:160" x14ac:dyDescent="0.25">
      <c r="A61" s="1" t="str">
        <f t="shared" si="0"/>
        <v>024307011058</v>
      </c>
      <c r="B61" t="s">
        <v>1326</v>
      </c>
      <c r="C61" t="s">
        <v>1327</v>
      </c>
      <c r="D61" t="s">
        <v>1328</v>
      </c>
      <c r="E61" t="s">
        <v>278</v>
      </c>
      <c r="F61" t="s">
        <v>1329</v>
      </c>
      <c r="G61" t="s">
        <v>1330</v>
      </c>
      <c r="H61" t="s">
        <v>1331</v>
      </c>
      <c r="I61" t="s">
        <v>1332</v>
      </c>
      <c r="J61" t="s">
        <v>1333</v>
      </c>
      <c r="K61" t="s">
        <v>476</v>
      </c>
      <c r="L61"/>
      <c r="M61" t="s">
        <v>287</v>
      </c>
      <c r="N61" t="s">
        <v>288</v>
      </c>
      <c r="O61"/>
      <c r="P61" t="s">
        <v>289</v>
      </c>
      <c r="Q61"/>
      <c r="R61" t="s">
        <v>287</v>
      </c>
      <c r="S61" t="s">
        <v>287</v>
      </c>
      <c r="T61" t="s">
        <v>287</v>
      </c>
      <c r="U61"/>
      <c r="V61"/>
      <c r="W61"/>
      <c r="X61"/>
      <c r="Y61"/>
      <c r="Z61"/>
      <c r="AA61" t="s">
        <v>287</v>
      </c>
      <c r="AB61"/>
      <c r="AC61"/>
      <c r="AD61"/>
      <c r="AE61"/>
      <c r="AF61" t="s">
        <v>1334</v>
      </c>
      <c r="AG61" t="s">
        <v>1335</v>
      </c>
      <c r="AH61" t="s">
        <v>1336</v>
      </c>
      <c r="AI61" t="s">
        <v>1334</v>
      </c>
      <c r="AJ61" t="s">
        <v>1335</v>
      </c>
      <c r="AK61" t="s">
        <v>1336</v>
      </c>
      <c r="AL61" t="s">
        <v>1334</v>
      </c>
      <c r="AM61" t="s">
        <v>1335</v>
      </c>
      <c r="AN61" t="s">
        <v>1336</v>
      </c>
      <c r="AO61" t="s">
        <v>299</v>
      </c>
      <c r="AP61" t="s">
        <v>388</v>
      </c>
      <c r="AQ61" t="s">
        <v>612</v>
      </c>
      <c r="AR61" t="s">
        <v>1337</v>
      </c>
      <c r="AS61" t="s">
        <v>1338</v>
      </c>
      <c r="AT61" t="s">
        <v>405</v>
      </c>
      <c r="AU61" t="s">
        <v>354</v>
      </c>
      <c r="AV61"/>
      <c r="AW61" t="s">
        <v>562</v>
      </c>
      <c r="AX61" t="s">
        <v>563</v>
      </c>
      <c r="AY61"/>
      <c r="AZ61"/>
      <c r="BA61"/>
      <c r="BB61"/>
      <c r="BC61" t="s">
        <v>669</v>
      </c>
      <c r="BD61" t="s">
        <v>1339</v>
      </c>
      <c r="BE61" t="s">
        <v>1340</v>
      </c>
      <c r="BF61" t="s">
        <v>314</v>
      </c>
      <c r="BG61"/>
      <c r="BH61"/>
      <c r="BI61"/>
      <c r="BJ61"/>
      <c r="BK61"/>
      <c r="BL61"/>
      <c r="BM61" t="s">
        <v>354</v>
      </c>
      <c r="BN61" t="s">
        <v>354</v>
      </c>
      <c r="BO61"/>
      <c r="BP61"/>
      <c r="BQ61"/>
      <c r="BR61">
        <v>7.1</v>
      </c>
      <c r="BS61">
        <v>7.8</v>
      </c>
      <c r="BT61">
        <v>6.5</v>
      </c>
      <c r="BU61">
        <v>8.6</v>
      </c>
      <c r="BV61">
        <v>7.9</v>
      </c>
      <c r="BW61">
        <v>8.4</v>
      </c>
      <c r="BX61">
        <v>7.6</v>
      </c>
      <c r="BY61">
        <v>0</v>
      </c>
      <c r="BZ61">
        <v>0</v>
      </c>
      <c r="CA61">
        <v>6.5</v>
      </c>
      <c r="CB61">
        <v>7.1</v>
      </c>
      <c r="CC61">
        <v>0</v>
      </c>
      <c r="CD61">
        <v>0</v>
      </c>
      <c r="CE61">
        <v>0</v>
      </c>
      <c r="CF61">
        <v>0</v>
      </c>
      <c r="CG61">
        <v>0</v>
      </c>
      <c r="CH61">
        <v>0</v>
      </c>
      <c r="CI61">
        <v>0</v>
      </c>
      <c r="CJ61">
        <v>0</v>
      </c>
      <c r="CK61">
        <v>0</v>
      </c>
      <c r="CL61">
        <v>0</v>
      </c>
      <c r="CM61">
        <v>8</v>
      </c>
      <c r="CN61">
        <v>8</v>
      </c>
      <c r="CO61">
        <v>6</v>
      </c>
      <c r="CP61">
        <v>8</v>
      </c>
      <c r="CQ61">
        <v>7.5</v>
      </c>
      <c r="CR61">
        <v>7.3</v>
      </c>
      <c r="CS61">
        <v>8.1</v>
      </c>
      <c r="CT61">
        <v>0</v>
      </c>
      <c r="CU61">
        <v>0</v>
      </c>
      <c r="CV61">
        <v>6.9</v>
      </c>
      <c r="CW61">
        <v>7</v>
      </c>
      <c r="CX61">
        <v>0</v>
      </c>
      <c r="CY61">
        <v>0</v>
      </c>
      <c r="CZ61">
        <v>0</v>
      </c>
      <c r="DA61">
        <v>0</v>
      </c>
      <c r="DB61">
        <v>0</v>
      </c>
      <c r="DC61">
        <v>0</v>
      </c>
      <c r="DD61">
        <v>0</v>
      </c>
      <c r="DE61">
        <v>0</v>
      </c>
      <c r="DF61">
        <v>0</v>
      </c>
      <c r="DG61">
        <v>0</v>
      </c>
      <c r="DH61">
        <v>7.4</v>
      </c>
      <c r="DI61">
        <v>7.7</v>
      </c>
      <c r="DJ61">
        <v>6.2</v>
      </c>
      <c r="DK61">
        <v>8.6</v>
      </c>
      <c r="DL61">
        <v>8.3000000000000007</v>
      </c>
      <c r="DM61">
        <v>8.9</v>
      </c>
      <c r="DN61">
        <v>8.5</v>
      </c>
      <c r="DO61">
        <v>0</v>
      </c>
      <c r="DP61">
        <v>9</v>
      </c>
      <c r="DQ61">
        <v>7.7</v>
      </c>
      <c r="DR61">
        <v>7.9</v>
      </c>
      <c r="DS61">
        <v>0</v>
      </c>
      <c r="DT61">
        <v>0</v>
      </c>
      <c r="DU61">
        <v>0</v>
      </c>
      <c r="DV61">
        <v>0</v>
      </c>
      <c r="DW61">
        <v>0</v>
      </c>
      <c r="DX61">
        <v>0</v>
      </c>
      <c r="DY61">
        <v>0</v>
      </c>
      <c r="DZ61">
        <v>0</v>
      </c>
      <c r="EA61">
        <v>0</v>
      </c>
      <c r="EB61">
        <v>0</v>
      </c>
      <c r="EC61"/>
      <c r="ED61"/>
      <c r="EE61"/>
      <c r="EF61"/>
      <c r="EG61"/>
      <c r="EH61"/>
      <c r="EI61"/>
      <c r="EJ61"/>
      <c r="EK61"/>
      <c r="EL61"/>
      <c r="EM61"/>
      <c r="EN61"/>
      <c r="EO61"/>
      <c r="EP61"/>
      <c r="EQ61"/>
      <c r="ER61"/>
      <c r="ES61"/>
      <c r="ET61"/>
      <c r="EU61"/>
      <c r="EV61"/>
      <c r="EW61"/>
      <c r="EX61"/>
      <c r="EY61"/>
      <c r="EZ61"/>
      <c r="FA61"/>
      <c r="FB61"/>
      <c r="FC61"/>
      <c r="FD61"/>
    </row>
    <row r="62" spans="1:160" x14ac:dyDescent="0.25">
      <c r="A62" s="1" t="str">
        <f t="shared" si="0"/>
        <v>080308001683</v>
      </c>
      <c r="B62" t="s">
        <v>1341</v>
      </c>
      <c r="C62" t="s">
        <v>1342</v>
      </c>
      <c r="D62" t="s">
        <v>1343</v>
      </c>
      <c r="E62" t="s">
        <v>278</v>
      </c>
      <c r="F62" t="s">
        <v>1344</v>
      </c>
      <c r="G62" t="s">
        <v>1345</v>
      </c>
      <c r="H62" t="s">
        <v>1346</v>
      </c>
      <c r="I62" t="s">
        <v>93</v>
      </c>
      <c r="J62" t="s">
        <v>1347</v>
      </c>
      <c r="K62" t="s">
        <v>321</v>
      </c>
      <c r="L62"/>
      <c r="M62" t="s">
        <v>287</v>
      </c>
      <c r="N62" t="s">
        <v>288</v>
      </c>
      <c r="O62"/>
      <c r="P62" t="s">
        <v>289</v>
      </c>
      <c r="Q62" t="s">
        <v>1348</v>
      </c>
      <c r="R62" t="s">
        <v>287</v>
      </c>
      <c r="S62" t="s">
        <v>287</v>
      </c>
      <c r="T62" t="s">
        <v>287</v>
      </c>
      <c r="U62"/>
      <c r="V62"/>
      <c r="W62" t="s">
        <v>294</v>
      </c>
      <c r="X62" t="s">
        <v>1349</v>
      </c>
      <c r="Y62" t="s">
        <v>1350</v>
      </c>
      <c r="Z62" t="s">
        <v>1351</v>
      </c>
      <c r="AA62" t="s">
        <v>596</v>
      </c>
      <c r="AB62" t="s">
        <v>1352</v>
      </c>
      <c r="AC62" t="s">
        <v>598</v>
      </c>
      <c r="AD62" t="s">
        <v>1353</v>
      </c>
      <c r="AE62" t="s">
        <v>1354</v>
      </c>
      <c r="AF62" t="s">
        <v>576</v>
      </c>
      <c r="AG62" t="s">
        <v>1355</v>
      </c>
      <c r="AH62" t="s">
        <v>1356</v>
      </c>
      <c r="AI62" t="s">
        <v>576</v>
      </c>
      <c r="AJ62" t="s">
        <v>1355</v>
      </c>
      <c r="AK62" t="s">
        <v>1356</v>
      </c>
      <c r="AL62" t="s">
        <v>576</v>
      </c>
      <c r="AM62" t="s">
        <v>1355</v>
      </c>
      <c r="AN62" t="s">
        <v>1356</v>
      </c>
      <c r="AO62" t="s">
        <v>299</v>
      </c>
      <c r="AP62" t="s">
        <v>348</v>
      </c>
      <c r="AQ62" t="s">
        <v>1357</v>
      </c>
      <c r="AR62" t="s">
        <v>893</v>
      </c>
      <c r="AS62" t="s">
        <v>505</v>
      </c>
      <c r="AT62" t="s">
        <v>1358</v>
      </c>
      <c r="AU62" t="s">
        <v>305</v>
      </c>
      <c r="AV62"/>
      <c r="AW62" t="s">
        <v>308</v>
      </c>
      <c r="AX62" t="s">
        <v>309</v>
      </c>
      <c r="AY62" t="s">
        <v>330</v>
      </c>
      <c r="AZ62" t="s">
        <v>331</v>
      </c>
      <c r="BA62" t="s">
        <v>332</v>
      </c>
      <c r="BB62" t="s">
        <v>333</v>
      </c>
      <c r="BC62" t="s">
        <v>669</v>
      </c>
      <c r="BD62" t="s">
        <v>353</v>
      </c>
      <c r="BE62"/>
      <c r="BF62" t="s">
        <v>314</v>
      </c>
      <c r="BG62"/>
      <c r="BH62"/>
      <c r="BI62"/>
      <c r="BJ62"/>
      <c r="BK62"/>
      <c r="BL62"/>
      <c r="BM62" t="s">
        <v>305</v>
      </c>
      <c r="BN62" t="s">
        <v>354</v>
      </c>
      <c r="BO62" t="s">
        <v>1359</v>
      </c>
      <c r="BP62" t="s">
        <v>1360</v>
      </c>
      <c r="BQ62"/>
      <c r="BR62">
        <v>7.7</v>
      </c>
      <c r="BS62">
        <v>7.7</v>
      </c>
      <c r="BT62">
        <v>8.8000000000000007</v>
      </c>
      <c r="BU62">
        <v>9</v>
      </c>
      <c r="BV62">
        <v>9.1</v>
      </c>
      <c r="BW62">
        <v>0</v>
      </c>
      <c r="BX62">
        <v>0</v>
      </c>
      <c r="BY62">
        <v>9.1</v>
      </c>
      <c r="BZ62">
        <v>9.1999999999999993</v>
      </c>
      <c r="CA62">
        <v>9.1999999999999993</v>
      </c>
      <c r="CB62">
        <v>9.5</v>
      </c>
      <c r="CC62">
        <v>0</v>
      </c>
      <c r="CD62">
        <v>0</v>
      </c>
      <c r="CE62">
        <v>0</v>
      </c>
      <c r="CF62">
        <v>0</v>
      </c>
      <c r="CG62">
        <v>0</v>
      </c>
      <c r="CH62">
        <v>0</v>
      </c>
      <c r="CI62">
        <v>0</v>
      </c>
      <c r="CJ62">
        <v>0</v>
      </c>
      <c r="CK62">
        <v>0</v>
      </c>
      <c r="CL62">
        <v>0</v>
      </c>
      <c r="CM62">
        <v>7</v>
      </c>
      <c r="CN62">
        <v>7.5</v>
      </c>
      <c r="CO62">
        <v>9.3000000000000007</v>
      </c>
      <c r="CP62">
        <v>9.5</v>
      </c>
      <c r="CQ62">
        <v>9.3000000000000007</v>
      </c>
      <c r="CR62">
        <v>0</v>
      </c>
      <c r="CS62">
        <v>0</v>
      </c>
      <c r="CT62">
        <v>8</v>
      </c>
      <c r="CU62">
        <v>8.6999999999999993</v>
      </c>
      <c r="CV62">
        <v>8.6999999999999993</v>
      </c>
      <c r="CW62">
        <v>9.3000000000000007</v>
      </c>
      <c r="CX62">
        <v>0</v>
      </c>
      <c r="CY62">
        <v>0</v>
      </c>
      <c r="CZ62">
        <v>0</v>
      </c>
      <c r="DA62">
        <v>0</v>
      </c>
      <c r="DB62">
        <v>0</v>
      </c>
      <c r="DC62">
        <v>0</v>
      </c>
      <c r="DD62">
        <v>0</v>
      </c>
      <c r="DE62">
        <v>0</v>
      </c>
      <c r="DF62">
        <v>0</v>
      </c>
      <c r="DG62">
        <v>0</v>
      </c>
      <c r="DH62">
        <v>7.3</v>
      </c>
      <c r="DI62">
        <v>9</v>
      </c>
      <c r="DJ62">
        <v>9.4</v>
      </c>
      <c r="DK62">
        <v>9.6</v>
      </c>
      <c r="DL62">
        <v>9.9</v>
      </c>
      <c r="DM62">
        <v>0</v>
      </c>
      <c r="DN62">
        <v>0</v>
      </c>
      <c r="DO62">
        <v>7.4</v>
      </c>
      <c r="DP62">
        <v>9.1999999999999993</v>
      </c>
      <c r="DQ62">
        <v>8.9</v>
      </c>
      <c r="DR62">
        <v>9.3000000000000007</v>
      </c>
      <c r="DS62">
        <v>0</v>
      </c>
      <c r="DT62">
        <v>0</v>
      </c>
      <c r="DU62">
        <v>0</v>
      </c>
      <c r="DV62">
        <v>0</v>
      </c>
      <c r="DW62">
        <v>0</v>
      </c>
      <c r="DX62">
        <v>0</v>
      </c>
      <c r="DY62">
        <v>0</v>
      </c>
      <c r="DZ62">
        <v>0</v>
      </c>
      <c r="EA62">
        <v>0</v>
      </c>
      <c r="EB62">
        <v>0</v>
      </c>
      <c r="EC62">
        <v>7</v>
      </c>
      <c r="ED62">
        <v>7.75</v>
      </c>
      <c r="EE62">
        <v>5.25</v>
      </c>
      <c r="EF62"/>
      <c r="EG62"/>
      <c r="EH62"/>
      <c r="EI62"/>
      <c r="EJ62"/>
      <c r="EK62">
        <v>6.25</v>
      </c>
      <c r="EL62"/>
      <c r="EM62"/>
      <c r="EN62"/>
      <c r="EO62"/>
      <c r="EP62"/>
      <c r="EQ62"/>
      <c r="ER62"/>
      <c r="ES62"/>
      <c r="ET62"/>
      <c r="EU62"/>
      <c r="EV62"/>
      <c r="EW62"/>
      <c r="EX62"/>
      <c r="EY62"/>
      <c r="EZ62"/>
      <c r="FA62"/>
      <c r="FB62"/>
      <c r="FC62"/>
      <c r="FD62"/>
    </row>
    <row r="63" spans="1:160" x14ac:dyDescent="0.25">
      <c r="A63" s="1" t="str">
        <f t="shared" si="0"/>
        <v>080308013680</v>
      </c>
      <c r="B63" t="s">
        <v>1361</v>
      </c>
      <c r="C63" t="s">
        <v>1362</v>
      </c>
      <c r="D63" t="s">
        <v>1363</v>
      </c>
      <c r="E63" t="s">
        <v>278</v>
      </c>
      <c r="F63" t="s">
        <v>1364</v>
      </c>
      <c r="G63" t="s">
        <v>1365</v>
      </c>
      <c r="H63" t="s">
        <v>1366</v>
      </c>
      <c r="I63" t="s">
        <v>90</v>
      </c>
      <c r="J63" t="s">
        <v>1367</v>
      </c>
      <c r="K63" t="s">
        <v>321</v>
      </c>
      <c r="L63"/>
      <c r="M63" t="s">
        <v>287</v>
      </c>
      <c r="N63" t="s">
        <v>288</v>
      </c>
      <c r="O63"/>
      <c r="P63" t="s">
        <v>289</v>
      </c>
      <c r="Q63" t="s">
        <v>1368</v>
      </c>
      <c r="R63" t="s">
        <v>287</v>
      </c>
      <c r="S63" t="s">
        <v>287</v>
      </c>
      <c r="T63" t="s">
        <v>287</v>
      </c>
      <c r="U63" t="s">
        <v>1369</v>
      </c>
      <c r="V63" t="s">
        <v>1370</v>
      </c>
      <c r="W63" t="s">
        <v>1371</v>
      </c>
      <c r="X63" t="s">
        <v>1372</v>
      </c>
      <c r="Y63" t="s">
        <v>1373</v>
      </c>
      <c r="Z63" t="s">
        <v>1374</v>
      </c>
      <c r="AA63" t="s">
        <v>287</v>
      </c>
      <c r="AB63"/>
      <c r="AC63"/>
      <c r="AD63"/>
      <c r="AE63"/>
      <c r="AF63" t="s">
        <v>576</v>
      </c>
      <c r="AG63" t="s">
        <v>1355</v>
      </c>
      <c r="AH63" t="s">
        <v>1356</v>
      </c>
      <c r="AI63" t="s">
        <v>576</v>
      </c>
      <c r="AJ63" t="s">
        <v>1355</v>
      </c>
      <c r="AK63" t="s">
        <v>1356</v>
      </c>
      <c r="AL63" t="s">
        <v>576</v>
      </c>
      <c r="AM63" t="s">
        <v>1355</v>
      </c>
      <c r="AN63" t="s">
        <v>1356</v>
      </c>
      <c r="AO63" t="s">
        <v>299</v>
      </c>
      <c r="AP63" t="s">
        <v>348</v>
      </c>
      <c r="AQ63" t="s">
        <v>579</v>
      </c>
      <c r="AR63" t="s">
        <v>1375</v>
      </c>
      <c r="AS63" t="s">
        <v>1375</v>
      </c>
      <c r="AT63" t="s">
        <v>1357</v>
      </c>
      <c r="AU63" t="s">
        <v>305</v>
      </c>
      <c r="AV63"/>
      <c r="AW63" t="s">
        <v>349</v>
      </c>
      <c r="AX63" t="s">
        <v>350</v>
      </c>
      <c r="AY63" t="s">
        <v>610</v>
      </c>
      <c r="AZ63" t="s">
        <v>611</v>
      </c>
      <c r="BA63" t="s">
        <v>330</v>
      </c>
      <c r="BB63" t="s">
        <v>331</v>
      </c>
      <c r="BC63" t="s">
        <v>669</v>
      </c>
      <c r="BD63" t="s">
        <v>353</v>
      </c>
      <c r="BE63"/>
      <c r="BF63" t="s">
        <v>314</v>
      </c>
      <c r="BG63"/>
      <c r="BH63"/>
      <c r="BI63"/>
      <c r="BJ63"/>
      <c r="BK63"/>
      <c r="BL63"/>
      <c r="BM63" t="s">
        <v>305</v>
      </c>
      <c r="BN63" t="s">
        <v>354</v>
      </c>
      <c r="BO63" t="s">
        <v>1376</v>
      </c>
      <c r="BP63" t="s">
        <v>1377</v>
      </c>
      <c r="BQ63"/>
      <c r="BR63">
        <v>7.4</v>
      </c>
      <c r="BS63">
        <v>7</v>
      </c>
      <c r="BT63">
        <v>8.1999999999999993</v>
      </c>
      <c r="BU63">
        <v>8.9</v>
      </c>
      <c r="BV63">
        <v>9.5</v>
      </c>
      <c r="BW63">
        <v>0</v>
      </c>
      <c r="BX63">
        <v>0</v>
      </c>
      <c r="BY63">
        <v>8.4</v>
      </c>
      <c r="BZ63">
        <v>8.6</v>
      </c>
      <c r="CA63">
        <v>8.5</v>
      </c>
      <c r="CB63">
        <v>9.3000000000000007</v>
      </c>
      <c r="CC63">
        <v>0</v>
      </c>
      <c r="CD63">
        <v>0</v>
      </c>
      <c r="CE63">
        <v>0</v>
      </c>
      <c r="CF63">
        <v>0</v>
      </c>
      <c r="CG63">
        <v>0</v>
      </c>
      <c r="CH63">
        <v>0</v>
      </c>
      <c r="CI63">
        <v>0</v>
      </c>
      <c r="CJ63">
        <v>0</v>
      </c>
      <c r="CK63">
        <v>0</v>
      </c>
      <c r="CL63">
        <v>0</v>
      </c>
      <c r="CM63">
        <v>7.1</v>
      </c>
      <c r="CN63">
        <v>7.2</v>
      </c>
      <c r="CO63">
        <v>8.6</v>
      </c>
      <c r="CP63">
        <v>9.6</v>
      </c>
      <c r="CQ63">
        <v>9.1</v>
      </c>
      <c r="CR63">
        <v>0</v>
      </c>
      <c r="CS63">
        <v>0</v>
      </c>
      <c r="CT63">
        <v>7.9</v>
      </c>
      <c r="CU63">
        <v>8.5</v>
      </c>
      <c r="CV63">
        <v>8.4</v>
      </c>
      <c r="CW63">
        <v>9.4</v>
      </c>
      <c r="CX63">
        <v>0</v>
      </c>
      <c r="CY63">
        <v>0</v>
      </c>
      <c r="CZ63">
        <v>0</v>
      </c>
      <c r="DA63">
        <v>0</v>
      </c>
      <c r="DB63">
        <v>0</v>
      </c>
      <c r="DC63">
        <v>0</v>
      </c>
      <c r="DD63">
        <v>0</v>
      </c>
      <c r="DE63">
        <v>0</v>
      </c>
      <c r="DF63">
        <v>0</v>
      </c>
      <c r="DG63">
        <v>0</v>
      </c>
      <c r="DH63">
        <v>8.3000000000000007</v>
      </c>
      <c r="DI63">
        <v>8.4</v>
      </c>
      <c r="DJ63">
        <v>8.8000000000000007</v>
      </c>
      <c r="DK63">
        <v>9.6999999999999993</v>
      </c>
      <c r="DL63">
        <v>9.6</v>
      </c>
      <c r="DM63">
        <v>0</v>
      </c>
      <c r="DN63">
        <v>0</v>
      </c>
      <c r="DO63">
        <v>7.7</v>
      </c>
      <c r="DP63">
        <v>8.5</v>
      </c>
      <c r="DQ63">
        <v>8.6999999999999993</v>
      </c>
      <c r="DR63">
        <v>9.3000000000000007</v>
      </c>
      <c r="DS63">
        <v>0</v>
      </c>
      <c r="DT63">
        <v>0</v>
      </c>
      <c r="DU63">
        <v>0</v>
      </c>
      <c r="DV63">
        <v>0</v>
      </c>
      <c r="DW63">
        <v>0</v>
      </c>
      <c r="DX63">
        <v>0</v>
      </c>
      <c r="DY63">
        <v>0</v>
      </c>
      <c r="DZ63">
        <v>0</v>
      </c>
      <c r="EA63">
        <v>0</v>
      </c>
      <c r="EB63">
        <v>0</v>
      </c>
      <c r="EC63">
        <v>7.5</v>
      </c>
      <c r="ED63">
        <v>6.5</v>
      </c>
      <c r="EE63">
        <v>5.75</v>
      </c>
      <c r="EF63"/>
      <c r="EG63"/>
      <c r="EH63"/>
      <c r="EI63"/>
      <c r="EJ63"/>
      <c r="EK63">
        <v>6.25</v>
      </c>
      <c r="EL63"/>
      <c r="EM63"/>
      <c r="EN63"/>
      <c r="EO63"/>
      <c r="EP63"/>
      <c r="EQ63"/>
      <c r="ER63"/>
      <c r="ES63"/>
      <c r="ET63"/>
      <c r="EU63"/>
      <c r="EV63"/>
      <c r="EW63"/>
      <c r="EX63"/>
      <c r="EY63"/>
      <c r="EZ63"/>
      <c r="FA63"/>
      <c r="FB63"/>
      <c r="FC63"/>
      <c r="FD63"/>
    </row>
    <row r="64" spans="1:160" x14ac:dyDescent="0.25">
      <c r="A64" s="1" t="str">
        <f t="shared" si="0"/>
        <v>086308000805</v>
      </c>
      <c r="B64" t="s">
        <v>2921</v>
      </c>
      <c r="C64" t="s">
        <v>2189</v>
      </c>
      <c r="D64" t="s">
        <v>1378</v>
      </c>
      <c r="E64" t="s">
        <v>278</v>
      </c>
      <c r="F64" t="s">
        <v>1379</v>
      </c>
      <c r="G64" t="s">
        <v>1380</v>
      </c>
      <c r="H64" t="s">
        <v>1381</v>
      </c>
      <c r="I64" t="s">
        <v>1382</v>
      </c>
      <c r="J64" t="s">
        <v>1383</v>
      </c>
      <c r="K64" t="s">
        <v>321</v>
      </c>
      <c r="L64"/>
      <c r="M64" t="s">
        <v>287</v>
      </c>
      <c r="N64" t="s">
        <v>288</v>
      </c>
      <c r="O64"/>
      <c r="P64" t="s">
        <v>289</v>
      </c>
      <c r="Q64" t="s">
        <v>1384</v>
      </c>
      <c r="R64" t="s">
        <v>287</v>
      </c>
      <c r="S64" t="s">
        <v>287</v>
      </c>
      <c r="T64" t="s">
        <v>287</v>
      </c>
      <c r="U64"/>
      <c r="V64"/>
      <c r="W64"/>
      <c r="X64"/>
      <c r="Y64"/>
      <c r="Z64"/>
      <c r="AA64" t="s">
        <v>287</v>
      </c>
      <c r="AB64"/>
      <c r="AC64"/>
      <c r="AD64"/>
      <c r="AE64"/>
      <c r="AF64" t="s">
        <v>421</v>
      </c>
      <c r="AG64" t="s">
        <v>1385</v>
      </c>
      <c r="AH64" t="s">
        <v>1386</v>
      </c>
      <c r="AI64" t="s">
        <v>421</v>
      </c>
      <c r="AJ64" t="s">
        <v>1385</v>
      </c>
      <c r="AK64" t="s">
        <v>1386</v>
      </c>
      <c r="AL64" t="s">
        <v>421</v>
      </c>
      <c r="AM64" t="s">
        <v>1385</v>
      </c>
      <c r="AN64" t="s">
        <v>1386</v>
      </c>
      <c r="AO64" t="s">
        <v>299</v>
      </c>
      <c r="AP64" t="s">
        <v>348</v>
      </c>
      <c r="AQ64" t="s">
        <v>691</v>
      </c>
      <c r="AR64" t="s">
        <v>1387</v>
      </c>
      <c r="AS64" t="s">
        <v>1388</v>
      </c>
      <c r="AT64" t="s">
        <v>1180</v>
      </c>
      <c r="AU64" t="s">
        <v>354</v>
      </c>
      <c r="AV64"/>
      <c r="AW64" t="s">
        <v>310</v>
      </c>
      <c r="AX64" t="s">
        <v>311</v>
      </c>
      <c r="AY64" t="s">
        <v>330</v>
      </c>
      <c r="AZ64" t="s">
        <v>331</v>
      </c>
      <c r="BA64" t="s">
        <v>351</v>
      </c>
      <c r="BB64" t="s">
        <v>352</v>
      </c>
      <c r="BC64" t="s">
        <v>312</v>
      </c>
      <c r="BD64" t="s">
        <v>353</v>
      </c>
      <c r="BE64" t="s">
        <v>2922</v>
      </c>
      <c r="BF64" t="s">
        <v>314</v>
      </c>
      <c r="BG64"/>
      <c r="BH64"/>
      <c r="BI64"/>
      <c r="BJ64"/>
      <c r="BK64"/>
      <c r="BL64"/>
      <c r="BM64" t="s">
        <v>305</v>
      </c>
      <c r="BN64" t="s">
        <v>354</v>
      </c>
      <c r="BO64" t="s">
        <v>1389</v>
      </c>
      <c r="BP64"/>
      <c r="BQ64"/>
      <c r="BR64">
        <v>6.2</v>
      </c>
      <c r="BS64">
        <v>7.1</v>
      </c>
      <c r="BT64">
        <v>6.7</v>
      </c>
      <c r="BU64">
        <v>8.1999999999999993</v>
      </c>
      <c r="BV64">
        <v>7.6</v>
      </c>
      <c r="BW64">
        <v>0</v>
      </c>
      <c r="BX64">
        <v>0</v>
      </c>
      <c r="BY64">
        <v>7.2</v>
      </c>
      <c r="BZ64">
        <v>7.1</v>
      </c>
      <c r="CA64">
        <v>8</v>
      </c>
      <c r="CB64">
        <v>0</v>
      </c>
      <c r="CC64">
        <v>7.3</v>
      </c>
      <c r="CD64">
        <v>0</v>
      </c>
      <c r="CE64">
        <v>0</v>
      </c>
      <c r="CF64">
        <v>0</v>
      </c>
      <c r="CG64">
        <v>0</v>
      </c>
      <c r="CH64">
        <v>0</v>
      </c>
      <c r="CI64">
        <v>0</v>
      </c>
      <c r="CJ64">
        <v>0</v>
      </c>
      <c r="CK64">
        <v>0</v>
      </c>
      <c r="CL64">
        <v>0</v>
      </c>
      <c r="CM64">
        <v>7.4</v>
      </c>
      <c r="CN64">
        <v>6.6</v>
      </c>
      <c r="CO64">
        <v>6.9</v>
      </c>
      <c r="CP64">
        <v>8</v>
      </c>
      <c r="CQ64">
        <v>7.5</v>
      </c>
      <c r="CR64">
        <v>0</v>
      </c>
      <c r="CS64">
        <v>0</v>
      </c>
      <c r="CT64">
        <v>6.8</v>
      </c>
      <c r="CU64">
        <v>7.2</v>
      </c>
      <c r="CV64">
        <v>7.6</v>
      </c>
      <c r="CW64">
        <v>0</v>
      </c>
      <c r="CX64">
        <v>8.1999999999999993</v>
      </c>
      <c r="CY64">
        <v>0</v>
      </c>
      <c r="CZ64">
        <v>0</v>
      </c>
      <c r="DA64">
        <v>0</v>
      </c>
      <c r="DB64">
        <v>0</v>
      </c>
      <c r="DC64">
        <v>0</v>
      </c>
      <c r="DD64">
        <v>0</v>
      </c>
      <c r="DE64">
        <v>0</v>
      </c>
      <c r="DF64">
        <v>0</v>
      </c>
      <c r="DG64">
        <v>0</v>
      </c>
      <c r="DH64">
        <v>8.8000000000000007</v>
      </c>
      <c r="DI64">
        <v>8.1</v>
      </c>
      <c r="DJ64">
        <v>7.2</v>
      </c>
      <c r="DK64">
        <v>8.9</v>
      </c>
      <c r="DL64">
        <v>8.5</v>
      </c>
      <c r="DM64">
        <v>0</v>
      </c>
      <c r="DN64">
        <v>0</v>
      </c>
      <c r="DO64">
        <v>8.9</v>
      </c>
      <c r="DP64">
        <v>7.6</v>
      </c>
      <c r="DQ64">
        <v>8.8000000000000007</v>
      </c>
      <c r="DR64">
        <v>0</v>
      </c>
      <c r="DS64">
        <v>8.8000000000000007</v>
      </c>
      <c r="DT64">
        <v>0</v>
      </c>
      <c r="DU64">
        <v>0</v>
      </c>
      <c r="DV64">
        <v>0</v>
      </c>
      <c r="DW64">
        <v>0</v>
      </c>
      <c r="DX64">
        <v>0</v>
      </c>
      <c r="DY64">
        <v>0</v>
      </c>
      <c r="DZ64">
        <v>0</v>
      </c>
      <c r="EA64">
        <v>0</v>
      </c>
      <c r="EB64">
        <v>0</v>
      </c>
      <c r="EC64">
        <v>3.5</v>
      </c>
      <c r="ED64">
        <v>5.25</v>
      </c>
      <c r="EE64"/>
      <c r="EF64"/>
      <c r="EG64">
        <v>6.5</v>
      </c>
      <c r="EH64"/>
      <c r="EI64"/>
      <c r="EJ64">
        <v>3.5</v>
      </c>
      <c r="EK64"/>
      <c r="EL64"/>
      <c r="EM64"/>
      <c r="EN64"/>
      <c r="EO64"/>
      <c r="EP64"/>
      <c r="EQ64"/>
      <c r="ER64"/>
      <c r="ES64"/>
      <c r="ET64"/>
      <c r="EU64"/>
      <c r="EV64"/>
      <c r="EW64"/>
      <c r="EX64"/>
      <c r="EY64"/>
      <c r="EZ64"/>
      <c r="FA64"/>
      <c r="FB64">
        <v>67.5</v>
      </c>
      <c r="FC64"/>
      <c r="FD64"/>
    </row>
    <row r="65" spans="1:160" x14ac:dyDescent="0.25">
      <c r="A65" s="1" t="str">
        <f t="shared" si="0"/>
        <v>083208000690</v>
      </c>
      <c r="B65" t="s">
        <v>1390</v>
      </c>
      <c r="C65" t="s">
        <v>1391</v>
      </c>
      <c r="D65" t="s">
        <v>1392</v>
      </c>
      <c r="E65" t="s">
        <v>280</v>
      </c>
      <c r="F65" t="s">
        <v>1393</v>
      </c>
      <c r="G65" t="s">
        <v>1394</v>
      </c>
      <c r="H65" t="s">
        <v>1395</v>
      </c>
      <c r="I65" t="s">
        <v>82</v>
      </c>
      <c r="J65" t="s">
        <v>1396</v>
      </c>
      <c r="K65" t="s">
        <v>321</v>
      </c>
      <c r="L65"/>
      <c r="M65" t="s">
        <v>287</v>
      </c>
      <c r="N65" t="s">
        <v>288</v>
      </c>
      <c r="O65"/>
      <c r="P65" t="s">
        <v>289</v>
      </c>
      <c r="Q65" t="s">
        <v>1397</v>
      </c>
      <c r="R65" t="s">
        <v>287</v>
      </c>
      <c r="S65" t="s">
        <v>287</v>
      </c>
      <c r="T65" t="s">
        <v>287</v>
      </c>
      <c r="U65" t="s">
        <v>1398</v>
      </c>
      <c r="V65" t="s">
        <v>1399</v>
      </c>
      <c r="W65" t="s">
        <v>1400</v>
      </c>
      <c r="X65" t="s">
        <v>1401</v>
      </c>
      <c r="Y65" t="s">
        <v>1402</v>
      </c>
      <c r="Z65" t="s">
        <v>1371</v>
      </c>
      <c r="AA65" t="s">
        <v>287</v>
      </c>
      <c r="AB65"/>
      <c r="AC65"/>
      <c r="AD65"/>
      <c r="AE65"/>
      <c r="AF65" t="s">
        <v>421</v>
      </c>
      <c r="AG65" t="s">
        <v>1403</v>
      </c>
      <c r="AH65" t="s">
        <v>1404</v>
      </c>
      <c r="AI65" t="s">
        <v>421</v>
      </c>
      <c r="AJ65" t="s">
        <v>1403</v>
      </c>
      <c r="AK65" t="s">
        <v>1404</v>
      </c>
      <c r="AL65" t="s">
        <v>421</v>
      </c>
      <c r="AM65" t="s">
        <v>1405</v>
      </c>
      <c r="AN65" t="s">
        <v>1406</v>
      </c>
      <c r="AO65" t="s">
        <v>299</v>
      </c>
      <c r="AP65" t="s">
        <v>348</v>
      </c>
      <c r="AQ65" t="s">
        <v>1407</v>
      </c>
      <c r="AR65" t="s">
        <v>1285</v>
      </c>
      <c r="AS65" t="s">
        <v>949</v>
      </c>
      <c r="AT65" t="s">
        <v>1408</v>
      </c>
      <c r="AU65" t="s">
        <v>305</v>
      </c>
      <c r="AV65"/>
      <c r="AW65" t="s">
        <v>349</v>
      </c>
      <c r="AX65" t="s">
        <v>350</v>
      </c>
      <c r="AY65" t="s">
        <v>610</v>
      </c>
      <c r="AZ65" t="s">
        <v>611</v>
      </c>
      <c r="BA65" t="s">
        <v>332</v>
      </c>
      <c r="BB65" t="s">
        <v>333</v>
      </c>
      <c r="BC65" t="s">
        <v>669</v>
      </c>
      <c r="BD65" t="s">
        <v>353</v>
      </c>
      <c r="BE65"/>
      <c r="BF65" t="s">
        <v>314</v>
      </c>
      <c r="BG65"/>
      <c r="BH65"/>
      <c r="BI65"/>
      <c r="BJ65"/>
      <c r="BK65"/>
      <c r="BL65"/>
      <c r="BM65" t="s">
        <v>305</v>
      </c>
      <c r="BN65" t="s">
        <v>354</v>
      </c>
      <c r="BO65" t="s">
        <v>1409</v>
      </c>
      <c r="BP65" t="s">
        <v>1410</v>
      </c>
      <c r="BQ65"/>
      <c r="BR65">
        <v>9.8000000000000007</v>
      </c>
      <c r="BS65">
        <v>9.4</v>
      </c>
      <c r="BT65">
        <v>8.6</v>
      </c>
      <c r="BU65">
        <v>8.6999999999999993</v>
      </c>
      <c r="BV65">
        <v>9.8000000000000007</v>
      </c>
      <c r="BW65">
        <v>9.3000000000000007</v>
      </c>
      <c r="BX65">
        <v>9.3000000000000007</v>
      </c>
      <c r="BY65">
        <v>9</v>
      </c>
      <c r="BZ65">
        <v>0</v>
      </c>
      <c r="CA65">
        <v>0</v>
      </c>
      <c r="CB65">
        <v>0</v>
      </c>
      <c r="CC65">
        <v>9.6999999999999993</v>
      </c>
      <c r="CD65">
        <v>0</v>
      </c>
      <c r="CE65">
        <v>0</v>
      </c>
      <c r="CF65">
        <v>0</v>
      </c>
      <c r="CG65">
        <v>0</v>
      </c>
      <c r="CH65">
        <v>0</v>
      </c>
      <c r="CI65">
        <v>0</v>
      </c>
      <c r="CJ65">
        <v>0</v>
      </c>
      <c r="CK65">
        <v>0</v>
      </c>
      <c r="CL65">
        <v>0</v>
      </c>
      <c r="CM65">
        <v>9.1999999999999993</v>
      </c>
      <c r="CN65">
        <v>8.9</v>
      </c>
      <c r="CO65">
        <v>8.4</v>
      </c>
      <c r="CP65">
        <v>9.1999999999999993</v>
      </c>
      <c r="CQ65">
        <v>9.6</v>
      </c>
      <c r="CR65">
        <v>9.3000000000000007</v>
      </c>
      <c r="CS65">
        <v>9.1</v>
      </c>
      <c r="CT65">
        <v>9.3000000000000007</v>
      </c>
      <c r="CU65">
        <v>0</v>
      </c>
      <c r="CV65">
        <v>0</v>
      </c>
      <c r="CW65">
        <v>0</v>
      </c>
      <c r="CX65">
        <v>9.3000000000000007</v>
      </c>
      <c r="CY65">
        <v>0</v>
      </c>
      <c r="CZ65">
        <v>0</v>
      </c>
      <c r="DA65">
        <v>0</v>
      </c>
      <c r="DB65">
        <v>0</v>
      </c>
      <c r="DC65">
        <v>0</v>
      </c>
      <c r="DD65">
        <v>0</v>
      </c>
      <c r="DE65">
        <v>0</v>
      </c>
      <c r="DF65">
        <v>0</v>
      </c>
      <c r="DG65">
        <v>0</v>
      </c>
      <c r="DH65">
        <v>9.3000000000000007</v>
      </c>
      <c r="DI65">
        <v>9.5</v>
      </c>
      <c r="DJ65">
        <v>8.9</v>
      </c>
      <c r="DK65">
        <v>9</v>
      </c>
      <c r="DL65">
        <v>9.6</v>
      </c>
      <c r="DM65">
        <v>9.1</v>
      </c>
      <c r="DN65">
        <v>9.3000000000000007</v>
      </c>
      <c r="DO65">
        <v>9.3000000000000007</v>
      </c>
      <c r="DP65">
        <v>0</v>
      </c>
      <c r="DQ65">
        <v>0</v>
      </c>
      <c r="DR65">
        <v>0</v>
      </c>
      <c r="DS65">
        <v>9.8000000000000007</v>
      </c>
      <c r="DT65">
        <v>0</v>
      </c>
      <c r="DU65">
        <v>0</v>
      </c>
      <c r="DV65">
        <v>0</v>
      </c>
      <c r="DW65">
        <v>0</v>
      </c>
      <c r="DX65">
        <v>0</v>
      </c>
      <c r="DY65">
        <v>0</v>
      </c>
      <c r="DZ65">
        <v>0</v>
      </c>
      <c r="EA65">
        <v>0</v>
      </c>
      <c r="EB65">
        <v>0</v>
      </c>
      <c r="EC65">
        <v>9</v>
      </c>
      <c r="ED65">
        <v>6.75</v>
      </c>
      <c r="EE65">
        <v>3.5</v>
      </c>
      <c r="EF65"/>
      <c r="EG65"/>
      <c r="EH65"/>
      <c r="EI65">
        <v>5.75</v>
      </c>
      <c r="EJ65"/>
      <c r="EK65"/>
      <c r="EL65"/>
      <c r="EM65"/>
      <c r="EN65"/>
      <c r="EO65"/>
      <c r="EP65"/>
      <c r="EQ65"/>
      <c r="ER65"/>
      <c r="ES65"/>
      <c r="ET65"/>
      <c r="EU65"/>
      <c r="EV65"/>
      <c r="EW65"/>
      <c r="EX65"/>
      <c r="EY65"/>
      <c r="EZ65"/>
      <c r="FA65"/>
      <c r="FB65"/>
      <c r="FC65"/>
      <c r="FD65"/>
    </row>
    <row r="66" spans="1:160" x14ac:dyDescent="0.25">
      <c r="A66" s="1" t="str">
        <f t="shared" si="0"/>
        <v>077208001964</v>
      </c>
      <c r="B66" t="s">
        <v>1411</v>
      </c>
      <c r="C66" t="s">
        <v>1412</v>
      </c>
      <c r="D66" t="s">
        <v>1413</v>
      </c>
      <c r="E66" t="s">
        <v>280</v>
      </c>
      <c r="F66" t="s">
        <v>1414</v>
      </c>
      <c r="G66" t="s">
        <v>1415</v>
      </c>
      <c r="H66" t="s">
        <v>1416</v>
      </c>
      <c r="I66" t="s">
        <v>99</v>
      </c>
      <c r="J66" t="s">
        <v>1417</v>
      </c>
      <c r="K66" t="s">
        <v>321</v>
      </c>
      <c r="L66"/>
      <c r="M66" t="s">
        <v>287</v>
      </c>
      <c r="N66" t="s">
        <v>288</v>
      </c>
      <c r="O66"/>
      <c r="P66" t="s">
        <v>289</v>
      </c>
      <c r="Q66" t="s">
        <v>1418</v>
      </c>
      <c r="R66" t="s">
        <v>287</v>
      </c>
      <c r="S66" t="s">
        <v>287</v>
      </c>
      <c r="T66" t="s">
        <v>287</v>
      </c>
      <c r="U66" t="s">
        <v>1419</v>
      </c>
      <c r="V66" t="s">
        <v>1420</v>
      </c>
      <c r="W66" t="s">
        <v>1421</v>
      </c>
      <c r="X66" t="s">
        <v>1422</v>
      </c>
      <c r="Y66" t="s">
        <v>1423</v>
      </c>
      <c r="Z66" t="s">
        <v>1424</v>
      </c>
      <c r="AA66" t="s">
        <v>287</v>
      </c>
      <c r="AB66"/>
      <c r="AC66"/>
      <c r="AD66"/>
      <c r="AE66"/>
      <c r="AF66" t="s">
        <v>706</v>
      </c>
      <c r="AG66" t="s">
        <v>707</v>
      </c>
      <c r="AH66" t="s">
        <v>708</v>
      </c>
      <c r="AI66" t="s">
        <v>706</v>
      </c>
      <c r="AJ66" t="s">
        <v>707</v>
      </c>
      <c r="AK66" t="s">
        <v>708</v>
      </c>
      <c r="AL66" t="s">
        <v>706</v>
      </c>
      <c r="AM66" t="s">
        <v>707</v>
      </c>
      <c r="AN66" t="s">
        <v>708</v>
      </c>
      <c r="AO66" t="s">
        <v>299</v>
      </c>
      <c r="AP66" t="s">
        <v>603</v>
      </c>
      <c r="AQ66" t="s">
        <v>1307</v>
      </c>
      <c r="AR66" t="s">
        <v>779</v>
      </c>
      <c r="AS66" t="s">
        <v>328</v>
      </c>
      <c r="AT66" t="s">
        <v>1375</v>
      </c>
      <c r="AU66" t="s">
        <v>305</v>
      </c>
      <c r="AV66"/>
      <c r="AW66" t="s">
        <v>372</v>
      </c>
      <c r="AX66" t="s">
        <v>373</v>
      </c>
      <c r="AY66" t="s">
        <v>332</v>
      </c>
      <c r="AZ66" t="s">
        <v>333</v>
      </c>
      <c r="BA66"/>
      <c r="BB66"/>
      <c r="BC66" t="s">
        <v>669</v>
      </c>
      <c r="BD66" t="s">
        <v>353</v>
      </c>
      <c r="BE66"/>
      <c r="BF66" t="s">
        <v>314</v>
      </c>
      <c r="BG66"/>
      <c r="BH66"/>
      <c r="BI66"/>
      <c r="BJ66"/>
      <c r="BK66"/>
      <c r="BL66"/>
      <c r="BM66" t="s">
        <v>305</v>
      </c>
      <c r="BN66" t="s">
        <v>354</v>
      </c>
      <c r="BO66" t="s">
        <v>1425</v>
      </c>
      <c r="BP66" t="s">
        <v>1426</v>
      </c>
      <c r="BQ66"/>
      <c r="BR66">
        <v>8.6</v>
      </c>
      <c r="BS66">
        <v>6.8</v>
      </c>
      <c r="BT66">
        <v>9.1999999999999993</v>
      </c>
      <c r="BU66">
        <v>9.1999999999999993</v>
      </c>
      <c r="BV66">
        <v>8.4</v>
      </c>
      <c r="BW66">
        <v>0</v>
      </c>
      <c r="BX66">
        <v>0</v>
      </c>
      <c r="BY66">
        <v>9.5</v>
      </c>
      <c r="BZ66">
        <v>7.9</v>
      </c>
      <c r="CA66">
        <v>8.1999999999999993</v>
      </c>
      <c r="CB66">
        <v>0</v>
      </c>
      <c r="CC66">
        <v>8.4</v>
      </c>
      <c r="CD66">
        <v>0</v>
      </c>
      <c r="CE66">
        <v>0</v>
      </c>
      <c r="CF66">
        <v>0</v>
      </c>
      <c r="CG66">
        <v>0</v>
      </c>
      <c r="CH66">
        <v>0</v>
      </c>
      <c r="CI66">
        <v>0</v>
      </c>
      <c r="CJ66">
        <v>0</v>
      </c>
      <c r="CK66">
        <v>0</v>
      </c>
      <c r="CL66">
        <v>0</v>
      </c>
      <c r="CM66">
        <v>8.6999999999999993</v>
      </c>
      <c r="CN66">
        <v>6.8</v>
      </c>
      <c r="CO66">
        <v>9.4</v>
      </c>
      <c r="CP66">
        <v>9</v>
      </c>
      <c r="CQ66">
        <v>8.6</v>
      </c>
      <c r="CR66">
        <v>0</v>
      </c>
      <c r="CS66">
        <v>0</v>
      </c>
      <c r="CT66">
        <v>9</v>
      </c>
      <c r="CU66">
        <v>8.8000000000000007</v>
      </c>
      <c r="CV66">
        <v>9.1</v>
      </c>
      <c r="CW66">
        <v>0</v>
      </c>
      <c r="CX66">
        <v>9.1999999999999993</v>
      </c>
      <c r="CY66">
        <v>0</v>
      </c>
      <c r="CZ66">
        <v>0</v>
      </c>
      <c r="DA66">
        <v>0</v>
      </c>
      <c r="DB66">
        <v>0</v>
      </c>
      <c r="DC66">
        <v>0</v>
      </c>
      <c r="DD66">
        <v>0</v>
      </c>
      <c r="DE66">
        <v>0</v>
      </c>
      <c r="DF66">
        <v>0</v>
      </c>
      <c r="DG66">
        <v>0</v>
      </c>
      <c r="DH66">
        <v>9.1999999999999993</v>
      </c>
      <c r="DI66">
        <v>7</v>
      </c>
      <c r="DJ66">
        <v>9.1</v>
      </c>
      <c r="DK66">
        <v>9.1999999999999993</v>
      </c>
      <c r="DL66">
        <v>8.4</v>
      </c>
      <c r="DM66">
        <v>0</v>
      </c>
      <c r="DN66">
        <v>0</v>
      </c>
      <c r="DO66">
        <v>8.8000000000000007</v>
      </c>
      <c r="DP66">
        <v>7</v>
      </c>
      <c r="DQ66">
        <v>8</v>
      </c>
      <c r="DR66">
        <v>0</v>
      </c>
      <c r="DS66">
        <v>9.1</v>
      </c>
      <c r="DT66">
        <v>0</v>
      </c>
      <c r="DU66">
        <v>0</v>
      </c>
      <c r="DV66">
        <v>0</v>
      </c>
      <c r="DW66">
        <v>0</v>
      </c>
      <c r="DX66">
        <v>0</v>
      </c>
      <c r="DY66">
        <v>0</v>
      </c>
      <c r="DZ66">
        <v>0</v>
      </c>
      <c r="EA66">
        <v>0</v>
      </c>
      <c r="EB66">
        <v>0</v>
      </c>
      <c r="EC66">
        <v>8.5</v>
      </c>
      <c r="ED66">
        <v>6.75</v>
      </c>
      <c r="EE66">
        <v>8</v>
      </c>
      <c r="EF66"/>
      <c r="EG66"/>
      <c r="EH66"/>
      <c r="EI66"/>
      <c r="EJ66">
        <v>8.25</v>
      </c>
      <c r="EK66"/>
      <c r="EL66"/>
      <c r="EM66"/>
      <c r="EN66"/>
      <c r="EO66"/>
      <c r="EP66"/>
      <c r="EQ66"/>
      <c r="ER66"/>
      <c r="ES66"/>
      <c r="ET66"/>
      <c r="EU66"/>
      <c r="EV66"/>
      <c r="EW66"/>
      <c r="EX66"/>
      <c r="EY66"/>
      <c r="EZ66"/>
      <c r="FA66"/>
      <c r="FB66">
        <v>84</v>
      </c>
      <c r="FC66"/>
      <c r="FD66"/>
    </row>
    <row r="67" spans="1:160" x14ac:dyDescent="0.25">
      <c r="A67" s="1" t="str">
        <f t="shared" si="0"/>
        <v>086208009865</v>
      </c>
      <c r="B67" t="s">
        <v>1427</v>
      </c>
      <c r="C67" t="s">
        <v>1428</v>
      </c>
      <c r="D67" t="s">
        <v>1429</v>
      </c>
      <c r="E67" t="s">
        <v>280</v>
      </c>
      <c r="F67" t="s">
        <v>1430</v>
      </c>
      <c r="G67" t="s">
        <v>1431</v>
      </c>
      <c r="H67" t="s">
        <v>1432</v>
      </c>
      <c r="I67" t="s">
        <v>66</v>
      </c>
      <c r="J67" t="s">
        <v>1433</v>
      </c>
      <c r="K67" t="s">
        <v>321</v>
      </c>
      <c r="L67"/>
      <c r="M67" t="s">
        <v>287</v>
      </c>
      <c r="N67" t="s">
        <v>288</v>
      </c>
      <c r="O67"/>
      <c r="P67" t="s">
        <v>289</v>
      </c>
      <c r="Q67" t="s">
        <v>1434</v>
      </c>
      <c r="R67" t="s">
        <v>287</v>
      </c>
      <c r="S67" t="s">
        <v>287</v>
      </c>
      <c r="T67" t="s">
        <v>287</v>
      </c>
      <c r="U67" t="s">
        <v>1435</v>
      </c>
      <c r="V67" t="s">
        <v>1436</v>
      </c>
      <c r="W67" t="s">
        <v>1437</v>
      </c>
      <c r="X67" t="s">
        <v>1438</v>
      </c>
      <c r="Y67" t="s">
        <v>1439</v>
      </c>
      <c r="Z67" t="s">
        <v>1440</v>
      </c>
      <c r="AA67" t="s">
        <v>287</v>
      </c>
      <c r="AB67"/>
      <c r="AC67"/>
      <c r="AD67"/>
      <c r="AE67"/>
      <c r="AF67" t="s">
        <v>706</v>
      </c>
      <c r="AG67" t="s">
        <v>1441</v>
      </c>
      <c r="AH67" t="s">
        <v>1442</v>
      </c>
      <c r="AI67" t="s">
        <v>706</v>
      </c>
      <c r="AJ67" t="s">
        <v>1441</v>
      </c>
      <c r="AK67" t="s">
        <v>1442</v>
      </c>
      <c r="AL67" t="s">
        <v>706</v>
      </c>
      <c r="AM67" t="s">
        <v>1441</v>
      </c>
      <c r="AN67" t="s">
        <v>1442</v>
      </c>
      <c r="AO67" t="s">
        <v>299</v>
      </c>
      <c r="AP67" t="s">
        <v>388</v>
      </c>
      <c r="AQ67" t="s">
        <v>690</v>
      </c>
      <c r="AR67" t="s">
        <v>930</v>
      </c>
      <c r="AS67" t="s">
        <v>543</v>
      </c>
      <c r="AT67" t="s">
        <v>544</v>
      </c>
      <c r="AU67" t="s">
        <v>305</v>
      </c>
      <c r="AV67"/>
      <c r="AW67" t="s">
        <v>308</v>
      </c>
      <c r="AX67" t="s">
        <v>309</v>
      </c>
      <c r="AY67" t="s">
        <v>562</v>
      </c>
      <c r="AZ67" t="s">
        <v>563</v>
      </c>
      <c r="BA67"/>
      <c r="BB67"/>
      <c r="BC67" t="s">
        <v>669</v>
      </c>
      <c r="BD67" t="s">
        <v>353</v>
      </c>
      <c r="BE67"/>
      <c r="BF67" t="s">
        <v>314</v>
      </c>
      <c r="BG67"/>
      <c r="BH67"/>
      <c r="BI67"/>
      <c r="BJ67"/>
      <c r="BK67"/>
      <c r="BL67"/>
      <c r="BM67" t="s">
        <v>305</v>
      </c>
      <c r="BN67" t="s">
        <v>354</v>
      </c>
      <c r="BO67" t="s">
        <v>1443</v>
      </c>
      <c r="BP67" t="s">
        <v>1444</v>
      </c>
      <c r="BQ67"/>
      <c r="BR67">
        <v>6</v>
      </c>
      <c r="BS67">
        <v>5.7</v>
      </c>
      <c r="BT67">
        <v>7.6</v>
      </c>
      <c r="BU67">
        <v>7.9</v>
      </c>
      <c r="BV67">
        <v>5.8</v>
      </c>
      <c r="BW67">
        <v>0</v>
      </c>
      <c r="BX67">
        <v>0</v>
      </c>
      <c r="BY67">
        <v>6.9</v>
      </c>
      <c r="BZ67">
        <v>5.6</v>
      </c>
      <c r="CA67">
        <v>7.8</v>
      </c>
      <c r="CB67">
        <v>0</v>
      </c>
      <c r="CC67">
        <v>8.5</v>
      </c>
      <c r="CD67">
        <v>0</v>
      </c>
      <c r="CE67">
        <v>0</v>
      </c>
      <c r="CF67">
        <v>0</v>
      </c>
      <c r="CG67">
        <v>0</v>
      </c>
      <c r="CH67">
        <v>0</v>
      </c>
      <c r="CI67">
        <v>0</v>
      </c>
      <c r="CJ67">
        <v>0</v>
      </c>
      <c r="CK67">
        <v>0</v>
      </c>
      <c r="CL67">
        <v>0</v>
      </c>
      <c r="CM67">
        <v>7.1</v>
      </c>
      <c r="CN67">
        <v>5.6</v>
      </c>
      <c r="CO67">
        <v>7.9</v>
      </c>
      <c r="CP67">
        <v>8.9</v>
      </c>
      <c r="CQ67">
        <v>6.2</v>
      </c>
      <c r="CR67">
        <v>0</v>
      </c>
      <c r="CS67">
        <v>0</v>
      </c>
      <c r="CT67">
        <v>6.3</v>
      </c>
      <c r="CU67">
        <v>6.2</v>
      </c>
      <c r="CV67">
        <v>7.9</v>
      </c>
      <c r="CW67">
        <v>0</v>
      </c>
      <c r="CX67">
        <v>8.8000000000000007</v>
      </c>
      <c r="CY67">
        <v>0</v>
      </c>
      <c r="CZ67">
        <v>0</v>
      </c>
      <c r="DA67">
        <v>0</v>
      </c>
      <c r="DB67">
        <v>0</v>
      </c>
      <c r="DC67">
        <v>0</v>
      </c>
      <c r="DD67">
        <v>0</v>
      </c>
      <c r="DE67">
        <v>0</v>
      </c>
      <c r="DF67">
        <v>0</v>
      </c>
      <c r="DG67">
        <v>0</v>
      </c>
      <c r="DH67">
        <v>8.6999999999999993</v>
      </c>
      <c r="DI67">
        <v>5.9</v>
      </c>
      <c r="DJ67">
        <v>8.6</v>
      </c>
      <c r="DK67">
        <v>9.1999999999999993</v>
      </c>
      <c r="DL67">
        <v>7.3</v>
      </c>
      <c r="DM67">
        <v>0</v>
      </c>
      <c r="DN67">
        <v>0</v>
      </c>
      <c r="DO67">
        <v>6.8</v>
      </c>
      <c r="DP67">
        <v>5.8</v>
      </c>
      <c r="DQ67">
        <v>8.9</v>
      </c>
      <c r="DR67">
        <v>0</v>
      </c>
      <c r="DS67">
        <v>8.8000000000000007</v>
      </c>
      <c r="DT67">
        <v>0</v>
      </c>
      <c r="DU67">
        <v>0</v>
      </c>
      <c r="DV67">
        <v>0</v>
      </c>
      <c r="DW67">
        <v>0</v>
      </c>
      <c r="DX67">
        <v>0</v>
      </c>
      <c r="DY67">
        <v>0</v>
      </c>
      <c r="DZ67">
        <v>0</v>
      </c>
      <c r="EA67">
        <v>0</v>
      </c>
      <c r="EB67">
        <v>0</v>
      </c>
      <c r="EC67">
        <v>8</v>
      </c>
      <c r="ED67">
        <v>5.75</v>
      </c>
      <c r="EE67">
        <v>8.75</v>
      </c>
      <c r="EF67"/>
      <c r="EG67"/>
      <c r="EH67"/>
      <c r="EI67"/>
      <c r="EJ67">
        <v>5.5</v>
      </c>
      <c r="EK67"/>
      <c r="EL67"/>
      <c r="EM67"/>
      <c r="EN67"/>
      <c r="EO67"/>
      <c r="EP67"/>
      <c r="EQ67"/>
      <c r="ER67"/>
      <c r="ES67"/>
      <c r="ET67"/>
      <c r="EU67"/>
      <c r="EV67"/>
      <c r="EW67"/>
      <c r="EX67"/>
      <c r="EY67"/>
      <c r="EZ67"/>
      <c r="FA67"/>
      <c r="FB67"/>
      <c r="FC67"/>
      <c r="FD67"/>
    </row>
    <row r="68" spans="1:160" x14ac:dyDescent="0.25">
      <c r="A68" s="1" t="str">
        <f t="shared" ref="A68:A131" si="1">I68</f>
        <v>096205010696</v>
      </c>
      <c r="B68" t="s">
        <v>1445</v>
      </c>
      <c r="C68" t="s">
        <v>1446</v>
      </c>
      <c r="D68" t="s">
        <v>1447</v>
      </c>
      <c r="E68" t="s">
        <v>280</v>
      </c>
      <c r="F68" t="s">
        <v>1448</v>
      </c>
      <c r="G68" t="s">
        <v>1449</v>
      </c>
      <c r="H68" t="s">
        <v>1450</v>
      </c>
      <c r="I68" t="s">
        <v>23</v>
      </c>
      <c r="J68" t="s">
        <v>1451</v>
      </c>
      <c r="K68" t="s">
        <v>321</v>
      </c>
      <c r="L68" t="s">
        <v>1452</v>
      </c>
      <c r="M68" t="s">
        <v>1452</v>
      </c>
      <c r="N68" t="s">
        <v>288</v>
      </c>
      <c r="O68"/>
      <c r="P68" t="s">
        <v>1453</v>
      </c>
      <c r="Q68" t="s">
        <v>1454</v>
      </c>
      <c r="R68" t="s">
        <v>287</v>
      </c>
      <c r="S68" t="s">
        <v>287</v>
      </c>
      <c r="T68" t="s">
        <v>287</v>
      </c>
      <c r="U68"/>
      <c r="V68"/>
      <c r="W68"/>
      <c r="X68"/>
      <c r="Y68"/>
      <c r="Z68"/>
      <c r="AA68" t="s">
        <v>287</v>
      </c>
      <c r="AB68"/>
      <c r="AC68"/>
      <c r="AD68"/>
      <c r="AE68"/>
      <c r="AF68" t="s">
        <v>663</v>
      </c>
      <c r="AG68" t="s">
        <v>1455</v>
      </c>
      <c r="AH68" t="s">
        <v>1456</v>
      </c>
      <c r="AI68" t="s">
        <v>663</v>
      </c>
      <c r="AJ68" t="s">
        <v>1455</v>
      </c>
      <c r="AK68" t="s">
        <v>1456</v>
      </c>
      <c r="AL68" t="s">
        <v>663</v>
      </c>
      <c r="AM68" t="s">
        <v>1455</v>
      </c>
      <c r="AN68" t="s">
        <v>1456</v>
      </c>
      <c r="AO68" t="s">
        <v>1457</v>
      </c>
      <c r="AP68" t="s">
        <v>603</v>
      </c>
      <c r="AQ68" t="s">
        <v>294</v>
      </c>
      <c r="AR68" t="s">
        <v>1458</v>
      </c>
      <c r="AS68" t="s">
        <v>1459</v>
      </c>
      <c r="AT68" t="s">
        <v>1460</v>
      </c>
      <c r="AU68" t="s">
        <v>354</v>
      </c>
      <c r="AV68"/>
      <c r="AW68" t="s">
        <v>526</v>
      </c>
      <c r="AX68" t="s">
        <v>527</v>
      </c>
      <c r="AY68" t="s">
        <v>351</v>
      </c>
      <c r="AZ68" t="s">
        <v>352</v>
      </c>
      <c r="BA68" t="s">
        <v>610</v>
      </c>
      <c r="BB68" t="s">
        <v>611</v>
      </c>
      <c r="BC68" t="s">
        <v>669</v>
      </c>
      <c r="BD68" t="s">
        <v>353</v>
      </c>
      <c r="BE68" t="s">
        <v>1461</v>
      </c>
      <c r="BF68" t="s">
        <v>314</v>
      </c>
      <c r="BG68"/>
      <c r="BH68"/>
      <c r="BI68"/>
      <c r="BJ68"/>
      <c r="BK68"/>
      <c r="BL68"/>
      <c r="BM68" t="s">
        <v>305</v>
      </c>
      <c r="BN68" t="s">
        <v>354</v>
      </c>
      <c r="BO68" t="s">
        <v>1462</v>
      </c>
      <c r="BP68"/>
      <c r="BQ68"/>
      <c r="BR68">
        <v>7.1</v>
      </c>
      <c r="BS68">
        <v>7.9</v>
      </c>
      <c r="BT68">
        <v>6.3</v>
      </c>
      <c r="BU68">
        <v>8.5</v>
      </c>
      <c r="BV68">
        <v>8.1999999999999993</v>
      </c>
      <c r="BW68">
        <v>0</v>
      </c>
      <c r="BX68">
        <v>7.4</v>
      </c>
      <c r="BY68">
        <v>7.5</v>
      </c>
      <c r="BZ68">
        <v>7.7</v>
      </c>
      <c r="CA68">
        <v>6.4</v>
      </c>
      <c r="CB68">
        <v>7.5</v>
      </c>
      <c r="CC68">
        <v>8.1</v>
      </c>
      <c r="CD68">
        <v>0</v>
      </c>
      <c r="CE68">
        <v>7.1</v>
      </c>
      <c r="CF68">
        <v>0</v>
      </c>
      <c r="CG68">
        <v>0</v>
      </c>
      <c r="CH68">
        <v>0</v>
      </c>
      <c r="CI68">
        <v>0</v>
      </c>
      <c r="CJ68">
        <v>0</v>
      </c>
      <c r="CK68">
        <v>0</v>
      </c>
      <c r="CL68">
        <v>0</v>
      </c>
      <c r="CM68">
        <v>7.1</v>
      </c>
      <c r="CN68">
        <v>6.2</v>
      </c>
      <c r="CO68">
        <v>7.6</v>
      </c>
      <c r="CP68">
        <v>8.9</v>
      </c>
      <c r="CQ68">
        <v>6.5</v>
      </c>
      <c r="CR68">
        <v>0</v>
      </c>
      <c r="CS68">
        <v>7.5</v>
      </c>
      <c r="CT68">
        <v>6</v>
      </c>
      <c r="CU68">
        <v>7.2</v>
      </c>
      <c r="CV68">
        <v>7</v>
      </c>
      <c r="CW68">
        <v>7.8</v>
      </c>
      <c r="CX68">
        <v>6.8</v>
      </c>
      <c r="CY68">
        <v>0</v>
      </c>
      <c r="CZ68">
        <v>7.5</v>
      </c>
      <c r="DA68">
        <v>0</v>
      </c>
      <c r="DB68">
        <v>0</v>
      </c>
      <c r="DC68">
        <v>0</v>
      </c>
      <c r="DD68">
        <v>0</v>
      </c>
      <c r="DE68">
        <v>0</v>
      </c>
      <c r="DF68">
        <v>0</v>
      </c>
      <c r="DG68">
        <v>0</v>
      </c>
      <c r="DH68">
        <v>8</v>
      </c>
      <c r="DI68">
        <v>8</v>
      </c>
      <c r="DJ68">
        <v>7.3</v>
      </c>
      <c r="DK68">
        <v>9.1999999999999993</v>
      </c>
      <c r="DL68">
        <v>8.3000000000000007</v>
      </c>
      <c r="DM68">
        <v>0</v>
      </c>
      <c r="DN68">
        <v>8.1999999999999993</v>
      </c>
      <c r="DO68">
        <v>8.1999999999999993</v>
      </c>
      <c r="DP68">
        <v>8.1999999999999993</v>
      </c>
      <c r="DQ68">
        <v>7.2</v>
      </c>
      <c r="DR68">
        <v>8.4</v>
      </c>
      <c r="DS68">
        <v>8</v>
      </c>
      <c r="DT68">
        <v>0</v>
      </c>
      <c r="DU68">
        <v>7.5</v>
      </c>
      <c r="DV68">
        <v>0</v>
      </c>
      <c r="DW68">
        <v>0</v>
      </c>
      <c r="DX68">
        <v>0</v>
      </c>
      <c r="DY68">
        <v>0</v>
      </c>
      <c r="DZ68">
        <v>0</v>
      </c>
      <c r="EA68">
        <v>0</v>
      </c>
      <c r="EB68">
        <v>0</v>
      </c>
      <c r="EC68">
        <v>6.25</v>
      </c>
      <c r="ED68">
        <v>0</v>
      </c>
      <c r="EE68">
        <v>0</v>
      </c>
      <c r="EF68"/>
      <c r="EG68">
        <v>0</v>
      </c>
      <c r="EH68"/>
      <c r="EI68">
        <v>0</v>
      </c>
      <c r="EJ68">
        <v>5.5</v>
      </c>
      <c r="EK68">
        <v>6.5</v>
      </c>
      <c r="EL68">
        <v>0</v>
      </c>
      <c r="EM68"/>
      <c r="EN68">
        <v>0</v>
      </c>
      <c r="EO68"/>
      <c r="EP68"/>
      <c r="EQ68"/>
      <c r="ER68"/>
      <c r="ES68"/>
      <c r="ET68"/>
      <c r="EU68"/>
      <c r="EV68"/>
      <c r="EW68"/>
      <c r="EX68"/>
      <c r="EY68"/>
      <c r="EZ68"/>
      <c r="FA68"/>
      <c r="FB68"/>
      <c r="FC68"/>
      <c r="FD68"/>
    </row>
    <row r="69" spans="1:160" x14ac:dyDescent="0.25">
      <c r="A69" s="1" t="str">
        <f t="shared" si="1"/>
        <v>083308010613</v>
      </c>
      <c r="B69" t="s">
        <v>1463</v>
      </c>
      <c r="C69" t="s">
        <v>1464</v>
      </c>
      <c r="D69" t="s">
        <v>1465</v>
      </c>
      <c r="E69" t="s">
        <v>278</v>
      </c>
      <c r="F69" t="s">
        <v>1466</v>
      </c>
      <c r="G69" t="s">
        <v>1467</v>
      </c>
      <c r="H69" t="s">
        <v>1468</v>
      </c>
      <c r="I69" t="s">
        <v>76</v>
      </c>
      <c r="J69" t="s">
        <v>1469</v>
      </c>
      <c r="K69" t="s">
        <v>321</v>
      </c>
      <c r="L69"/>
      <c r="M69" t="s">
        <v>287</v>
      </c>
      <c r="N69" t="s">
        <v>288</v>
      </c>
      <c r="O69"/>
      <c r="P69" t="s">
        <v>289</v>
      </c>
      <c r="Q69" t="s">
        <v>1470</v>
      </c>
      <c r="R69" t="s">
        <v>287</v>
      </c>
      <c r="S69" t="s">
        <v>287</v>
      </c>
      <c r="T69" t="s">
        <v>287</v>
      </c>
      <c r="U69"/>
      <c r="V69"/>
      <c r="W69"/>
      <c r="X69"/>
      <c r="Y69"/>
      <c r="Z69"/>
      <c r="AA69" t="s">
        <v>287</v>
      </c>
      <c r="AB69"/>
      <c r="AC69"/>
      <c r="AD69"/>
      <c r="AE69"/>
      <c r="AF69" t="s">
        <v>421</v>
      </c>
      <c r="AG69" t="s">
        <v>1177</v>
      </c>
      <c r="AH69" t="s">
        <v>1178</v>
      </c>
      <c r="AI69" t="s">
        <v>421</v>
      </c>
      <c r="AJ69" t="s">
        <v>1177</v>
      </c>
      <c r="AK69" t="s">
        <v>1178</v>
      </c>
      <c r="AL69" t="s">
        <v>421</v>
      </c>
      <c r="AM69" t="s">
        <v>1177</v>
      </c>
      <c r="AN69" t="s">
        <v>1178</v>
      </c>
      <c r="AO69" t="s">
        <v>299</v>
      </c>
      <c r="AP69" t="s">
        <v>348</v>
      </c>
      <c r="AQ69" t="s">
        <v>1471</v>
      </c>
      <c r="AR69" t="s">
        <v>559</v>
      </c>
      <c r="AS69" t="s">
        <v>505</v>
      </c>
      <c r="AT69" t="s">
        <v>486</v>
      </c>
      <c r="AU69" t="s">
        <v>354</v>
      </c>
      <c r="AV69"/>
      <c r="AW69" t="s">
        <v>444</v>
      </c>
      <c r="AX69" t="s">
        <v>445</v>
      </c>
      <c r="AY69" t="s">
        <v>308</v>
      </c>
      <c r="AZ69" t="s">
        <v>309</v>
      </c>
      <c r="BA69"/>
      <c r="BB69"/>
      <c r="BC69" t="s">
        <v>669</v>
      </c>
      <c r="BD69" t="s">
        <v>353</v>
      </c>
      <c r="BE69"/>
      <c r="BF69" t="s">
        <v>314</v>
      </c>
      <c r="BG69"/>
      <c r="BH69"/>
      <c r="BI69"/>
      <c r="BJ69"/>
      <c r="BK69"/>
      <c r="BL69"/>
      <c r="BM69" t="s">
        <v>305</v>
      </c>
      <c r="BN69" t="s">
        <v>305</v>
      </c>
      <c r="BO69" t="s">
        <v>1472</v>
      </c>
      <c r="BP69"/>
      <c r="BQ69" t="s">
        <v>1473</v>
      </c>
      <c r="BR69">
        <v>7.4</v>
      </c>
      <c r="BS69">
        <v>5.6</v>
      </c>
      <c r="BT69">
        <v>6.6</v>
      </c>
      <c r="BU69">
        <v>8.4</v>
      </c>
      <c r="BV69">
        <v>7.8</v>
      </c>
      <c r="BW69">
        <v>0</v>
      </c>
      <c r="BX69">
        <v>0</v>
      </c>
      <c r="BY69">
        <v>6.6</v>
      </c>
      <c r="BZ69">
        <v>7.8</v>
      </c>
      <c r="CA69">
        <v>8.1</v>
      </c>
      <c r="CB69">
        <v>8.4</v>
      </c>
      <c r="CC69">
        <v>0</v>
      </c>
      <c r="CD69">
        <v>0</v>
      </c>
      <c r="CE69">
        <v>0</v>
      </c>
      <c r="CF69">
        <v>0</v>
      </c>
      <c r="CG69">
        <v>0</v>
      </c>
      <c r="CH69">
        <v>0</v>
      </c>
      <c r="CI69">
        <v>0</v>
      </c>
      <c r="CJ69">
        <v>0</v>
      </c>
      <c r="CK69">
        <v>0</v>
      </c>
      <c r="CL69">
        <v>0</v>
      </c>
      <c r="CM69">
        <v>8.3000000000000007</v>
      </c>
      <c r="CN69">
        <v>6.9</v>
      </c>
      <c r="CO69">
        <v>8</v>
      </c>
      <c r="CP69">
        <v>9.6</v>
      </c>
      <c r="CQ69">
        <v>8.8000000000000007</v>
      </c>
      <c r="CR69">
        <v>0</v>
      </c>
      <c r="CS69">
        <v>0</v>
      </c>
      <c r="CT69">
        <v>9.1</v>
      </c>
      <c r="CU69">
        <v>7.9</v>
      </c>
      <c r="CV69">
        <v>9.3000000000000007</v>
      </c>
      <c r="CW69">
        <v>9.4</v>
      </c>
      <c r="CX69">
        <v>0</v>
      </c>
      <c r="CY69">
        <v>0</v>
      </c>
      <c r="CZ69">
        <v>0</v>
      </c>
      <c r="DA69">
        <v>0</v>
      </c>
      <c r="DB69">
        <v>0</v>
      </c>
      <c r="DC69">
        <v>0</v>
      </c>
      <c r="DD69">
        <v>0</v>
      </c>
      <c r="DE69">
        <v>0</v>
      </c>
      <c r="DF69">
        <v>0</v>
      </c>
      <c r="DG69">
        <v>0</v>
      </c>
      <c r="DH69">
        <v>9.3000000000000007</v>
      </c>
      <c r="DI69">
        <v>6.8</v>
      </c>
      <c r="DJ69">
        <v>7.4</v>
      </c>
      <c r="DK69">
        <v>10</v>
      </c>
      <c r="DL69">
        <v>9.5</v>
      </c>
      <c r="DM69">
        <v>0</v>
      </c>
      <c r="DN69">
        <v>0</v>
      </c>
      <c r="DO69">
        <v>9.3000000000000007</v>
      </c>
      <c r="DP69">
        <v>9.1999999999999993</v>
      </c>
      <c r="DQ69">
        <v>9.8000000000000007</v>
      </c>
      <c r="DR69">
        <v>9.9</v>
      </c>
      <c r="DS69">
        <v>0</v>
      </c>
      <c r="DT69">
        <v>0</v>
      </c>
      <c r="DU69">
        <v>0</v>
      </c>
      <c r="DV69">
        <v>0</v>
      </c>
      <c r="DW69">
        <v>0</v>
      </c>
      <c r="DX69">
        <v>0</v>
      </c>
      <c r="DY69">
        <v>0</v>
      </c>
      <c r="DZ69">
        <v>0</v>
      </c>
      <c r="EA69">
        <v>0</v>
      </c>
      <c r="EB69">
        <v>0</v>
      </c>
      <c r="EC69">
        <v>6.75</v>
      </c>
      <c r="ED69">
        <v>5</v>
      </c>
      <c r="EE69"/>
      <c r="EF69"/>
      <c r="EG69"/>
      <c r="EH69"/>
      <c r="EI69"/>
      <c r="EJ69">
        <v>4.75</v>
      </c>
      <c r="EK69">
        <v>6.35</v>
      </c>
      <c r="EL69"/>
      <c r="EM69"/>
      <c r="EN69"/>
      <c r="EO69"/>
      <c r="EP69"/>
      <c r="EQ69"/>
      <c r="ER69"/>
      <c r="ES69"/>
      <c r="ET69"/>
      <c r="EU69"/>
      <c r="EV69"/>
      <c r="EW69">
        <v>72.5</v>
      </c>
      <c r="EX69"/>
      <c r="EY69"/>
      <c r="EZ69"/>
      <c r="FA69"/>
      <c r="FB69"/>
      <c r="FC69"/>
      <c r="FD69"/>
    </row>
    <row r="70" spans="1:160" x14ac:dyDescent="0.25">
      <c r="A70" s="1" t="str">
        <f t="shared" si="1"/>
        <v>079308028343</v>
      </c>
      <c r="B70" t="s">
        <v>1474</v>
      </c>
      <c r="C70" t="s">
        <v>1475</v>
      </c>
      <c r="D70" t="s">
        <v>1476</v>
      </c>
      <c r="E70" t="s">
        <v>278</v>
      </c>
      <c r="F70" t="s">
        <v>512</v>
      </c>
      <c r="G70" t="s">
        <v>1477</v>
      </c>
      <c r="H70" t="s">
        <v>1478</v>
      </c>
      <c r="I70" t="s">
        <v>96</v>
      </c>
      <c r="J70" t="s">
        <v>1479</v>
      </c>
      <c r="K70" t="s">
        <v>286</v>
      </c>
      <c r="L70"/>
      <c r="M70" t="s">
        <v>287</v>
      </c>
      <c r="N70" t="s">
        <v>288</v>
      </c>
      <c r="O70"/>
      <c r="P70" t="s">
        <v>289</v>
      </c>
      <c r="Q70" t="s">
        <v>1480</v>
      </c>
      <c r="R70" t="s">
        <v>287</v>
      </c>
      <c r="S70" t="s">
        <v>287</v>
      </c>
      <c r="T70" t="s">
        <v>287</v>
      </c>
      <c r="U70"/>
      <c r="V70"/>
      <c r="W70"/>
      <c r="X70"/>
      <c r="Y70"/>
      <c r="Z70"/>
      <c r="AA70" t="s">
        <v>287</v>
      </c>
      <c r="AB70"/>
      <c r="AC70"/>
      <c r="AD70"/>
      <c r="AE70"/>
      <c r="AF70" t="s">
        <v>706</v>
      </c>
      <c r="AG70" t="s">
        <v>1481</v>
      </c>
      <c r="AH70" t="s">
        <v>1482</v>
      </c>
      <c r="AI70" t="s">
        <v>706</v>
      </c>
      <c r="AJ70" t="s">
        <v>1481</v>
      </c>
      <c r="AK70" t="s">
        <v>1482</v>
      </c>
      <c r="AL70" t="s">
        <v>706</v>
      </c>
      <c r="AM70" t="s">
        <v>1481</v>
      </c>
      <c r="AN70" t="s">
        <v>1482</v>
      </c>
      <c r="AO70" t="s">
        <v>299</v>
      </c>
      <c r="AP70" t="s">
        <v>300</v>
      </c>
      <c r="AQ70" t="s">
        <v>1205</v>
      </c>
      <c r="AR70" t="s">
        <v>1483</v>
      </c>
      <c r="AS70" t="s">
        <v>1100</v>
      </c>
      <c r="AT70" t="s">
        <v>1205</v>
      </c>
      <c r="AU70" t="s">
        <v>354</v>
      </c>
      <c r="AV70"/>
      <c r="AW70" t="s">
        <v>444</v>
      </c>
      <c r="AX70" t="s">
        <v>445</v>
      </c>
      <c r="AY70" t="s">
        <v>372</v>
      </c>
      <c r="AZ70" t="s">
        <v>373</v>
      </c>
      <c r="BA70" t="s">
        <v>332</v>
      </c>
      <c r="BB70" t="s">
        <v>333</v>
      </c>
      <c r="BC70" t="s">
        <v>669</v>
      </c>
      <c r="BD70" t="s">
        <v>353</v>
      </c>
      <c r="BE70"/>
      <c r="BF70" t="s">
        <v>314</v>
      </c>
      <c r="BG70"/>
      <c r="BH70"/>
      <c r="BI70"/>
      <c r="BJ70"/>
      <c r="BK70"/>
      <c r="BL70"/>
      <c r="BM70" t="s">
        <v>305</v>
      </c>
      <c r="BN70" t="s">
        <v>354</v>
      </c>
      <c r="BO70" t="s">
        <v>1484</v>
      </c>
      <c r="BP70"/>
      <c r="BQ70"/>
      <c r="BR70">
        <v>5.6</v>
      </c>
      <c r="BS70">
        <v>7</v>
      </c>
      <c r="BT70">
        <v>5.0999999999999996</v>
      </c>
      <c r="BU70">
        <v>6.7</v>
      </c>
      <c r="BV70">
        <v>6.1</v>
      </c>
      <c r="BW70">
        <v>7.8</v>
      </c>
      <c r="BX70">
        <v>7</v>
      </c>
      <c r="BY70">
        <v>0</v>
      </c>
      <c r="BZ70">
        <v>6.6</v>
      </c>
      <c r="CA70">
        <v>0</v>
      </c>
      <c r="CB70">
        <v>6.7</v>
      </c>
      <c r="CC70">
        <v>0</v>
      </c>
      <c r="CD70">
        <v>0</v>
      </c>
      <c r="CE70">
        <v>0</v>
      </c>
      <c r="CF70">
        <v>0</v>
      </c>
      <c r="CG70">
        <v>0</v>
      </c>
      <c r="CH70">
        <v>0</v>
      </c>
      <c r="CI70">
        <v>0</v>
      </c>
      <c r="CJ70">
        <v>0</v>
      </c>
      <c r="CK70">
        <v>0</v>
      </c>
      <c r="CL70">
        <v>0</v>
      </c>
      <c r="CM70">
        <v>5.7</v>
      </c>
      <c r="CN70">
        <v>7.3</v>
      </c>
      <c r="CO70">
        <v>7.1</v>
      </c>
      <c r="CP70">
        <v>8.4</v>
      </c>
      <c r="CQ70">
        <v>8.4</v>
      </c>
      <c r="CR70">
        <v>8.1</v>
      </c>
      <c r="CS70">
        <v>8.4</v>
      </c>
      <c r="CT70">
        <v>0</v>
      </c>
      <c r="CU70">
        <v>6.1</v>
      </c>
      <c r="CV70">
        <v>0</v>
      </c>
      <c r="CW70">
        <v>9</v>
      </c>
      <c r="CX70">
        <v>0</v>
      </c>
      <c r="CY70">
        <v>0</v>
      </c>
      <c r="CZ70">
        <v>0</v>
      </c>
      <c r="DA70">
        <v>0</v>
      </c>
      <c r="DB70">
        <v>0</v>
      </c>
      <c r="DC70">
        <v>0</v>
      </c>
      <c r="DD70">
        <v>0</v>
      </c>
      <c r="DE70">
        <v>0</v>
      </c>
      <c r="DF70">
        <v>0</v>
      </c>
      <c r="DG70">
        <v>0</v>
      </c>
      <c r="DH70">
        <v>7.4</v>
      </c>
      <c r="DI70">
        <v>7.7</v>
      </c>
      <c r="DJ70">
        <v>7.9</v>
      </c>
      <c r="DK70">
        <v>9.3000000000000007</v>
      </c>
      <c r="DL70">
        <v>7.7</v>
      </c>
      <c r="DM70">
        <v>8.8000000000000007</v>
      </c>
      <c r="DN70">
        <v>8.4</v>
      </c>
      <c r="DO70">
        <v>0</v>
      </c>
      <c r="DP70">
        <v>5.6</v>
      </c>
      <c r="DQ70">
        <v>0</v>
      </c>
      <c r="DR70">
        <v>9.3000000000000007</v>
      </c>
      <c r="DS70">
        <v>0</v>
      </c>
      <c r="DT70">
        <v>0</v>
      </c>
      <c r="DU70">
        <v>0</v>
      </c>
      <c r="DV70">
        <v>0</v>
      </c>
      <c r="DW70">
        <v>0</v>
      </c>
      <c r="DX70">
        <v>0</v>
      </c>
      <c r="DY70">
        <v>0</v>
      </c>
      <c r="DZ70">
        <v>0</v>
      </c>
      <c r="EA70">
        <v>0</v>
      </c>
      <c r="EB70">
        <v>0</v>
      </c>
      <c r="EC70">
        <v>5.25</v>
      </c>
      <c r="ED70">
        <v>6</v>
      </c>
      <c r="EE70">
        <v>5</v>
      </c>
      <c r="EF70"/>
      <c r="EG70"/>
      <c r="EH70">
        <v>5.6</v>
      </c>
      <c r="EI70"/>
      <c r="EJ70"/>
      <c r="EK70"/>
      <c r="EL70"/>
      <c r="EM70"/>
      <c r="EN70"/>
      <c r="EO70"/>
      <c r="EP70"/>
      <c r="EQ70"/>
      <c r="ER70"/>
      <c r="ES70"/>
      <c r="ET70"/>
      <c r="EU70"/>
      <c r="EV70"/>
      <c r="EW70"/>
      <c r="EX70"/>
      <c r="EY70"/>
      <c r="EZ70"/>
      <c r="FA70"/>
      <c r="FB70"/>
      <c r="FC70"/>
      <c r="FD70"/>
    </row>
    <row r="71" spans="1:160" x14ac:dyDescent="0.25">
      <c r="A71" s="1" t="str">
        <f t="shared" si="1"/>
        <v>087208000775</v>
      </c>
      <c r="B71" t="s">
        <v>1485</v>
      </c>
      <c r="C71" t="s">
        <v>1486</v>
      </c>
      <c r="D71" t="s">
        <v>1487</v>
      </c>
      <c r="E71" t="s">
        <v>280</v>
      </c>
      <c r="F71" t="s">
        <v>1488</v>
      </c>
      <c r="G71" t="s">
        <v>1489</v>
      </c>
      <c r="H71" t="s">
        <v>1490</v>
      </c>
      <c r="I71" t="s">
        <v>54</v>
      </c>
      <c r="J71" t="s">
        <v>1491</v>
      </c>
      <c r="K71" t="s">
        <v>321</v>
      </c>
      <c r="L71"/>
      <c r="M71" t="s">
        <v>287</v>
      </c>
      <c r="N71" t="s">
        <v>288</v>
      </c>
      <c r="O71"/>
      <c r="P71" t="s">
        <v>289</v>
      </c>
      <c r="Q71" t="s">
        <v>1492</v>
      </c>
      <c r="R71" t="s">
        <v>287</v>
      </c>
      <c r="S71" t="s">
        <v>287</v>
      </c>
      <c r="T71" t="s">
        <v>287</v>
      </c>
      <c r="U71"/>
      <c r="V71"/>
      <c r="W71"/>
      <c r="X71"/>
      <c r="Y71"/>
      <c r="Z71"/>
      <c r="AA71" t="s">
        <v>287</v>
      </c>
      <c r="AB71"/>
      <c r="AC71"/>
      <c r="AD71"/>
      <c r="AE71"/>
      <c r="AF71" t="s">
        <v>323</v>
      </c>
      <c r="AG71" t="s">
        <v>1493</v>
      </c>
      <c r="AH71" t="s">
        <v>1494</v>
      </c>
      <c r="AI71" t="s">
        <v>323</v>
      </c>
      <c r="AJ71" t="s">
        <v>1493</v>
      </c>
      <c r="AK71" t="s">
        <v>1494</v>
      </c>
      <c r="AL71" t="s">
        <v>323</v>
      </c>
      <c r="AM71" t="s">
        <v>1493</v>
      </c>
      <c r="AN71" t="s">
        <v>1494</v>
      </c>
      <c r="AO71" t="s">
        <v>299</v>
      </c>
      <c r="AP71" t="s">
        <v>603</v>
      </c>
      <c r="AQ71" t="s">
        <v>1180</v>
      </c>
      <c r="AR71" t="s">
        <v>1205</v>
      </c>
      <c r="AS71" t="s">
        <v>1283</v>
      </c>
      <c r="AT71" t="s">
        <v>987</v>
      </c>
      <c r="AU71" t="s">
        <v>354</v>
      </c>
      <c r="AV71"/>
      <c r="AW71" t="s">
        <v>332</v>
      </c>
      <c r="AX71" t="s">
        <v>333</v>
      </c>
      <c r="AY71" t="s">
        <v>562</v>
      </c>
      <c r="AZ71" t="s">
        <v>563</v>
      </c>
      <c r="BA71" t="s">
        <v>545</v>
      </c>
      <c r="BB71" t="s">
        <v>546</v>
      </c>
      <c r="BC71" t="s">
        <v>669</v>
      </c>
      <c r="BD71" t="s">
        <v>353</v>
      </c>
      <c r="BE71"/>
      <c r="BF71" t="s">
        <v>314</v>
      </c>
      <c r="BG71"/>
      <c r="BH71"/>
      <c r="BI71"/>
      <c r="BJ71"/>
      <c r="BK71"/>
      <c r="BL71"/>
      <c r="BM71" t="s">
        <v>305</v>
      </c>
      <c r="BN71" t="s">
        <v>354</v>
      </c>
      <c r="BO71" t="s">
        <v>1495</v>
      </c>
      <c r="BP71"/>
      <c r="BQ71"/>
      <c r="BR71">
        <v>6.8</v>
      </c>
      <c r="BS71">
        <v>8.6</v>
      </c>
      <c r="BT71">
        <v>8.3000000000000007</v>
      </c>
      <c r="BU71">
        <v>8.3000000000000007</v>
      </c>
      <c r="BV71">
        <v>8.6</v>
      </c>
      <c r="BW71">
        <v>7.8</v>
      </c>
      <c r="BX71">
        <v>8.1</v>
      </c>
      <c r="BY71">
        <v>7.6</v>
      </c>
      <c r="BZ71">
        <v>0</v>
      </c>
      <c r="CA71">
        <v>0</v>
      </c>
      <c r="CB71">
        <v>8</v>
      </c>
      <c r="CC71">
        <v>0</v>
      </c>
      <c r="CD71">
        <v>0</v>
      </c>
      <c r="CE71">
        <v>0</v>
      </c>
      <c r="CF71">
        <v>0</v>
      </c>
      <c r="CG71">
        <v>0</v>
      </c>
      <c r="CH71">
        <v>0</v>
      </c>
      <c r="CI71">
        <v>0</v>
      </c>
      <c r="CJ71">
        <v>0</v>
      </c>
      <c r="CK71">
        <v>0</v>
      </c>
      <c r="CL71">
        <v>0</v>
      </c>
      <c r="CM71">
        <v>7.7</v>
      </c>
      <c r="CN71">
        <v>8.1</v>
      </c>
      <c r="CO71">
        <v>8.4</v>
      </c>
      <c r="CP71">
        <v>7.9</v>
      </c>
      <c r="CQ71">
        <v>8.1</v>
      </c>
      <c r="CR71">
        <v>8.5</v>
      </c>
      <c r="CS71">
        <v>6.9</v>
      </c>
      <c r="CT71">
        <v>6.5</v>
      </c>
      <c r="CU71">
        <v>0</v>
      </c>
      <c r="CV71">
        <v>0</v>
      </c>
      <c r="CW71">
        <v>8.9</v>
      </c>
      <c r="CX71">
        <v>0</v>
      </c>
      <c r="CY71">
        <v>0</v>
      </c>
      <c r="CZ71">
        <v>0</v>
      </c>
      <c r="DA71">
        <v>0</v>
      </c>
      <c r="DB71">
        <v>0</v>
      </c>
      <c r="DC71">
        <v>0</v>
      </c>
      <c r="DD71">
        <v>0</v>
      </c>
      <c r="DE71">
        <v>0</v>
      </c>
      <c r="DF71">
        <v>0</v>
      </c>
      <c r="DG71">
        <v>0</v>
      </c>
      <c r="DH71">
        <v>9</v>
      </c>
      <c r="DI71">
        <v>7.5</v>
      </c>
      <c r="DJ71">
        <v>8.6</v>
      </c>
      <c r="DK71">
        <v>9.5</v>
      </c>
      <c r="DL71">
        <v>7.7</v>
      </c>
      <c r="DM71">
        <v>0</v>
      </c>
      <c r="DN71">
        <v>9.3000000000000007</v>
      </c>
      <c r="DO71">
        <v>8.1</v>
      </c>
      <c r="DP71">
        <v>0</v>
      </c>
      <c r="DQ71">
        <v>0</v>
      </c>
      <c r="DR71">
        <v>8.3000000000000007</v>
      </c>
      <c r="DS71">
        <v>0</v>
      </c>
      <c r="DT71">
        <v>0</v>
      </c>
      <c r="DU71">
        <v>0</v>
      </c>
      <c r="DV71">
        <v>0</v>
      </c>
      <c r="DW71">
        <v>0</v>
      </c>
      <c r="DX71">
        <v>0</v>
      </c>
      <c r="DY71">
        <v>0</v>
      </c>
      <c r="DZ71">
        <v>0</v>
      </c>
      <c r="EA71">
        <v>0</v>
      </c>
      <c r="EB71">
        <v>0</v>
      </c>
      <c r="EC71">
        <v>4</v>
      </c>
      <c r="ED71">
        <v>6.75</v>
      </c>
      <c r="EE71">
        <v>4.25</v>
      </c>
      <c r="EF71"/>
      <c r="EG71">
        <v>8.25</v>
      </c>
      <c r="EH71"/>
      <c r="EI71"/>
      <c r="EJ71"/>
      <c r="EK71"/>
      <c r="EL71"/>
      <c r="EM71"/>
      <c r="EN71"/>
      <c r="EO71"/>
      <c r="EP71"/>
      <c r="EQ71"/>
      <c r="ER71"/>
      <c r="ES71"/>
      <c r="ET71"/>
      <c r="EU71"/>
      <c r="EV71"/>
      <c r="EW71"/>
      <c r="EX71"/>
      <c r="EY71"/>
      <c r="EZ71"/>
      <c r="FA71"/>
      <c r="FB71"/>
      <c r="FC71"/>
      <c r="FD71"/>
    </row>
    <row r="72" spans="1:160" x14ac:dyDescent="0.25">
      <c r="A72" s="1" t="str">
        <f t="shared" si="1"/>
        <v>086308007620</v>
      </c>
      <c r="B72" t="s">
        <v>1499</v>
      </c>
      <c r="C72" t="s">
        <v>1500</v>
      </c>
      <c r="D72" t="s">
        <v>1501</v>
      </c>
      <c r="E72" t="s">
        <v>278</v>
      </c>
      <c r="F72" t="s">
        <v>1502</v>
      </c>
      <c r="G72" t="s">
        <v>1503</v>
      </c>
      <c r="H72" t="s">
        <v>1504</v>
      </c>
      <c r="I72" t="s">
        <v>57</v>
      </c>
      <c r="J72" t="s">
        <v>1505</v>
      </c>
      <c r="K72" t="s">
        <v>321</v>
      </c>
      <c r="L72"/>
      <c r="M72" t="s">
        <v>287</v>
      </c>
      <c r="N72" t="s">
        <v>288</v>
      </c>
      <c r="O72"/>
      <c r="P72" t="s">
        <v>289</v>
      </c>
      <c r="Q72" t="s">
        <v>1506</v>
      </c>
      <c r="R72" t="s">
        <v>287</v>
      </c>
      <c r="S72" t="s">
        <v>287</v>
      </c>
      <c r="T72" t="s">
        <v>287</v>
      </c>
      <c r="U72"/>
      <c r="V72"/>
      <c r="W72"/>
      <c r="X72"/>
      <c r="Y72"/>
      <c r="Z72"/>
      <c r="AA72" t="s">
        <v>287</v>
      </c>
      <c r="AB72"/>
      <c r="AC72"/>
      <c r="AD72"/>
      <c r="AE72"/>
      <c r="AF72" t="s">
        <v>421</v>
      </c>
      <c r="AG72" t="s">
        <v>1507</v>
      </c>
      <c r="AH72" t="s">
        <v>1508</v>
      </c>
      <c r="AI72" t="s">
        <v>421</v>
      </c>
      <c r="AJ72" t="s">
        <v>1507</v>
      </c>
      <c r="AK72" t="s">
        <v>1508</v>
      </c>
      <c r="AL72" t="s">
        <v>421</v>
      </c>
      <c r="AM72" t="s">
        <v>1507</v>
      </c>
      <c r="AN72" t="s">
        <v>1508</v>
      </c>
      <c r="AO72" t="s">
        <v>299</v>
      </c>
      <c r="AP72" t="s">
        <v>348</v>
      </c>
      <c r="AQ72" t="s">
        <v>689</v>
      </c>
      <c r="AR72" t="s">
        <v>1509</v>
      </c>
      <c r="AS72" t="s">
        <v>711</v>
      </c>
      <c r="AT72" t="s">
        <v>1307</v>
      </c>
      <c r="AU72" t="s">
        <v>354</v>
      </c>
      <c r="AV72"/>
      <c r="AW72" t="s">
        <v>332</v>
      </c>
      <c r="AX72" t="s">
        <v>333</v>
      </c>
      <c r="AY72" t="s">
        <v>308</v>
      </c>
      <c r="AZ72" t="s">
        <v>309</v>
      </c>
      <c r="BA72" t="s">
        <v>310</v>
      </c>
      <c r="BB72" t="s">
        <v>311</v>
      </c>
      <c r="BC72" t="s">
        <v>669</v>
      </c>
      <c r="BD72" t="s">
        <v>353</v>
      </c>
      <c r="BE72"/>
      <c r="BF72" t="s">
        <v>314</v>
      </c>
      <c r="BG72"/>
      <c r="BH72"/>
      <c r="BI72"/>
      <c r="BJ72"/>
      <c r="BK72"/>
      <c r="BL72"/>
      <c r="BM72" t="s">
        <v>305</v>
      </c>
      <c r="BN72" t="s">
        <v>354</v>
      </c>
      <c r="BO72" t="s">
        <v>1510</v>
      </c>
      <c r="BP72"/>
      <c r="BQ72"/>
      <c r="BR72">
        <v>6.6</v>
      </c>
      <c r="BS72">
        <v>7.5</v>
      </c>
      <c r="BT72">
        <v>8</v>
      </c>
      <c r="BU72">
        <v>9.1</v>
      </c>
      <c r="BV72">
        <v>8.4</v>
      </c>
      <c r="BW72">
        <v>0</v>
      </c>
      <c r="BX72">
        <v>0</v>
      </c>
      <c r="BY72">
        <v>7.7</v>
      </c>
      <c r="BZ72">
        <v>5.6</v>
      </c>
      <c r="CA72">
        <v>6.5</v>
      </c>
      <c r="CB72">
        <v>0</v>
      </c>
      <c r="CC72">
        <v>8.8000000000000007</v>
      </c>
      <c r="CD72">
        <v>0</v>
      </c>
      <c r="CE72">
        <v>0</v>
      </c>
      <c r="CF72">
        <v>0</v>
      </c>
      <c r="CG72">
        <v>0</v>
      </c>
      <c r="CH72">
        <v>0</v>
      </c>
      <c r="CI72">
        <v>0</v>
      </c>
      <c r="CJ72">
        <v>0</v>
      </c>
      <c r="CK72">
        <v>0</v>
      </c>
      <c r="CL72">
        <v>0</v>
      </c>
      <c r="CM72">
        <v>7.2</v>
      </c>
      <c r="CN72">
        <v>6.6</v>
      </c>
      <c r="CO72">
        <v>8.6999999999999993</v>
      </c>
      <c r="CP72">
        <v>9.3000000000000007</v>
      </c>
      <c r="CQ72">
        <v>8.1</v>
      </c>
      <c r="CR72">
        <v>0</v>
      </c>
      <c r="CS72">
        <v>0</v>
      </c>
      <c r="CT72">
        <v>7.4</v>
      </c>
      <c r="CU72">
        <v>8</v>
      </c>
      <c r="CV72">
        <v>8.1</v>
      </c>
      <c r="CW72">
        <v>0</v>
      </c>
      <c r="CX72">
        <v>7.5</v>
      </c>
      <c r="CY72">
        <v>0</v>
      </c>
      <c r="CZ72">
        <v>0</v>
      </c>
      <c r="DA72">
        <v>0</v>
      </c>
      <c r="DB72">
        <v>0</v>
      </c>
      <c r="DC72">
        <v>0</v>
      </c>
      <c r="DD72">
        <v>0</v>
      </c>
      <c r="DE72">
        <v>0</v>
      </c>
      <c r="DF72">
        <v>0</v>
      </c>
      <c r="DG72">
        <v>0</v>
      </c>
      <c r="DH72">
        <v>8.1</v>
      </c>
      <c r="DI72">
        <v>7.4</v>
      </c>
      <c r="DJ72">
        <v>9.5</v>
      </c>
      <c r="DK72">
        <v>9.4</v>
      </c>
      <c r="DL72">
        <v>8</v>
      </c>
      <c r="DM72">
        <v>0</v>
      </c>
      <c r="DN72">
        <v>0</v>
      </c>
      <c r="DO72">
        <v>7.1</v>
      </c>
      <c r="DP72">
        <v>8.6</v>
      </c>
      <c r="DQ72">
        <v>9.3000000000000007</v>
      </c>
      <c r="DR72">
        <v>0</v>
      </c>
      <c r="DS72">
        <v>9.4</v>
      </c>
      <c r="DT72">
        <v>0</v>
      </c>
      <c r="DU72">
        <v>0</v>
      </c>
      <c r="DV72">
        <v>0</v>
      </c>
      <c r="DW72">
        <v>0</v>
      </c>
      <c r="DX72">
        <v>0</v>
      </c>
      <c r="DY72">
        <v>0</v>
      </c>
      <c r="DZ72">
        <v>0</v>
      </c>
      <c r="EA72">
        <v>0</v>
      </c>
      <c r="EB72">
        <v>0</v>
      </c>
      <c r="EC72">
        <v>2.75</v>
      </c>
      <c r="ED72">
        <v>5.75</v>
      </c>
      <c r="EE72">
        <v>3.75</v>
      </c>
      <c r="EF72"/>
      <c r="EG72">
        <v>6.6</v>
      </c>
      <c r="EH72"/>
      <c r="EI72"/>
      <c r="EJ72"/>
      <c r="EK72"/>
      <c r="EL72"/>
      <c r="EM72"/>
      <c r="EN72"/>
      <c r="EO72"/>
      <c r="EP72"/>
      <c r="EQ72"/>
      <c r="ER72"/>
      <c r="ES72"/>
      <c r="ET72"/>
      <c r="EU72"/>
      <c r="EV72"/>
      <c r="EW72"/>
      <c r="EX72"/>
      <c r="EY72"/>
      <c r="EZ72"/>
      <c r="FA72"/>
      <c r="FB72"/>
      <c r="FC72"/>
      <c r="FD72"/>
    </row>
    <row r="73" spans="1:160" x14ac:dyDescent="0.25">
      <c r="A73" s="1" t="str">
        <f t="shared" si="1"/>
        <v>096307008480</v>
      </c>
      <c r="B73" t="s">
        <v>1511</v>
      </c>
      <c r="C73" t="s">
        <v>1512</v>
      </c>
      <c r="D73" t="s">
        <v>1513</v>
      </c>
      <c r="E73" t="s">
        <v>278</v>
      </c>
      <c r="F73" t="s">
        <v>1514</v>
      </c>
      <c r="G73" t="s">
        <v>1515</v>
      </c>
      <c r="H73" t="s">
        <v>1516</v>
      </c>
      <c r="I73" t="s">
        <v>21</v>
      </c>
      <c r="J73" t="s">
        <v>1517</v>
      </c>
      <c r="K73" t="s">
        <v>476</v>
      </c>
      <c r="L73"/>
      <c r="M73" t="s">
        <v>287</v>
      </c>
      <c r="N73" t="s">
        <v>288</v>
      </c>
      <c r="O73"/>
      <c r="P73" t="s">
        <v>655</v>
      </c>
      <c r="Q73"/>
      <c r="R73" t="s">
        <v>287</v>
      </c>
      <c r="S73" t="s">
        <v>287</v>
      </c>
      <c r="T73" t="s">
        <v>287</v>
      </c>
      <c r="U73"/>
      <c r="V73"/>
      <c r="W73"/>
      <c r="X73"/>
      <c r="Y73"/>
      <c r="Z73"/>
      <c r="AA73" t="s">
        <v>287</v>
      </c>
      <c r="AB73"/>
      <c r="AC73"/>
      <c r="AD73"/>
      <c r="AE73"/>
      <c r="AF73" t="s">
        <v>663</v>
      </c>
      <c r="AG73" t="s">
        <v>1518</v>
      </c>
      <c r="AH73" t="s">
        <v>1519</v>
      </c>
      <c r="AI73" t="s">
        <v>663</v>
      </c>
      <c r="AJ73" t="s">
        <v>1518</v>
      </c>
      <c r="AK73" t="s">
        <v>1519</v>
      </c>
      <c r="AL73" t="s">
        <v>663</v>
      </c>
      <c r="AM73" t="s">
        <v>1518</v>
      </c>
      <c r="AN73" t="s">
        <v>1519</v>
      </c>
      <c r="AO73" t="s">
        <v>299</v>
      </c>
      <c r="AP73" t="s">
        <v>603</v>
      </c>
      <c r="AQ73" t="s">
        <v>1520</v>
      </c>
      <c r="AR73" t="s">
        <v>970</v>
      </c>
      <c r="AS73" t="s">
        <v>525</v>
      </c>
      <c r="AT73" t="s">
        <v>504</v>
      </c>
      <c r="AU73" t="s">
        <v>354</v>
      </c>
      <c r="AV73"/>
      <c r="AW73" t="s">
        <v>308</v>
      </c>
      <c r="AX73" t="s">
        <v>309</v>
      </c>
      <c r="AY73" t="s">
        <v>349</v>
      </c>
      <c r="AZ73" t="s">
        <v>350</v>
      </c>
      <c r="BA73"/>
      <c r="BB73"/>
      <c r="BC73" t="s">
        <v>669</v>
      </c>
      <c r="BD73" t="s">
        <v>353</v>
      </c>
      <c r="BE73" t="s">
        <v>1521</v>
      </c>
      <c r="BF73" t="s">
        <v>314</v>
      </c>
      <c r="BG73"/>
      <c r="BH73"/>
      <c r="BI73"/>
      <c r="BJ73"/>
      <c r="BK73"/>
      <c r="BL73"/>
      <c r="BM73" t="s">
        <v>354</v>
      </c>
      <c r="BN73" t="s">
        <v>305</v>
      </c>
      <c r="BO73"/>
      <c r="BP73"/>
      <c r="BQ73" t="s">
        <v>1522</v>
      </c>
      <c r="BR73">
        <v>7.5</v>
      </c>
      <c r="BS73">
        <v>7.8</v>
      </c>
      <c r="BT73">
        <v>8.5</v>
      </c>
      <c r="BU73">
        <v>8.3000000000000007</v>
      </c>
      <c r="BV73">
        <v>8.4</v>
      </c>
      <c r="BW73">
        <v>8.8000000000000007</v>
      </c>
      <c r="BX73">
        <v>7.9</v>
      </c>
      <c r="BY73">
        <v>0</v>
      </c>
      <c r="BZ73">
        <v>0</v>
      </c>
      <c r="CA73">
        <v>8.8000000000000007</v>
      </c>
      <c r="CB73">
        <v>0</v>
      </c>
      <c r="CC73">
        <v>8.1999999999999993</v>
      </c>
      <c r="CD73">
        <v>0</v>
      </c>
      <c r="CE73">
        <v>0</v>
      </c>
      <c r="CF73">
        <v>0</v>
      </c>
      <c r="CG73">
        <v>0</v>
      </c>
      <c r="CH73">
        <v>0</v>
      </c>
      <c r="CI73">
        <v>0</v>
      </c>
      <c r="CJ73">
        <v>0</v>
      </c>
      <c r="CK73">
        <v>0</v>
      </c>
      <c r="CL73">
        <v>0</v>
      </c>
      <c r="CM73">
        <v>7.4</v>
      </c>
      <c r="CN73">
        <v>8.3000000000000007</v>
      </c>
      <c r="CO73">
        <v>8.3000000000000007</v>
      </c>
      <c r="CP73">
        <v>9</v>
      </c>
      <c r="CQ73">
        <v>8.6</v>
      </c>
      <c r="CR73">
        <v>8.1999999999999993</v>
      </c>
      <c r="CS73">
        <v>8.4</v>
      </c>
      <c r="CT73">
        <v>0</v>
      </c>
      <c r="CU73">
        <v>0</v>
      </c>
      <c r="CV73">
        <v>8.8000000000000007</v>
      </c>
      <c r="CW73">
        <v>0</v>
      </c>
      <c r="CX73">
        <v>8.4</v>
      </c>
      <c r="CY73">
        <v>0</v>
      </c>
      <c r="CZ73">
        <v>0</v>
      </c>
      <c r="DA73">
        <v>0</v>
      </c>
      <c r="DB73">
        <v>0</v>
      </c>
      <c r="DC73">
        <v>0</v>
      </c>
      <c r="DD73">
        <v>0</v>
      </c>
      <c r="DE73">
        <v>0</v>
      </c>
      <c r="DF73">
        <v>0</v>
      </c>
      <c r="DG73">
        <v>0</v>
      </c>
      <c r="DH73">
        <v>7.8</v>
      </c>
      <c r="DI73">
        <v>8</v>
      </c>
      <c r="DJ73">
        <v>8.9</v>
      </c>
      <c r="DK73">
        <v>9</v>
      </c>
      <c r="DL73">
        <v>8.6999999999999993</v>
      </c>
      <c r="DM73">
        <v>8.9</v>
      </c>
      <c r="DN73">
        <v>8.6999999999999993</v>
      </c>
      <c r="DO73">
        <v>0</v>
      </c>
      <c r="DP73">
        <v>0</v>
      </c>
      <c r="DQ73">
        <v>9</v>
      </c>
      <c r="DR73">
        <v>0</v>
      </c>
      <c r="DS73">
        <v>9.1999999999999993</v>
      </c>
      <c r="DT73">
        <v>0</v>
      </c>
      <c r="DU73">
        <v>0</v>
      </c>
      <c r="DV73">
        <v>0</v>
      </c>
      <c r="DW73">
        <v>0</v>
      </c>
      <c r="DX73">
        <v>0</v>
      </c>
      <c r="DY73">
        <v>0</v>
      </c>
      <c r="DZ73">
        <v>0</v>
      </c>
      <c r="EA73">
        <v>0</v>
      </c>
      <c r="EB73">
        <v>0</v>
      </c>
      <c r="EC73"/>
      <c r="ED73"/>
      <c r="EE73"/>
      <c r="EF73"/>
      <c r="EG73"/>
      <c r="EH73"/>
      <c r="EI73"/>
      <c r="EJ73"/>
      <c r="EK73"/>
      <c r="EL73"/>
      <c r="EM73"/>
      <c r="EN73"/>
      <c r="EO73"/>
      <c r="EP73"/>
      <c r="EQ73"/>
      <c r="ER73"/>
      <c r="ES73"/>
      <c r="ET73"/>
      <c r="EU73"/>
      <c r="EV73"/>
      <c r="EW73">
        <v>111</v>
      </c>
      <c r="EX73">
        <v>126</v>
      </c>
      <c r="EY73">
        <v>83.5</v>
      </c>
      <c r="EZ73"/>
      <c r="FA73">
        <v>106</v>
      </c>
      <c r="FB73"/>
      <c r="FC73"/>
      <c r="FD73"/>
    </row>
    <row r="74" spans="1:160" x14ac:dyDescent="0.25">
      <c r="A74" s="1" t="str">
        <f t="shared" si="1"/>
        <v>082308013726</v>
      </c>
      <c r="B74" t="s">
        <v>1524</v>
      </c>
      <c r="C74" t="s">
        <v>1525</v>
      </c>
      <c r="D74" t="s">
        <v>1526</v>
      </c>
      <c r="E74" t="s">
        <v>278</v>
      </c>
      <c r="F74" t="s">
        <v>1527</v>
      </c>
      <c r="G74" t="s">
        <v>1528</v>
      </c>
      <c r="H74" t="s">
        <v>1529</v>
      </c>
      <c r="I74" t="s">
        <v>83</v>
      </c>
      <c r="J74" t="s">
        <v>1530</v>
      </c>
      <c r="K74" t="s">
        <v>321</v>
      </c>
      <c r="L74"/>
      <c r="M74" t="s">
        <v>287</v>
      </c>
      <c r="N74" t="s">
        <v>288</v>
      </c>
      <c r="O74"/>
      <c r="P74" t="s">
        <v>289</v>
      </c>
      <c r="Q74" t="s">
        <v>1531</v>
      </c>
      <c r="R74" t="s">
        <v>287</v>
      </c>
      <c r="S74" t="s">
        <v>287</v>
      </c>
      <c r="T74" t="s">
        <v>287</v>
      </c>
      <c r="U74"/>
      <c r="V74"/>
      <c r="W74"/>
      <c r="X74"/>
      <c r="Y74"/>
      <c r="Z74"/>
      <c r="AA74" t="s">
        <v>287</v>
      </c>
      <c r="AB74"/>
      <c r="AC74"/>
      <c r="AD74"/>
      <c r="AE74"/>
      <c r="AF74" t="s">
        <v>323</v>
      </c>
      <c r="AG74" t="s">
        <v>1532</v>
      </c>
      <c r="AH74" t="s">
        <v>1533</v>
      </c>
      <c r="AI74" t="s">
        <v>323</v>
      </c>
      <c r="AJ74" t="s">
        <v>1532</v>
      </c>
      <c r="AK74" t="s">
        <v>1533</v>
      </c>
      <c r="AL74" t="s">
        <v>323</v>
      </c>
      <c r="AM74" t="s">
        <v>1532</v>
      </c>
      <c r="AN74" t="s">
        <v>1533</v>
      </c>
      <c r="AO74" t="s">
        <v>299</v>
      </c>
      <c r="AP74" t="s">
        <v>603</v>
      </c>
      <c r="AQ74" t="s">
        <v>1534</v>
      </c>
      <c r="AR74" t="s">
        <v>1535</v>
      </c>
      <c r="AS74" t="s">
        <v>581</v>
      </c>
      <c r="AT74" t="s">
        <v>808</v>
      </c>
      <c r="AU74" t="s">
        <v>354</v>
      </c>
      <c r="AV74"/>
      <c r="AW74" t="s">
        <v>526</v>
      </c>
      <c r="AX74" t="s">
        <v>527</v>
      </c>
      <c r="AY74"/>
      <c r="AZ74"/>
      <c r="BA74"/>
      <c r="BB74"/>
      <c r="BC74" t="s">
        <v>669</v>
      </c>
      <c r="BD74" t="s">
        <v>353</v>
      </c>
      <c r="BE74" t="s">
        <v>1536</v>
      </c>
      <c r="BF74" t="s">
        <v>314</v>
      </c>
      <c r="BG74"/>
      <c r="BH74"/>
      <c r="BI74"/>
      <c r="BJ74"/>
      <c r="BK74"/>
      <c r="BL74"/>
      <c r="BM74" t="s">
        <v>305</v>
      </c>
      <c r="BN74" t="s">
        <v>354</v>
      </c>
      <c r="BO74" t="s">
        <v>1537</v>
      </c>
      <c r="BP74"/>
      <c r="BQ74"/>
      <c r="BR74">
        <v>7.4</v>
      </c>
      <c r="BS74">
        <v>8.1</v>
      </c>
      <c r="BT74">
        <v>7.1</v>
      </c>
      <c r="BU74">
        <v>8.8000000000000007</v>
      </c>
      <c r="BV74">
        <v>8.3000000000000007</v>
      </c>
      <c r="BW74">
        <v>0</v>
      </c>
      <c r="BX74">
        <v>0</v>
      </c>
      <c r="BY74">
        <v>7.3</v>
      </c>
      <c r="BZ74">
        <v>6.6</v>
      </c>
      <c r="CA74">
        <v>0</v>
      </c>
      <c r="CB74">
        <v>8.6999999999999993</v>
      </c>
      <c r="CC74">
        <v>8.8000000000000007</v>
      </c>
      <c r="CD74">
        <v>0</v>
      </c>
      <c r="CE74">
        <v>0</v>
      </c>
      <c r="CF74">
        <v>0</v>
      </c>
      <c r="CG74">
        <v>0</v>
      </c>
      <c r="CH74">
        <v>0</v>
      </c>
      <c r="CI74">
        <v>0</v>
      </c>
      <c r="CJ74">
        <v>0</v>
      </c>
      <c r="CK74">
        <v>0</v>
      </c>
      <c r="CL74">
        <v>0</v>
      </c>
      <c r="CM74">
        <v>7.6</v>
      </c>
      <c r="CN74">
        <v>8.3000000000000007</v>
      </c>
      <c r="CO74">
        <v>8.1</v>
      </c>
      <c r="CP74">
        <v>9.1999999999999993</v>
      </c>
      <c r="CQ74">
        <v>8.8000000000000007</v>
      </c>
      <c r="CR74">
        <v>0</v>
      </c>
      <c r="CS74">
        <v>0</v>
      </c>
      <c r="CT74">
        <v>8.5</v>
      </c>
      <c r="CU74">
        <v>8.9</v>
      </c>
      <c r="CV74">
        <v>0</v>
      </c>
      <c r="CW74">
        <v>9</v>
      </c>
      <c r="CX74">
        <v>8.6999999999999993</v>
      </c>
      <c r="CY74">
        <v>0</v>
      </c>
      <c r="CZ74">
        <v>0</v>
      </c>
      <c r="DA74">
        <v>0</v>
      </c>
      <c r="DB74">
        <v>0</v>
      </c>
      <c r="DC74">
        <v>0</v>
      </c>
      <c r="DD74">
        <v>0</v>
      </c>
      <c r="DE74">
        <v>0</v>
      </c>
      <c r="DF74">
        <v>0</v>
      </c>
      <c r="DG74">
        <v>0</v>
      </c>
      <c r="DH74">
        <v>9.1999999999999993</v>
      </c>
      <c r="DI74">
        <v>8.4</v>
      </c>
      <c r="DJ74">
        <v>9</v>
      </c>
      <c r="DK74">
        <v>9.5</v>
      </c>
      <c r="DL74">
        <v>9.1999999999999993</v>
      </c>
      <c r="DM74">
        <v>0</v>
      </c>
      <c r="DN74">
        <v>0</v>
      </c>
      <c r="DO74">
        <v>8.5</v>
      </c>
      <c r="DP74">
        <v>8.6</v>
      </c>
      <c r="DQ74">
        <v>0</v>
      </c>
      <c r="DR74">
        <v>9.1</v>
      </c>
      <c r="DS74">
        <v>9.3000000000000007</v>
      </c>
      <c r="DT74">
        <v>0</v>
      </c>
      <c r="DU74">
        <v>0</v>
      </c>
      <c r="DV74">
        <v>0</v>
      </c>
      <c r="DW74">
        <v>0</v>
      </c>
      <c r="DX74">
        <v>0</v>
      </c>
      <c r="DY74">
        <v>0</v>
      </c>
      <c r="DZ74">
        <v>0</v>
      </c>
      <c r="EA74">
        <v>0</v>
      </c>
      <c r="EB74">
        <v>0</v>
      </c>
      <c r="EC74">
        <v>5.5</v>
      </c>
      <c r="ED74">
        <v>7.25</v>
      </c>
      <c r="EE74">
        <v>1.75</v>
      </c>
      <c r="EF74"/>
      <c r="EG74"/>
      <c r="EH74"/>
      <c r="EI74"/>
      <c r="EJ74">
        <v>3.25</v>
      </c>
      <c r="EK74"/>
      <c r="EL74"/>
      <c r="EM74"/>
      <c r="EN74"/>
      <c r="EO74"/>
      <c r="EP74"/>
      <c r="EQ74"/>
      <c r="ER74"/>
      <c r="ES74"/>
      <c r="ET74"/>
      <c r="EU74"/>
      <c r="EV74"/>
      <c r="EW74"/>
      <c r="EX74"/>
      <c r="EY74"/>
      <c r="EZ74"/>
      <c r="FA74"/>
      <c r="FB74"/>
      <c r="FC74"/>
      <c r="FD74"/>
    </row>
    <row r="75" spans="1:160" x14ac:dyDescent="0.25">
      <c r="A75" s="1" t="str">
        <f t="shared" si="1"/>
        <v>086208001876</v>
      </c>
      <c r="B75" t="s">
        <v>1538</v>
      </c>
      <c r="C75" t="s">
        <v>1539</v>
      </c>
      <c r="D75" t="s">
        <v>1540</v>
      </c>
      <c r="E75" t="s">
        <v>280</v>
      </c>
      <c r="F75" t="s">
        <v>1541</v>
      </c>
      <c r="G75" t="s">
        <v>1542</v>
      </c>
      <c r="H75" t="s">
        <v>1543</v>
      </c>
      <c r="I75" t="s">
        <v>70</v>
      </c>
      <c r="J75" t="s">
        <v>1544</v>
      </c>
      <c r="K75" t="s">
        <v>321</v>
      </c>
      <c r="L75"/>
      <c r="M75" t="s">
        <v>287</v>
      </c>
      <c r="N75" t="s">
        <v>288</v>
      </c>
      <c r="O75"/>
      <c r="P75" t="s">
        <v>289</v>
      </c>
      <c r="Q75" t="s">
        <v>1545</v>
      </c>
      <c r="R75" t="s">
        <v>287</v>
      </c>
      <c r="S75" t="s">
        <v>287</v>
      </c>
      <c r="T75" t="s">
        <v>287</v>
      </c>
      <c r="U75"/>
      <c r="V75"/>
      <c r="W75"/>
      <c r="X75"/>
      <c r="Y75"/>
      <c r="Z75"/>
      <c r="AA75" t="s">
        <v>287</v>
      </c>
      <c r="AB75"/>
      <c r="AC75"/>
      <c r="AD75"/>
      <c r="AE75"/>
      <c r="AF75" t="s">
        <v>421</v>
      </c>
      <c r="AG75" t="s">
        <v>1546</v>
      </c>
      <c r="AH75" t="s">
        <v>1547</v>
      </c>
      <c r="AI75" t="s">
        <v>421</v>
      </c>
      <c r="AJ75" t="s">
        <v>1546</v>
      </c>
      <c r="AK75" t="s">
        <v>1547</v>
      </c>
      <c r="AL75" t="s">
        <v>421</v>
      </c>
      <c r="AM75" t="s">
        <v>1546</v>
      </c>
      <c r="AN75" t="s">
        <v>1547</v>
      </c>
      <c r="AO75" t="s">
        <v>299</v>
      </c>
      <c r="AP75" t="s">
        <v>603</v>
      </c>
      <c r="AQ75" t="s">
        <v>1548</v>
      </c>
      <c r="AR75" t="s">
        <v>1549</v>
      </c>
      <c r="AS75" t="s">
        <v>643</v>
      </c>
      <c r="AT75" t="s">
        <v>1262</v>
      </c>
      <c r="AU75" t="s">
        <v>354</v>
      </c>
      <c r="AV75"/>
      <c r="AW75" t="s">
        <v>545</v>
      </c>
      <c r="AX75" t="s">
        <v>546</v>
      </c>
      <c r="AY75"/>
      <c r="AZ75"/>
      <c r="BA75"/>
      <c r="BB75"/>
      <c r="BC75" t="s">
        <v>669</v>
      </c>
      <c r="BD75" t="s">
        <v>353</v>
      </c>
      <c r="BE75"/>
      <c r="BF75" t="s">
        <v>314</v>
      </c>
      <c r="BG75"/>
      <c r="BH75"/>
      <c r="BI75"/>
      <c r="BJ75"/>
      <c r="BK75"/>
      <c r="BL75"/>
      <c r="BM75" t="s">
        <v>305</v>
      </c>
      <c r="BN75" t="s">
        <v>354</v>
      </c>
      <c r="BO75" t="s">
        <v>1550</v>
      </c>
      <c r="BP75"/>
      <c r="BQ75"/>
      <c r="BR75">
        <v>7.4</v>
      </c>
      <c r="BS75">
        <v>7.3</v>
      </c>
      <c r="BT75">
        <v>8</v>
      </c>
      <c r="BU75">
        <v>7.3</v>
      </c>
      <c r="BV75">
        <v>8.6999999999999993</v>
      </c>
      <c r="BW75">
        <v>0</v>
      </c>
      <c r="BX75">
        <v>0</v>
      </c>
      <c r="BY75">
        <v>8.4</v>
      </c>
      <c r="BZ75">
        <v>8.1999999999999993</v>
      </c>
      <c r="CA75">
        <v>8.1</v>
      </c>
      <c r="CB75">
        <v>0</v>
      </c>
      <c r="CC75">
        <v>8</v>
      </c>
      <c r="CD75">
        <v>0</v>
      </c>
      <c r="CE75">
        <v>0</v>
      </c>
      <c r="CF75">
        <v>0</v>
      </c>
      <c r="CG75">
        <v>0</v>
      </c>
      <c r="CH75">
        <v>0</v>
      </c>
      <c r="CI75">
        <v>0</v>
      </c>
      <c r="CJ75">
        <v>0</v>
      </c>
      <c r="CK75">
        <v>0</v>
      </c>
      <c r="CL75">
        <v>0</v>
      </c>
      <c r="CM75">
        <v>7.4</v>
      </c>
      <c r="CN75">
        <v>8.1</v>
      </c>
      <c r="CO75">
        <v>8.9</v>
      </c>
      <c r="CP75">
        <v>7.1</v>
      </c>
      <c r="CQ75">
        <v>8.5</v>
      </c>
      <c r="CR75">
        <v>0</v>
      </c>
      <c r="CS75">
        <v>0</v>
      </c>
      <c r="CT75">
        <v>8.3000000000000007</v>
      </c>
      <c r="CU75">
        <v>8</v>
      </c>
      <c r="CV75">
        <v>7.3</v>
      </c>
      <c r="CW75">
        <v>0</v>
      </c>
      <c r="CX75">
        <v>8.3000000000000007</v>
      </c>
      <c r="CY75">
        <v>0</v>
      </c>
      <c r="CZ75">
        <v>0</v>
      </c>
      <c r="DA75">
        <v>0</v>
      </c>
      <c r="DB75">
        <v>0</v>
      </c>
      <c r="DC75">
        <v>0</v>
      </c>
      <c r="DD75">
        <v>0</v>
      </c>
      <c r="DE75">
        <v>0</v>
      </c>
      <c r="DF75">
        <v>0</v>
      </c>
      <c r="DG75">
        <v>0</v>
      </c>
      <c r="DH75">
        <v>8.1</v>
      </c>
      <c r="DI75">
        <v>6.5</v>
      </c>
      <c r="DJ75">
        <v>8</v>
      </c>
      <c r="DK75">
        <v>8.4</v>
      </c>
      <c r="DL75">
        <v>8.6999999999999993</v>
      </c>
      <c r="DM75">
        <v>0</v>
      </c>
      <c r="DN75">
        <v>0</v>
      </c>
      <c r="DO75">
        <v>9.1999999999999993</v>
      </c>
      <c r="DP75">
        <v>9.1999999999999993</v>
      </c>
      <c r="DQ75">
        <v>8.3000000000000007</v>
      </c>
      <c r="DR75">
        <v>0</v>
      </c>
      <c r="DS75">
        <v>8.6</v>
      </c>
      <c r="DT75">
        <v>0</v>
      </c>
      <c r="DU75">
        <v>0</v>
      </c>
      <c r="DV75">
        <v>0</v>
      </c>
      <c r="DW75">
        <v>0</v>
      </c>
      <c r="DX75">
        <v>0</v>
      </c>
      <c r="DY75">
        <v>0</v>
      </c>
      <c r="DZ75">
        <v>0</v>
      </c>
      <c r="EA75">
        <v>0</v>
      </c>
      <c r="EB75">
        <v>0</v>
      </c>
      <c r="EC75">
        <v>6.75</v>
      </c>
      <c r="ED75">
        <v>4.5</v>
      </c>
      <c r="EE75"/>
      <c r="EF75"/>
      <c r="EG75"/>
      <c r="EH75"/>
      <c r="EI75"/>
      <c r="EJ75">
        <v>3.5</v>
      </c>
      <c r="EK75">
        <v>5.5</v>
      </c>
      <c r="EL75"/>
      <c r="EM75"/>
      <c r="EN75"/>
      <c r="EO75"/>
      <c r="EP75"/>
      <c r="EQ75"/>
      <c r="ER75"/>
      <c r="ES75"/>
      <c r="ET75"/>
      <c r="EU75"/>
      <c r="EV75"/>
      <c r="EW75"/>
      <c r="EX75"/>
      <c r="EY75"/>
      <c r="EZ75"/>
      <c r="FA75"/>
      <c r="FB75"/>
      <c r="FC75"/>
      <c r="FD75"/>
    </row>
    <row r="76" spans="1:160" x14ac:dyDescent="0.25">
      <c r="A76" s="1" t="str">
        <f t="shared" si="1"/>
        <v>092308000202</v>
      </c>
      <c r="B76" t="s">
        <v>1551</v>
      </c>
      <c r="C76" t="s">
        <v>1552</v>
      </c>
      <c r="D76" t="s">
        <v>1553</v>
      </c>
      <c r="E76" t="s">
        <v>278</v>
      </c>
      <c r="F76" t="s">
        <v>1554</v>
      </c>
      <c r="G76" t="s">
        <v>1555</v>
      </c>
      <c r="H76" t="s">
        <v>1556</v>
      </c>
      <c r="I76" t="s">
        <v>34</v>
      </c>
      <c r="J76" t="s">
        <v>1557</v>
      </c>
      <c r="K76" t="s">
        <v>476</v>
      </c>
      <c r="L76"/>
      <c r="M76" t="s">
        <v>287</v>
      </c>
      <c r="N76" t="s">
        <v>288</v>
      </c>
      <c r="O76"/>
      <c r="P76" t="s">
        <v>289</v>
      </c>
      <c r="Q76" t="s">
        <v>1558</v>
      </c>
      <c r="R76" t="s">
        <v>287</v>
      </c>
      <c r="S76" t="s">
        <v>287</v>
      </c>
      <c r="T76" t="s">
        <v>287</v>
      </c>
      <c r="U76"/>
      <c r="V76"/>
      <c r="W76"/>
      <c r="X76"/>
      <c r="Y76"/>
      <c r="Z76"/>
      <c r="AA76" t="s">
        <v>287</v>
      </c>
      <c r="AB76"/>
      <c r="AC76"/>
      <c r="AD76"/>
      <c r="AE76"/>
      <c r="AF76" t="s">
        <v>383</v>
      </c>
      <c r="AG76" t="s">
        <v>1559</v>
      </c>
      <c r="AH76" t="s">
        <v>1560</v>
      </c>
      <c r="AI76" t="s">
        <v>383</v>
      </c>
      <c r="AJ76" t="s">
        <v>1559</v>
      </c>
      <c r="AK76" t="s">
        <v>1560</v>
      </c>
      <c r="AL76" t="s">
        <v>383</v>
      </c>
      <c r="AM76" t="s">
        <v>1559</v>
      </c>
      <c r="AN76" t="s">
        <v>1560</v>
      </c>
      <c r="AO76" t="s">
        <v>299</v>
      </c>
      <c r="AP76" t="s">
        <v>348</v>
      </c>
      <c r="AQ76" t="s">
        <v>294</v>
      </c>
      <c r="AR76" t="s">
        <v>644</v>
      </c>
      <c r="AS76" t="s">
        <v>1561</v>
      </c>
      <c r="AT76" t="s">
        <v>1562</v>
      </c>
      <c r="AU76" t="s">
        <v>354</v>
      </c>
      <c r="AV76"/>
      <c r="AW76" t="s">
        <v>308</v>
      </c>
      <c r="AX76" t="s">
        <v>309</v>
      </c>
      <c r="AY76"/>
      <c r="AZ76"/>
      <c r="BA76"/>
      <c r="BB76"/>
      <c r="BC76" t="s">
        <v>669</v>
      </c>
      <c r="BD76" t="s">
        <v>353</v>
      </c>
      <c r="BE76"/>
      <c r="BF76" t="s">
        <v>314</v>
      </c>
      <c r="BG76"/>
      <c r="BH76"/>
      <c r="BI76"/>
      <c r="BJ76"/>
      <c r="BK76"/>
      <c r="BL76"/>
      <c r="BM76" t="s">
        <v>305</v>
      </c>
      <c r="BN76" t="s">
        <v>305</v>
      </c>
      <c r="BO76" t="s">
        <v>1563</v>
      </c>
      <c r="BP76"/>
      <c r="BQ76" t="s">
        <v>1564</v>
      </c>
      <c r="BR76">
        <v>6.2</v>
      </c>
      <c r="BS76">
        <v>8</v>
      </c>
      <c r="BT76">
        <v>7.3</v>
      </c>
      <c r="BU76">
        <v>8.6999999999999993</v>
      </c>
      <c r="BV76">
        <v>8.3000000000000007</v>
      </c>
      <c r="BW76">
        <v>0</v>
      </c>
      <c r="BX76">
        <v>0</v>
      </c>
      <c r="BY76">
        <v>7.9</v>
      </c>
      <c r="BZ76">
        <v>7.7</v>
      </c>
      <c r="CA76">
        <v>7.9</v>
      </c>
      <c r="CB76">
        <v>0</v>
      </c>
      <c r="CC76">
        <v>8.6999999999999993</v>
      </c>
      <c r="CD76">
        <v>0</v>
      </c>
      <c r="CE76">
        <v>0</v>
      </c>
      <c r="CF76">
        <v>0</v>
      </c>
      <c r="CG76">
        <v>0</v>
      </c>
      <c r="CH76">
        <v>0</v>
      </c>
      <c r="CI76">
        <v>0</v>
      </c>
      <c r="CJ76">
        <v>0</v>
      </c>
      <c r="CK76">
        <v>0</v>
      </c>
      <c r="CL76">
        <v>0</v>
      </c>
      <c r="CM76">
        <v>7.9</v>
      </c>
      <c r="CN76">
        <v>7.6</v>
      </c>
      <c r="CO76">
        <v>7.6</v>
      </c>
      <c r="CP76">
        <v>8.8000000000000007</v>
      </c>
      <c r="CQ76">
        <v>8.3000000000000007</v>
      </c>
      <c r="CR76">
        <v>0</v>
      </c>
      <c r="CS76">
        <v>0</v>
      </c>
      <c r="CT76">
        <v>8.1999999999999993</v>
      </c>
      <c r="CU76">
        <v>8.1999999999999993</v>
      </c>
      <c r="CV76">
        <v>7.8</v>
      </c>
      <c r="CW76">
        <v>0</v>
      </c>
      <c r="CX76">
        <v>8.6999999999999993</v>
      </c>
      <c r="CY76">
        <v>0</v>
      </c>
      <c r="CZ76">
        <v>0</v>
      </c>
      <c r="DA76">
        <v>0</v>
      </c>
      <c r="DB76">
        <v>0</v>
      </c>
      <c r="DC76">
        <v>0</v>
      </c>
      <c r="DD76">
        <v>0</v>
      </c>
      <c r="DE76">
        <v>0</v>
      </c>
      <c r="DF76">
        <v>0</v>
      </c>
      <c r="DG76">
        <v>0</v>
      </c>
      <c r="DH76">
        <v>8.1999999999999993</v>
      </c>
      <c r="DI76">
        <v>9.1</v>
      </c>
      <c r="DJ76">
        <v>7.5</v>
      </c>
      <c r="DK76">
        <v>8.9</v>
      </c>
      <c r="DL76">
        <v>8.6</v>
      </c>
      <c r="DM76">
        <v>0</v>
      </c>
      <c r="DN76">
        <v>0</v>
      </c>
      <c r="DO76">
        <v>8.4</v>
      </c>
      <c r="DP76">
        <v>7.4</v>
      </c>
      <c r="DQ76">
        <v>8.3000000000000007</v>
      </c>
      <c r="DR76">
        <v>0</v>
      </c>
      <c r="DS76">
        <v>8.6999999999999993</v>
      </c>
      <c r="DT76">
        <v>0</v>
      </c>
      <c r="DU76">
        <v>0</v>
      </c>
      <c r="DV76">
        <v>0</v>
      </c>
      <c r="DW76">
        <v>0</v>
      </c>
      <c r="DX76">
        <v>0</v>
      </c>
      <c r="DY76">
        <v>0</v>
      </c>
      <c r="DZ76">
        <v>0</v>
      </c>
      <c r="EA76">
        <v>0</v>
      </c>
      <c r="EB76">
        <v>0</v>
      </c>
      <c r="EC76">
        <v>6.5</v>
      </c>
      <c r="ED76">
        <v>7</v>
      </c>
      <c r="EE76">
        <v>3</v>
      </c>
      <c r="EF76"/>
      <c r="EG76"/>
      <c r="EH76"/>
      <c r="EI76"/>
      <c r="EJ76">
        <v>4.25</v>
      </c>
      <c r="EK76"/>
      <c r="EL76"/>
      <c r="EM76"/>
      <c r="EN76"/>
      <c r="EO76"/>
      <c r="EP76"/>
      <c r="EQ76"/>
      <c r="ER76"/>
      <c r="ES76"/>
      <c r="ET76"/>
      <c r="EU76"/>
      <c r="EV76"/>
      <c r="EW76">
        <v>110</v>
      </c>
      <c r="EX76">
        <v>111.5</v>
      </c>
      <c r="EY76">
        <v>86</v>
      </c>
      <c r="EZ76"/>
      <c r="FA76"/>
      <c r="FB76"/>
      <c r="FC76"/>
      <c r="FD76"/>
    </row>
    <row r="77" spans="1:160" x14ac:dyDescent="0.25">
      <c r="A77" s="1" t="str">
        <f t="shared" si="1"/>
        <v>086307005884</v>
      </c>
      <c r="B77" t="s">
        <v>1565</v>
      </c>
      <c r="C77" t="s">
        <v>1566</v>
      </c>
      <c r="D77" t="s">
        <v>1567</v>
      </c>
      <c r="E77" t="s">
        <v>278</v>
      </c>
      <c r="F77" t="s">
        <v>1568</v>
      </c>
      <c r="G77" t="s">
        <v>1569</v>
      </c>
      <c r="H77" t="s">
        <v>1570</v>
      </c>
      <c r="I77" t="s">
        <v>64</v>
      </c>
      <c r="J77" t="s">
        <v>1571</v>
      </c>
      <c r="K77" t="s">
        <v>516</v>
      </c>
      <c r="L77"/>
      <c r="M77" t="s">
        <v>287</v>
      </c>
      <c r="N77" t="s">
        <v>288</v>
      </c>
      <c r="O77"/>
      <c r="P77" t="s">
        <v>655</v>
      </c>
      <c r="Q77"/>
      <c r="R77" t="s">
        <v>287</v>
      </c>
      <c r="S77" t="s">
        <v>287</v>
      </c>
      <c r="T77" t="s">
        <v>287</v>
      </c>
      <c r="U77"/>
      <c r="V77"/>
      <c r="W77"/>
      <c r="X77"/>
      <c r="Y77"/>
      <c r="Z77"/>
      <c r="AA77" t="s">
        <v>287</v>
      </c>
      <c r="AB77"/>
      <c r="AC77"/>
      <c r="AD77"/>
      <c r="AE77"/>
      <c r="AF77" t="s">
        <v>421</v>
      </c>
      <c r="AG77" t="s">
        <v>1572</v>
      </c>
      <c r="AH77" t="s">
        <v>1573</v>
      </c>
      <c r="AI77" t="s">
        <v>421</v>
      </c>
      <c r="AJ77" t="s">
        <v>1572</v>
      </c>
      <c r="AK77" t="s">
        <v>1573</v>
      </c>
      <c r="AL77" t="s">
        <v>421</v>
      </c>
      <c r="AM77" t="s">
        <v>1572</v>
      </c>
      <c r="AN77" t="s">
        <v>1573</v>
      </c>
      <c r="AO77" t="s">
        <v>299</v>
      </c>
      <c r="AP77" t="s">
        <v>300</v>
      </c>
      <c r="AQ77" t="s">
        <v>930</v>
      </c>
      <c r="AR77" t="s">
        <v>1323</v>
      </c>
      <c r="AS77" t="s">
        <v>368</v>
      </c>
      <c r="AT77" t="s">
        <v>731</v>
      </c>
      <c r="AU77" t="s">
        <v>354</v>
      </c>
      <c r="AV77"/>
      <c r="AW77" t="s">
        <v>526</v>
      </c>
      <c r="AX77" t="s">
        <v>527</v>
      </c>
      <c r="AY77"/>
      <c r="AZ77"/>
      <c r="BA77"/>
      <c r="BB77"/>
      <c r="BC77" t="s">
        <v>669</v>
      </c>
      <c r="BD77" t="s">
        <v>353</v>
      </c>
      <c r="BE77"/>
      <c r="BF77" t="s">
        <v>314</v>
      </c>
      <c r="BG77"/>
      <c r="BH77"/>
      <c r="BI77"/>
      <c r="BJ77"/>
      <c r="BK77"/>
      <c r="BL77"/>
      <c r="BM77" t="s">
        <v>354</v>
      </c>
      <c r="BN77" t="s">
        <v>305</v>
      </c>
      <c r="BO77"/>
      <c r="BP77"/>
      <c r="BQ77" t="s">
        <v>1574</v>
      </c>
      <c r="BR77">
        <v>8.1999999999999993</v>
      </c>
      <c r="BS77">
        <v>8.1</v>
      </c>
      <c r="BT77">
        <v>8.1999999999999993</v>
      </c>
      <c r="BU77">
        <v>8.4</v>
      </c>
      <c r="BV77">
        <v>8.8000000000000007</v>
      </c>
      <c r="BW77">
        <v>0</v>
      </c>
      <c r="BX77">
        <v>0</v>
      </c>
      <c r="BY77">
        <v>7.8</v>
      </c>
      <c r="BZ77">
        <v>8.1</v>
      </c>
      <c r="CA77">
        <v>8.4</v>
      </c>
      <c r="CB77">
        <v>9.9</v>
      </c>
      <c r="CC77">
        <v>0</v>
      </c>
      <c r="CD77">
        <v>0</v>
      </c>
      <c r="CE77">
        <v>0</v>
      </c>
      <c r="CF77">
        <v>0</v>
      </c>
      <c r="CG77">
        <v>0</v>
      </c>
      <c r="CH77">
        <v>0</v>
      </c>
      <c r="CI77">
        <v>0</v>
      </c>
      <c r="CJ77">
        <v>0</v>
      </c>
      <c r="CK77">
        <v>0</v>
      </c>
      <c r="CL77">
        <v>0</v>
      </c>
      <c r="CM77">
        <v>8.1</v>
      </c>
      <c r="CN77">
        <v>7.5</v>
      </c>
      <c r="CO77">
        <v>8.6</v>
      </c>
      <c r="CP77">
        <v>9</v>
      </c>
      <c r="CQ77">
        <v>9.1</v>
      </c>
      <c r="CR77">
        <v>0</v>
      </c>
      <c r="CS77">
        <v>0</v>
      </c>
      <c r="CT77">
        <v>8.1</v>
      </c>
      <c r="CU77">
        <v>8</v>
      </c>
      <c r="CV77">
        <v>8.4</v>
      </c>
      <c r="CW77">
        <v>9.3000000000000007</v>
      </c>
      <c r="CX77">
        <v>0</v>
      </c>
      <c r="CY77">
        <v>0</v>
      </c>
      <c r="CZ77">
        <v>0</v>
      </c>
      <c r="DA77">
        <v>0</v>
      </c>
      <c r="DB77">
        <v>0</v>
      </c>
      <c r="DC77">
        <v>0</v>
      </c>
      <c r="DD77">
        <v>0</v>
      </c>
      <c r="DE77">
        <v>0</v>
      </c>
      <c r="DF77">
        <v>0</v>
      </c>
      <c r="DG77">
        <v>0</v>
      </c>
      <c r="DH77">
        <v>8.1</v>
      </c>
      <c r="DI77">
        <v>7.8</v>
      </c>
      <c r="DJ77">
        <v>8.1</v>
      </c>
      <c r="DK77">
        <v>9.1</v>
      </c>
      <c r="DL77">
        <v>8.4</v>
      </c>
      <c r="DM77">
        <v>0</v>
      </c>
      <c r="DN77">
        <v>0</v>
      </c>
      <c r="DO77">
        <v>7.5</v>
      </c>
      <c r="DP77">
        <v>6.5</v>
      </c>
      <c r="DQ77">
        <v>7.7</v>
      </c>
      <c r="DR77">
        <v>9.1</v>
      </c>
      <c r="DS77">
        <v>0</v>
      </c>
      <c r="DT77">
        <v>0</v>
      </c>
      <c r="DU77">
        <v>0</v>
      </c>
      <c r="DV77">
        <v>0</v>
      </c>
      <c r="DW77">
        <v>0</v>
      </c>
      <c r="DX77">
        <v>0</v>
      </c>
      <c r="DY77">
        <v>0</v>
      </c>
      <c r="DZ77">
        <v>0</v>
      </c>
      <c r="EA77">
        <v>0</v>
      </c>
      <c r="EB77">
        <v>0</v>
      </c>
      <c r="EC77"/>
      <c r="ED77"/>
      <c r="EE77"/>
      <c r="EF77"/>
      <c r="EG77"/>
      <c r="EH77"/>
      <c r="EI77"/>
      <c r="EJ77"/>
      <c r="EK77"/>
      <c r="EL77"/>
      <c r="EM77"/>
      <c r="EN77"/>
      <c r="EO77"/>
      <c r="EP77"/>
      <c r="EQ77"/>
      <c r="ER77"/>
      <c r="ES77"/>
      <c r="ET77"/>
      <c r="EU77"/>
      <c r="EV77"/>
      <c r="EW77">
        <v>48.5</v>
      </c>
      <c r="EX77">
        <v>109.5</v>
      </c>
      <c r="EY77">
        <v>95.5</v>
      </c>
      <c r="EZ77"/>
      <c r="FA77"/>
      <c r="FB77"/>
      <c r="FC77"/>
      <c r="FD77"/>
    </row>
    <row r="78" spans="1:160" x14ac:dyDescent="0.25">
      <c r="A78" s="1" t="str">
        <f t="shared" si="1"/>
        <v>083308004568</v>
      </c>
      <c r="B78" t="s">
        <v>1575</v>
      </c>
      <c r="C78" t="s">
        <v>1576</v>
      </c>
      <c r="D78" t="s">
        <v>1577</v>
      </c>
      <c r="E78" t="s">
        <v>278</v>
      </c>
      <c r="F78" t="s">
        <v>1578</v>
      </c>
      <c r="G78" t="s">
        <v>1579</v>
      </c>
      <c r="H78" t="s">
        <v>1580</v>
      </c>
      <c r="I78" t="s">
        <v>78</v>
      </c>
      <c r="J78" t="s">
        <v>1581</v>
      </c>
      <c r="K78" t="s">
        <v>516</v>
      </c>
      <c r="L78"/>
      <c r="M78" t="s">
        <v>287</v>
      </c>
      <c r="N78" t="s">
        <v>288</v>
      </c>
      <c r="O78"/>
      <c r="P78" t="s">
        <v>289</v>
      </c>
      <c r="Q78" t="s">
        <v>1582</v>
      </c>
      <c r="R78" t="s">
        <v>287</v>
      </c>
      <c r="S78" t="s">
        <v>287</v>
      </c>
      <c r="T78" t="s">
        <v>287</v>
      </c>
      <c r="U78" t="s">
        <v>1583</v>
      </c>
      <c r="V78" t="s">
        <v>1584</v>
      </c>
      <c r="W78" t="s">
        <v>1585</v>
      </c>
      <c r="X78"/>
      <c r="Y78"/>
      <c r="Z78" t="s">
        <v>294</v>
      </c>
      <c r="AA78" t="s">
        <v>287</v>
      </c>
      <c r="AB78"/>
      <c r="AC78"/>
      <c r="AD78"/>
      <c r="AE78"/>
      <c r="AF78" t="s">
        <v>421</v>
      </c>
      <c r="AG78" t="s">
        <v>777</v>
      </c>
      <c r="AH78" t="s">
        <v>778</v>
      </c>
      <c r="AI78" t="s">
        <v>421</v>
      </c>
      <c r="AJ78" t="s">
        <v>777</v>
      </c>
      <c r="AK78" t="s">
        <v>778</v>
      </c>
      <c r="AL78" t="s">
        <v>421</v>
      </c>
      <c r="AM78" t="s">
        <v>777</v>
      </c>
      <c r="AN78" t="s">
        <v>778</v>
      </c>
      <c r="AO78" t="s">
        <v>299</v>
      </c>
      <c r="AP78" t="s">
        <v>348</v>
      </c>
      <c r="AQ78" t="s">
        <v>1337</v>
      </c>
      <c r="AR78" t="s">
        <v>442</v>
      </c>
      <c r="AS78" t="s">
        <v>465</v>
      </c>
      <c r="AT78" t="s">
        <v>914</v>
      </c>
      <c r="AU78" t="s">
        <v>305</v>
      </c>
      <c r="AV78"/>
      <c r="AW78" t="s">
        <v>349</v>
      </c>
      <c r="AX78" t="s">
        <v>350</v>
      </c>
      <c r="AY78"/>
      <c r="AZ78"/>
      <c r="BA78"/>
      <c r="BB78"/>
      <c r="BC78" t="s">
        <v>669</v>
      </c>
      <c r="BD78" t="s">
        <v>353</v>
      </c>
      <c r="BE78"/>
      <c r="BF78" t="s">
        <v>314</v>
      </c>
      <c r="BG78"/>
      <c r="BH78"/>
      <c r="BI78"/>
      <c r="BJ78"/>
      <c r="BK78"/>
      <c r="BL78"/>
      <c r="BM78" t="s">
        <v>305</v>
      </c>
      <c r="BN78" t="s">
        <v>354</v>
      </c>
      <c r="BO78" t="s">
        <v>1586</v>
      </c>
      <c r="BP78" t="s">
        <v>1587</v>
      </c>
      <c r="BQ78"/>
      <c r="BR78">
        <v>9.1</v>
      </c>
      <c r="BS78">
        <v>8.6999999999999993</v>
      </c>
      <c r="BT78">
        <v>8.8000000000000007</v>
      </c>
      <c r="BU78">
        <v>10</v>
      </c>
      <c r="BV78">
        <v>8.8000000000000007</v>
      </c>
      <c r="BW78">
        <v>9.5</v>
      </c>
      <c r="BX78">
        <v>0</v>
      </c>
      <c r="BY78">
        <v>9.9</v>
      </c>
      <c r="BZ78">
        <v>9.1999999999999993</v>
      </c>
      <c r="CA78">
        <v>0</v>
      </c>
      <c r="CB78">
        <v>0</v>
      </c>
      <c r="CC78">
        <v>9.9</v>
      </c>
      <c r="CD78">
        <v>0</v>
      </c>
      <c r="CE78">
        <v>0</v>
      </c>
      <c r="CF78">
        <v>0</v>
      </c>
      <c r="CG78">
        <v>0</v>
      </c>
      <c r="CH78">
        <v>0</v>
      </c>
      <c r="CI78">
        <v>0</v>
      </c>
      <c r="CJ78">
        <v>0</v>
      </c>
      <c r="CK78">
        <v>0</v>
      </c>
      <c r="CL78">
        <v>0</v>
      </c>
      <c r="CM78">
        <v>8.1</v>
      </c>
      <c r="CN78">
        <v>8.3000000000000007</v>
      </c>
      <c r="CO78">
        <v>9.6</v>
      </c>
      <c r="CP78">
        <v>9.9</v>
      </c>
      <c r="CQ78">
        <v>9.9</v>
      </c>
      <c r="CR78">
        <v>9.6</v>
      </c>
      <c r="CS78">
        <v>0</v>
      </c>
      <c r="CT78">
        <v>9.1999999999999993</v>
      </c>
      <c r="CU78">
        <v>9</v>
      </c>
      <c r="CV78">
        <v>0</v>
      </c>
      <c r="CW78">
        <v>0</v>
      </c>
      <c r="CX78">
        <v>9.6</v>
      </c>
      <c r="CY78">
        <v>0</v>
      </c>
      <c r="CZ78">
        <v>0</v>
      </c>
      <c r="DA78">
        <v>0</v>
      </c>
      <c r="DB78">
        <v>0</v>
      </c>
      <c r="DC78">
        <v>0</v>
      </c>
      <c r="DD78">
        <v>0</v>
      </c>
      <c r="DE78">
        <v>0</v>
      </c>
      <c r="DF78">
        <v>0</v>
      </c>
      <c r="DG78">
        <v>0</v>
      </c>
      <c r="DH78">
        <v>8.5</v>
      </c>
      <c r="DI78">
        <v>8.1999999999999993</v>
      </c>
      <c r="DJ78">
        <v>9.6999999999999993</v>
      </c>
      <c r="DK78">
        <v>10</v>
      </c>
      <c r="DL78">
        <v>9.1</v>
      </c>
      <c r="DM78">
        <v>9.8000000000000007</v>
      </c>
      <c r="DN78">
        <v>0</v>
      </c>
      <c r="DO78">
        <v>9</v>
      </c>
      <c r="DP78">
        <v>8.8000000000000007</v>
      </c>
      <c r="DQ78">
        <v>0</v>
      </c>
      <c r="DR78">
        <v>0</v>
      </c>
      <c r="DS78">
        <v>9.8000000000000007</v>
      </c>
      <c r="DT78">
        <v>0</v>
      </c>
      <c r="DU78">
        <v>0</v>
      </c>
      <c r="DV78">
        <v>0</v>
      </c>
      <c r="DW78">
        <v>0</v>
      </c>
      <c r="DX78">
        <v>0</v>
      </c>
      <c r="DY78">
        <v>0</v>
      </c>
      <c r="DZ78">
        <v>0</v>
      </c>
      <c r="EA78">
        <v>0</v>
      </c>
      <c r="EB78">
        <v>0</v>
      </c>
      <c r="EC78">
        <v>7</v>
      </c>
      <c r="ED78">
        <v>5.5</v>
      </c>
      <c r="EE78">
        <v>4</v>
      </c>
      <c r="EF78"/>
      <c r="EG78"/>
      <c r="EH78"/>
      <c r="EI78"/>
      <c r="EJ78">
        <v>6.5</v>
      </c>
      <c r="EK78"/>
      <c r="EL78"/>
      <c r="EM78"/>
      <c r="EN78"/>
      <c r="EO78"/>
      <c r="EP78"/>
      <c r="EQ78"/>
      <c r="ER78"/>
      <c r="ES78"/>
      <c r="ET78"/>
      <c r="EU78"/>
      <c r="EV78"/>
      <c r="EW78"/>
      <c r="EX78"/>
      <c r="EY78"/>
      <c r="EZ78"/>
      <c r="FA78"/>
      <c r="FB78">
        <v>91</v>
      </c>
      <c r="FC78">
        <v>63.5</v>
      </c>
      <c r="FD78"/>
    </row>
    <row r="79" spans="1:160" x14ac:dyDescent="0.25">
      <c r="A79" s="1" t="str">
        <f t="shared" si="1"/>
        <v>087308009654</v>
      </c>
      <c r="B79" t="s">
        <v>1588</v>
      </c>
      <c r="C79" t="s">
        <v>1589</v>
      </c>
      <c r="D79" t="s">
        <v>1590</v>
      </c>
      <c r="E79" t="s">
        <v>278</v>
      </c>
      <c r="F79" t="s">
        <v>1591</v>
      </c>
      <c r="G79" t="s">
        <v>1592</v>
      </c>
      <c r="H79" t="s">
        <v>1593</v>
      </c>
      <c r="I79" t="s">
        <v>50</v>
      </c>
      <c r="J79" t="s">
        <v>1594</v>
      </c>
      <c r="K79" t="s">
        <v>516</v>
      </c>
      <c r="L79"/>
      <c r="M79" t="s">
        <v>287</v>
      </c>
      <c r="N79" t="s">
        <v>288</v>
      </c>
      <c r="O79"/>
      <c r="P79" t="s">
        <v>289</v>
      </c>
      <c r="Q79" t="s">
        <v>1595</v>
      </c>
      <c r="R79" t="s">
        <v>287</v>
      </c>
      <c r="S79" t="s">
        <v>287</v>
      </c>
      <c r="T79" t="s">
        <v>287</v>
      </c>
      <c r="U79"/>
      <c r="V79"/>
      <c r="W79" t="s">
        <v>294</v>
      </c>
      <c r="X79" t="s">
        <v>1596</v>
      </c>
      <c r="Y79" t="s">
        <v>1597</v>
      </c>
      <c r="Z79" t="s">
        <v>1598</v>
      </c>
      <c r="AA79" t="s">
        <v>287</v>
      </c>
      <c r="AB79"/>
      <c r="AC79"/>
      <c r="AD79"/>
      <c r="AE79"/>
      <c r="AF79" t="s">
        <v>323</v>
      </c>
      <c r="AG79" t="s">
        <v>1599</v>
      </c>
      <c r="AH79" t="s">
        <v>1600</v>
      </c>
      <c r="AI79" t="s">
        <v>323</v>
      </c>
      <c r="AJ79" t="s">
        <v>1599</v>
      </c>
      <c r="AK79" t="s">
        <v>1600</v>
      </c>
      <c r="AL79" t="s">
        <v>323</v>
      </c>
      <c r="AM79" t="s">
        <v>1599</v>
      </c>
      <c r="AN79" t="s">
        <v>1600</v>
      </c>
      <c r="AO79" t="s">
        <v>299</v>
      </c>
      <c r="AP79" t="s">
        <v>603</v>
      </c>
      <c r="AQ79" t="s">
        <v>840</v>
      </c>
      <c r="AR79" t="s">
        <v>1523</v>
      </c>
      <c r="AS79" t="s">
        <v>302</v>
      </c>
      <c r="AT79" t="s">
        <v>1133</v>
      </c>
      <c r="AU79" t="s">
        <v>305</v>
      </c>
      <c r="AV79"/>
      <c r="AW79" t="s">
        <v>310</v>
      </c>
      <c r="AX79" t="s">
        <v>311</v>
      </c>
      <c r="AY79" t="s">
        <v>330</v>
      </c>
      <c r="AZ79" t="s">
        <v>331</v>
      </c>
      <c r="BA79" t="s">
        <v>372</v>
      </c>
      <c r="BB79" t="s">
        <v>373</v>
      </c>
      <c r="BC79" t="s">
        <v>669</v>
      </c>
      <c r="BD79" t="s">
        <v>353</v>
      </c>
      <c r="BE79" t="s">
        <v>1521</v>
      </c>
      <c r="BF79" t="s">
        <v>314</v>
      </c>
      <c r="BG79"/>
      <c r="BH79"/>
      <c r="BI79"/>
      <c r="BJ79"/>
      <c r="BK79"/>
      <c r="BL79"/>
      <c r="BM79" t="s">
        <v>305</v>
      </c>
      <c r="BN79" t="s">
        <v>354</v>
      </c>
      <c r="BO79" t="s">
        <v>1601</v>
      </c>
      <c r="BP79" t="s">
        <v>1602</v>
      </c>
      <c r="BQ79"/>
      <c r="BR79">
        <v>7.7</v>
      </c>
      <c r="BS79">
        <v>7.4</v>
      </c>
      <c r="BT79">
        <v>7.3</v>
      </c>
      <c r="BU79">
        <v>9.6999999999999993</v>
      </c>
      <c r="BV79">
        <v>8.3000000000000007</v>
      </c>
      <c r="BW79">
        <v>8.8000000000000007</v>
      </c>
      <c r="BX79">
        <v>7.5</v>
      </c>
      <c r="BY79">
        <v>0</v>
      </c>
      <c r="BZ79">
        <v>0</v>
      </c>
      <c r="CA79">
        <v>0</v>
      </c>
      <c r="CB79">
        <v>9.5</v>
      </c>
      <c r="CC79">
        <v>7.9</v>
      </c>
      <c r="CD79">
        <v>0</v>
      </c>
      <c r="CE79">
        <v>0</v>
      </c>
      <c r="CF79">
        <v>0</v>
      </c>
      <c r="CG79">
        <v>0</v>
      </c>
      <c r="CH79">
        <v>0</v>
      </c>
      <c r="CI79">
        <v>0</v>
      </c>
      <c r="CJ79">
        <v>0</v>
      </c>
      <c r="CK79">
        <v>0</v>
      </c>
      <c r="CL79">
        <v>0</v>
      </c>
      <c r="CM79">
        <v>7.5</v>
      </c>
      <c r="CN79">
        <v>7.8</v>
      </c>
      <c r="CO79">
        <v>8.1</v>
      </c>
      <c r="CP79">
        <v>9.9</v>
      </c>
      <c r="CQ79">
        <v>8.3000000000000007</v>
      </c>
      <c r="CR79">
        <v>9.9</v>
      </c>
      <c r="CS79">
        <v>7.9</v>
      </c>
      <c r="CT79">
        <v>0</v>
      </c>
      <c r="CU79">
        <v>0</v>
      </c>
      <c r="CV79">
        <v>0</v>
      </c>
      <c r="CW79">
        <v>9.1999999999999993</v>
      </c>
      <c r="CX79">
        <v>8</v>
      </c>
      <c r="CY79">
        <v>0</v>
      </c>
      <c r="CZ79">
        <v>0</v>
      </c>
      <c r="DA79">
        <v>0</v>
      </c>
      <c r="DB79">
        <v>0</v>
      </c>
      <c r="DC79">
        <v>0</v>
      </c>
      <c r="DD79">
        <v>0</v>
      </c>
      <c r="DE79">
        <v>0</v>
      </c>
      <c r="DF79">
        <v>0</v>
      </c>
      <c r="DG79">
        <v>0</v>
      </c>
      <c r="DH79">
        <v>8.3000000000000007</v>
      </c>
      <c r="DI79">
        <v>7.9</v>
      </c>
      <c r="DJ79">
        <v>7.9</v>
      </c>
      <c r="DK79">
        <v>9.6</v>
      </c>
      <c r="DL79">
        <v>7.9</v>
      </c>
      <c r="DM79">
        <v>9.5</v>
      </c>
      <c r="DN79">
        <v>8.1999999999999993</v>
      </c>
      <c r="DO79">
        <v>0</v>
      </c>
      <c r="DP79">
        <v>0</v>
      </c>
      <c r="DQ79">
        <v>0</v>
      </c>
      <c r="DR79">
        <v>9.1</v>
      </c>
      <c r="DS79">
        <v>9.1</v>
      </c>
      <c r="DT79">
        <v>0</v>
      </c>
      <c r="DU79">
        <v>0</v>
      </c>
      <c r="DV79">
        <v>0</v>
      </c>
      <c r="DW79">
        <v>0</v>
      </c>
      <c r="DX79">
        <v>0</v>
      </c>
      <c r="DY79">
        <v>0</v>
      </c>
      <c r="DZ79">
        <v>0</v>
      </c>
      <c r="EA79">
        <v>0</v>
      </c>
      <c r="EB79">
        <v>0</v>
      </c>
      <c r="EC79">
        <v>5.75</v>
      </c>
      <c r="ED79">
        <v>6.75</v>
      </c>
      <c r="EE79">
        <v>4.5</v>
      </c>
      <c r="EF79"/>
      <c r="EG79"/>
      <c r="EH79">
        <v>4.8499999999999996</v>
      </c>
      <c r="EI79"/>
      <c r="EJ79"/>
      <c r="EK79"/>
      <c r="EL79"/>
      <c r="EM79"/>
      <c r="EN79"/>
      <c r="EO79"/>
      <c r="EP79"/>
      <c r="EQ79"/>
      <c r="ER79"/>
      <c r="ES79"/>
      <c r="ET79"/>
      <c r="EU79"/>
      <c r="EV79"/>
      <c r="EW79"/>
      <c r="EX79"/>
      <c r="EY79"/>
      <c r="EZ79"/>
      <c r="FA79"/>
      <c r="FB79"/>
      <c r="FC79"/>
      <c r="FD79"/>
    </row>
    <row r="80" spans="1:160" x14ac:dyDescent="0.25">
      <c r="A80" s="1" t="str">
        <f t="shared" si="1"/>
        <v>072208011863</v>
      </c>
      <c r="B80" t="s">
        <v>1603</v>
      </c>
      <c r="C80" t="s">
        <v>1604</v>
      </c>
      <c r="D80" t="s">
        <v>1605</v>
      </c>
      <c r="E80" t="s">
        <v>280</v>
      </c>
      <c r="F80" t="s">
        <v>1606</v>
      </c>
      <c r="G80" t="s">
        <v>1607</v>
      </c>
      <c r="H80" t="s">
        <v>1608</v>
      </c>
      <c r="I80" t="s">
        <v>1609</v>
      </c>
      <c r="J80" t="s">
        <v>1610</v>
      </c>
      <c r="K80" t="s">
        <v>321</v>
      </c>
      <c r="L80"/>
      <c r="M80" t="s">
        <v>287</v>
      </c>
      <c r="N80" t="s">
        <v>288</v>
      </c>
      <c r="O80"/>
      <c r="P80" t="s">
        <v>289</v>
      </c>
      <c r="Q80" t="s">
        <v>1611</v>
      </c>
      <c r="R80" t="s">
        <v>287</v>
      </c>
      <c r="S80" t="s">
        <v>287</v>
      </c>
      <c r="T80" t="s">
        <v>287</v>
      </c>
      <c r="U80"/>
      <c r="V80"/>
      <c r="W80"/>
      <c r="X80"/>
      <c r="Y80"/>
      <c r="Z80"/>
      <c r="AA80" t="s">
        <v>287</v>
      </c>
      <c r="AB80"/>
      <c r="AC80"/>
      <c r="AD80"/>
      <c r="AE80"/>
      <c r="AF80" t="s">
        <v>576</v>
      </c>
      <c r="AG80" t="s">
        <v>1612</v>
      </c>
      <c r="AH80" t="s">
        <v>1613</v>
      </c>
      <c r="AI80" t="s">
        <v>576</v>
      </c>
      <c r="AJ80" t="s">
        <v>1612</v>
      </c>
      <c r="AK80" t="s">
        <v>1613</v>
      </c>
      <c r="AL80" t="s">
        <v>576</v>
      </c>
      <c r="AM80" t="s">
        <v>1612</v>
      </c>
      <c r="AN80" t="s">
        <v>1613</v>
      </c>
      <c r="AO80" t="s">
        <v>299</v>
      </c>
      <c r="AP80" t="s">
        <v>388</v>
      </c>
      <c r="AQ80" t="s">
        <v>1614</v>
      </c>
      <c r="AR80" t="s">
        <v>969</v>
      </c>
      <c r="AS80" t="s">
        <v>1615</v>
      </c>
      <c r="AT80" t="s">
        <v>613</v>
      </c>
      <c r="AU80" t="s">
        <v>354</v>
      </c>
      <c r="AV80"/>
      <c r="AW80" t="s">
        <v>349</v>
      </c>
      <c r="AX80" t="s">
        <v>350</v>
      </c>
      <c r="AY80" t="s">
        <v>351</v>
      </c>
      <c r="AZ80" t="s">
        <v>352</v>
      </c>
      <c r="BA80"/>
      <c r="BB80"/>
      <c r="BC80" t="s">
        <v>669</v>
      </c>
      <c r="BD80" t="s">
        <v>1339</v>
      </c>
      <c r="BE80" t="s">
        <v>1616</v>
      </c>
      <c r="BF80" t="s">
        <v>314</v>
      </c>
      <c r="BG80"/>
      <c r="BH80"/>
      <c r="BI80"/>
      <c r="BJ80"/>
      <c r="BK80"/>
      <c r="BL80"/>
      <c r="BM80" t="s">
        <v>305</v>
      </c>
      <c r="BN80" t="s">
        <v>354</v>
      </c>
      <c r="BO80" t="s">
        <v>1617</v>
      </c>
      <c r="BP80"/>
      <c r="BQ80"/>
      <c r="BR80">
        <v>8.4</v>
      </c>
      <c r="BS80">
        <v>6</v>
      </c>
      <c r="BT80">
        <v>4.7</v>
      </c>
      <c r="BU80">
        <v>8</v>
      </c>
      <c r="BV80">
        <v>7.2</v>
      </c>
      <c r="BW80">
        <v>0</v>
      </c>
      <c r="BX80">
        <v>0</v>
      </c>
      <c r="BY80">
        <v>6.5</v>
      </c>
      <c r="BZ80">
        <v>6.5</v>
      </c>
      <c r="CA80">
        <v>0</v>
      </c>
      <c r="CB80">
        <v>8.1</v>
      </c>
      <c r="CC80">
        <v>9.6</v>
      </c>
      <c r="CD80">
        <v>0</v>
      </c>
      <c r="CE80">
        <v>0</v>
      </c>
      <c r="CF80">
        <v>0</v>
      </c>
      <c r="CG80">
        <v>0</v>
      </c>
      <c r="CH80">
        <v>0</v>
      </c>
      <c r="CI80">
        <v>0</v>
      </c>
      <c r="CJ80">
        <v>0</v>
      </c>
      <c r="CK80">
        <v>0</v>
      </c>
      <c r="CL80">
        <v>0</v>
      </c>
      <c r="CM80">
        <v>8.1</v>
      </c>
      <c r="CN80">
        <v>6.5</v>
      </c>
      <c r="CO80">
        <v>5.5</v>
      </c>
      <c r="CP80">
        <v>9.1</v>
      </c>
      <c r="CQ80">
        <v>7.5</v>
      </c>
      <c r="CR80">
        <v>0</v>
      </c>
      <c r="CS80">
        <v>0</v>
      </c>
      <c r="CT80">
        <v>8.3000000000000007</v>
      </c>
      <c r="CU80">
        <v>6.5</v>
      </c>
      <c r="CV80">
        <v>0</v>
      </c>
      <c r="CW80">
        <v>8.4</v>
      </c>
      <c r="CX80">
        <v>9.4</v>
      </c>
      <c r="CY80">
        <v>0</v>
      </c>
      <c r="CZ80">
        <v>0</v>
      </c>
      <c r="DA80">
        <v>0</v>
      </c>
      <c r="DB80">
        <v>0</v>
      </c>
      <c r="DC80">
        <v>0</v>
      </c>
      <c r="DD80">
        <v>0</v>
      </c>
      <c r="DE80">
        <v>0</v>
      </c>
      <c r="DF80">
        <v>0</v>
      </c>
      <c r="DG80">
        <v>0</v>
      </c>
      <c r="DH80">
        <v>7.6</v>
      </c>
      <c r="DI80">
        <v>6.5</v>
      </c>
      <c r="DJ80">
        <v>6.7</v>
      </c>
      <c r="DK80">
        <v>8.3000000000000007</v>
      </c>
      <c r="DL80">
        <v>7.1</v>
      </c>
      <c r="DM80">
        <v>0</v>
      </c>
      <c r="DN80">
        <v>0</v>
      </c>
      <c r="DO80">
        <v>8.6</v>
      </c>
      <c r="DP80">
        <v>7.9</v>
      </c>
      <c r="DQ80">
        <v>0</v>
      </c>
      <c r="DR80">
        <v>9</v>
      </c>
      <c r="DS80">
        <v>9.5</v>
      </c>
      <c r="DT80">
        <v>0</v>
      </c>
      <c r="DU80">
        <v>0</v>
      </c>
      <c r="DV80">
        <v>0</v>
      </c>
      <c r="DW80">
        <v>0</v>
      </c>
      <c r="DX80">
        <v>0</v>
      </c>
      <c r="DY80">
        <v>0</v>
      </c>
      <c r="DZ80">
        <v>0</v>
      </c>
      <c r="EA80">
        <v>0</v>
      </c>
      <c r="EB80">
        <v>0</v>
      </c>
      <c r="EC80">
        <v>7</v>
      </c>
      <c r="ED80">
        <v>4.5</v>
      </c>
      <c r="EE80"/>
      <c r="EF80"/>
      <c r="EG80"/>
      <c r="EH80"/>
      <c r="EI80"/>
      <c r="EJ80">
        <v>5.75</v>
      </c>
      <c r="EK80">
        <v>5.5</v>
      </c>
      <c r="EL80"/>
      <c r="EM80"/>
      <c r="EN80"/>
      <c r="EO80"/>
      <c r="EP80"/>
      <c r="EQ80"/>
      <c r="ER80"/>
      <c r="ES80"/>
      <c r="ET80"/>
      <c r="EU80"/>
      <c r="EV80"/>
      <c r="EW80"/>
      <c r="EX80"/>
      <c r="EY80"/>
      <c r="EZ80"/>
      <c r="FA80"/>
      <c r="FB80"/>
      <c r="FC80"/>
      <c r="FD80"/>
    </row>
    <row r="81" spans="1:160" x14ac:dyDescent="0.25">
      <c r="A81" s="1" t="str">
        <f t="shared" si="1"/>
        <v>091308014159</v>
      </c>
      <c r="B81" t="s">
        <v>1618</v>
      </c>
      <c r="C81" t="s">
        <v>1619</v>
      </c>
      <c r="D81" t="s">
        <v>1620</v>
      </c>
      <c r="E81" t="s">
        <v>278</v>
      </c>
      <c r="F81" t="s">
        <v>1621</v>
      </c>
      <c r="G81" t="s">
        <v>1622</v>
      </c>
      <c r="H81" t="s">
        <v>1623</v>
      </c>
      <c r="I81" t="s">
        <v>37</v>
      </c>
      <c r="J81" t="s">
        <v>1624</v>
      </c>
      <c r="K81" t="s">
        <v>321</v>
      </c>
      <c r="L81"/>
      <c r="M81" t="s">
        <v>287</v>
      </c>
      <c r="N81" t="s">
        <v>288</v>
      </c>
      <c r="O81"/>
      <c r="P81" t="s">
        <v>289</v>
      </c>
      <c r="Q81" t="s">
        <v>1625</v>
      </c>
      <c r="R81" t="s">
        <v>287</v>
      </c>
      <c r="S81" t="s">
        <v>287</v>
      </c>
      <c r="T81" t="s">
        <v>287</v>
      </c>
      <c r="U81"/>
      <c r="V81"/>
      <c r="W81"/>
      <c r="X81"/>
      <c r="Y81"/>
      <c r="Z81"/>
      <c r="AA81" t="s">
        <v>287</v>
      </c>
      <c r="AB81"/>
      <c r="AC81"/>
      <c r="AD81"/>
      <c r="AE81"/>
      <c r="AF81" t="s">
        <v>401</v>
      </c>
      <c r="AG81" t="s">
        <v>857</v>
      </c>
      <c r="AH81" t="s">
        <v>1626</v>
      </c>
      <c r="AI81" t="s">
        <v>401</v>
      </c>
      <c r="AJ81" t="s">
        <v>857</v>
      </c>
      <c r="AK81" t="s">
        <v>1626</v>
      </c>
      <c r="AL81" t="s">
        <v>401</v>
      </c>
      <c r="AM81" t="s">
        <v>857</v>
      </c>
      <c r="AN81" t="s">
        <v>1626</v>
      </c>
      <c r="AO81" t="s">
        <v>299</v>
      </c>
      <c r="AP81" t="s">
        <v>603</v>
      </c>
      <c r="AQ81" t="s">
        <v>1627</v>
      </c>
      <c r="AR81" t="s">
        <v>1628</v>
      </c>
      <c r="AS81" t="s">
        <v>1629</v>
      </c>
      <c r="AT81" t="s">
        <v>580</v>
      </c>
      <c r="AU81" t="s">
        <v>354</v>
      </c>
      <c r="AV81"/>
      <c r="AW81" t="s">
        <v>526</v>
      </c>
      <c r="AX81" t="s">
        <v>527</v>
      </c>
      <c r="AY81" t="s">
        <v>351</v>
      </c>
      <c r="AZ81" t="s">
        <v>352</v>
      </c>
      <c r="BA81" t="s">
        <v>310</v>
      </c>
      <c r="BB81" t="s">
        <v>311</v>
      </c>
      <c r="BC81" t="s">
        <v>669</v>
      </c>
      <c r="BD81" t="s">
        <v>353</v>
      </c>
      <c r="BE81"/>
      <c r="BF81" t="s">
        <v>314</v>
      </c>
      <c r="BG81"/>
      <c r="BH81"/>
      <c r="BI81"/>
      <c r="BJ81"/>
      <c r="BK81"/>
      <c r="BL81"/>
      <c r="BM81" t="s">
        <v>305</v>
      </c>
      <c r="BN81" t="s">
        <v>305</v>
      </c>
      <c r="BO81" t="s">
        <v>1630</v>
      </c>
      <c r="BP81"/>
      <c r="BQ81" t="s">
        <v>1631</v>
      </c>
      <c r="BR81">
        <v>5</v>
      </c>
      <c r="BS81">
        <v>7.1</v>
      </c>
      <c r="BT81">
        <v>5.9</v>
      </c>
      <c r="BU81">
        <v>8.3000000000000007</v>
      </c>
      <c r="BV81">
        <v>8.6999999999999993</v>
      </c>
      <c r="BW81">
        <v>8.6</v>
      </c>
      <c r="BX81">
        <v>8</v>
      </c>
      <c r="BY81">
        <v>0</v>
      </c>
      <c r="BZ81">
        <v>0</v>
      </c>
      <c r="CA81">
        <v>0</v>
      </c>
      <c r="CB81">
        <v>0</v>
      </c>
      <c r="CC81">
        <v>8.5</v>
      </c>
      <c r="CD81">
        <v>0</v>
      </c>
      <c r="CE81">
        <v>0</v>
      </c>
      <c r="CF81">
        <v>0</v>
      </c>
      <c r="CG81">
        <v>0</v>
      </c>
      <c r="CH81">
        <v>0</v>
      </c>
      <c r="CI81">
        <v>0</v>
      </c>
      <c r="CJ81">
        <v>0</v>
      </c>
      <c r="CK81">
        <v>0</v>
      </c>
      <c r="CL81">
        <v>0</v>
      </c>
      <c r="CM81">
        <v>5.5</v>
      </c>
      <c r="CN81">
        <v>7.5</v>
      </c>
      <c r="CO81">
        <v>7.1</v>
      </c>
      <c r="CP81">
        <v>8.3000000000000007</v>
      </c>
      <c r="CQ81">
        <v>8.9</v>
      </c>
      <c r="CR81">
        <v>8.6999999999999993</v>
      </c>
      <c r="CS81">
        <v>7.4</v>
      </c>
      <c r="CT81">
        <v>0</v>
      </c>
      <c r="CU81">
        <v>0</v>
      </c>
      <c r="CV81">
        <v>0</v>
      </c>
      <c r="CW81">
        <v>0</v>
      </c>
      <c r="CX81">
        <v>8.3000000000000007</v>
      </c>
      <c r="CY81">
        <v>0</v>
      </c>
      <c r="CZ81">
        <v>0</v>
      </c>
      <c r="DA81">
        <v>0</v>
      </c>
      <c r="DB81">
        <v>0</v>
      </c>
      <c r="DC81">
        <v>0</v>
      </c>
      <c r="DD81">
        <v>0</v>
      </c>
      <c r="DE81">
        <v>0</v>
      </c>
      <c r="DF81">
        <v>0</v>
      </c>
      <c r="DG81">
        <v>0</v>
      </c>
      <c r="DH81">
        <v>8</v>
      </c>
      <c r="DI81">
        <v>8.4</v>
      </c>
      <c r="DJ81">
        <v>8.6</v>
      </c>
      <c r="DK81">
        <v>8.6</v>
      </c>
      <c r="DL81">
        <v>7.9</v>
      </c>
      <c r="DM81">
        <v>8.8000000000000007</v>
      </c>
      <c r="DN81">
        <v>9.4</v>
      </c>
      <c r="DO81">
        <v>0</v>
      </c>
      <c r="DP81">
        <v>0</v>
      </c>
      <c r="DQ81">
        <v>0</v>
      </c>
      <c r="DR81">
        <v>0</v>
      </c>
      <c r="DS81">
        <v>9.4</v>
      </c>
      <c r="DT81">
        <v>0</v>
      </c>
      <c r="DU81">
        <v>0</v>
      </c>
      <c r="DV81">
        <v>0</v>
      </c>
      <c r="DW81">
        <v>0</v>
      </c>
      <c r="DX81">
        <v>0</v>
      </c>
      <c r="DY81">
        <v>0</v>
      </c>
      <c r="DZ81">
        <v>0</v>
      </c>
      <c r="EA81">
        <v>0</v>
      </c>
      <c r="EB81">
        <v>0</v>
      </c>
      <c r="EC81">
        <v>5.5</v>
      </c>
      <c r="ED81">
        <v>7</v>
      </c>
      <c r="EE81">
        <v>4.5</v>
      </c>
      <c r="EF81"/>
      <c r="EG81">
        <v>6.45</v>
      </c>
      <c r="EH81"/>
      <c r="EI81">
        <v>0</v>
      </c>
      <c r="EJ81">
        <v>0</v>
      </c>
      <c r="EK81">
        <v>0</v>
      </c>
      <c r="EL81">
        <v>0</v>
      </c>
      <c r="EM81"/>
      <c r="EN81">
        <v>0</v>
      </c>
      <c r="EO81"/>
      <c r="EP81"/>
      <c r="EQ81"/>
      <c r="ER81"/>
      <c r="ES81"/>
      <c r="ET81"/>
      <c r="EU81"/>
      <c r="EV81"/>
      <c r="EW81">
        <v>84.5</v>
      </c>
      <c r="EX81">
        <v>115</v>
      </c>
      <c r="EY81">
        <v>69</v>
      </c>
      <c r="EZ81">
        <v>0</v>
      </c>
      <c r="FA81">
        <v>0</v>
      </c>
      <c r="FB81"/>
      <c r="FC81"/>
      <c r="FD81"/>
    </row>
    <row r="82" spans="1:160" x14ac:dyDescent="0.25">
      <c r="A82" s="1" t="str">
        <f t="shared" si="1"/>
        <v>086308006995</v>
      </c>
      <c r="B82" t="s">
        <v>1632</v>
      </c>
      <c r="C82" t="s">
        <v>1633</v>
      </c>
      <c r="D82" t="s">
        <v>1634</v>
      </c>
      <c r="E82" t="s">
        <v>278</v>
      </c>
      <c r="F82" t="s">
        <v>1635</v>
      </c>
      <c r="G82" t="s">
        <v>1636</v>
      </c>
      <c r="H82" t="s">
        <v>1637</v>
      </c>
      <c r="I82" t="s">
        <v>58</v>
      </c>
      <c r="J82" t="s">
        <v>1638</v>
      </c>
      <c r="K82" t="s">
        <v>286</v>
      </c>
      <c r="L82"/>
      <c r="M82" t="s">
        <v>287</v>
      </c>
      <c r="N82" t="s">
        <v>288</v>
      </c>
      <c r="O82"/>
      <c r="P82" t="s">
        <v>289</v>
      </c>
      <c r="Q82" t="s">
        <v>1639</v>
      </c>
      <c r="R82" t="s">
        <v>287</v>
      </c>
      <c r="S82" t="s">
        <v>287</v>
      </c>
      <c r="T82" t="s">
        <v>287</v>
      </c>
      <c r="U82"/>
      <c r="V82"/>
      <c r="W82"/>
      <c r="X82"/>
      <c r="Y82"/>
      <c r="Z82"/>
      <c r="AA82" t="s">
        <v>287</v>
      </c>
      <c r="AB82"/>
      <c r="AC82"/>
      <c r="AD82"/>
      <c r="AE82"/>
      <c r="AF82" t="s">
        <v>383</v>
      </c>
      <c r="AG82" t="s">
        <v>1640</v>
      </c>
      <c r="AH82" t="s">
        <v>1641</v>
      </c>
      <c r="AI82" t="s">
        <v>383</v>
      </c>
      <c r="AJ82" t="s">
        <v>1640</v>
      </c>
      <c r="AK82" t="s">
        <v>1641</v>
      </c>
      <c r="AL82" t="s">
        <v>383</v>
      </c>
      <c r="AM82" t="s">
        <v>1640</v>
      </c>
      <c r="AN82" t="s">
        <v>1641</v>
      </c>
      <c r="AO82" t="s">
        <v>299</v>
      </c>
      <c r="AP82" t="s">
        <v>300</v>
      </c>
      <c r="AQ82" t="s">
        <v>294</v>
      </c>
      <c r="AR82" t="s">
        <v>525</v>
      </c>
      <c r="AS82" t="s">
        <v>757</v>
      </c>
      <c r="AT82" t="s">
        <v>1642</v>
      </c>
      <c r="AU82" t="s">
        <v>354</v>
      </c>
      <c r="AV82"/>
      <c r="AW82" t="s">
        <v>308</v>
      </c>
      <c r="AX82" t="s">
        <v>309</v>
      </c>
      <c r="AY82"/>
      <c r="AZ82"/>
      <c r="BA82"/>
      <c r="BB82"/>
      <c r="BC82" t="s">
        <v>669</v>
      </c>
      <c r="BD82" t="s">
        <v>353</v>
      </c>
      <c r="BE82"/>
      <c r="BF82" t="s">
        <v>314</v>
      </c>
      <c r="BG82"/>
      <c r="BH82"/>
      <c r="BI82"/>
      <c r="BJ82"/>
      <c r="BK82"/>
      <c r="BL82"/>
      <c r="BM82" t="s">
        <v>305</v>
      </c>
      <c r="BN82" t="s">
        <v>354</v>
      </c>
      <c r="BO82" t="s">
        <v>1643</v>
      </c>
      <c r="BP82"/>
      <c r="BQ82"/>
      <c r="BR82">
        <v>7.7</v>
      </c>
      <c r="BS82">
        <v>8.4</v>
      </c>
      <c r="BT82">
        <v>8.3000000000000007</v>
      </c>
      <c r="BU82">
        <v>9.3000000000000007</v>
      </c>
      <c r="BV82">
        <v>8.6</v>
      </c>
      <c r="BW82">
        <v>8.9</v>
      </c>
      <c r="BX82">
        <v>8.6999999999999993</v>
      </c>
      <c r="BY82">
        <v>8.1</v>
      </c>
      <c r="BZ82">
        <v>0</v>
      </c>
      <c r="CA82">
        <v>0</v>
      </c>
      <c r="CB82">
        <v>0</v>
      </c>
      <c r="CC82">
        <v>7.4</v>
      </c>
      <c r="CD82">
        <v>0</v>
      </c>
      <c r="CE82">
        <v>0</v>
      </c>
      <c r="CF82">
        <v>0</v>
      </c>
      <c r="CG82">
        <v>0</v>
      </c>
      <c r="CH82">
        <v>0</v>
      </c>
      <c r="CI82">
        <v>0</v>
      </c>
      <c r="CJ82">
        <v>0</v>
      </c>
      <c r="CK82">
        <v>0</v>
      </c>
      <c r="CL82">
        <v>0</v>
      </c>
      <c r="CM82">
        <v>7.9</v>
      </c>
      <c r="CN82">
        <v>8.4</v>
      </c>
      <c r="CO82">
        <v>8.5</v>
      </c>
      <c r="CP82">
        <v>9.1</v>
      </c>
      <c r="CQ82">
        <v>8.5</v>
      </c>
      <c r="CR82">
        <v>9.9</v>
      </c>
      <c r="CS82">
        <v>9.5</v>
      </c>
      <c r="CT82">
        <v>7.7</v>
      </c>
      <c r="CU82">
        <v>0</v>
      </c>
      <c r="CV82">
        <v>0</v>
      </c>
      <c r="CW82">
        <v>0</v>
      </c>
      <c r="CX82">
        <v>8.5</v>
      </c>
      <c r="CY82">
        <v>0</v>
      </c>
      <c r="CZ82">
        <v>0</v>
      </c>
      <c r="DA82">
        <v>0</v>
      </c>
      <c r="DB82">
        <v>0</v>
      </c>
      <c r="DC82">
        <v>0</v>
      </c>
      <c r="DD82">
        <v>0</v>
      </c>
      <c r="DE82">
        <v>0</v>
      </c>
      <c r="DF82">
        <v>0</v>
      </c>
      <c r="DG82">
        <v>0</v>
      </c>
      <c r="DH82">
        <v>8</v>
      </c>
      <c r="DI82">
        <v>8.4</v>
      </c>
      <c r="DJ82">
        <v>7.7</v>
      </c>
      <c r="DK82">
        <v>10</v>
      </c>
      <c r="DL82">
        <v>8.4</v>
      </c>
      <c r="DM82">
        <v>8.8000000000000007</v>
      </c>
      <c r="DN82">
        <v>8.6</v>
      </c>
      <c r="DO82">
        <v>8</v>
      </c>
      <c r="DP82">
        <v>0</v>
      </c>
      <c r="DQ82">
        <v>0</v>
      </c>
      <c r="DR82">
        <v>0</v>
      </c>
      <c r="DS82">
        <v>8.8000000000000007</v>
      </c>
      <c r="DT82">
        <v>0</v>
      </c>
      <c r="DU82">
        <v>0</v>
      </c>
      <c r="DV82">
        <v>0</v>
      </c>
      <c r="DW82">
        <v>0</v>
      </c>
      <c r="DX82">
        <v>0</v>
      </c>
      <c r="DY82">
        <v>0</v>
      </c>
      <c r="DZ82">
        <v>0</v>
      </c>
      <c r="EA82">
        <v>0</v>
      </c>
      <c r="EB82">
        <v>0</v>
      </c>
      <c r="EC82">
        <v>5</v>
      </c>
      <c r="ED82">
        <v>7</v>
      </c>
      <c r="EE82">
        <v>3.25</v>
      </c>
      <c r="EF82"/>
      <c r="EG82"/>
      <c r="EH82">
        <v>4.5999999999999996</v>
      </c>
      <c r="EI82"/>
      <c r="EJ82"/>
      <c r="EK82"/>
      <c r="EL82"/>
      <c r="EM82"/>
      <c r="EN82"/>
      <c r="EO82"/>
      <c r="EP82"/>
      <c r="EQ82"/>
      <c r="ER82"/>
      <c r="ES82"/>
      <c r="ET82"/>
      <c r="EU82"/>
      <c r="EV82"/>
      <c r="EW82"/>
      <c r="EX82"/>
      <c r="EY82"/>
      <c r="EZ82"/>
      <c r="FA82"/>
      <c r="FB82">
        <v>91</v>
      </c>
      <c r="FC82"/>
      <c r="FD82"/>
    </row>
    <row r="83" spans="1:160" x14ac:dyDescent="0.25">
      <c r="A83" s="1" t="str">
        <f t="shared" si="1"/>
        <v>086208011850</v>
      </c>
      <c r="B83" t="s">
        <v>1645</v>
      </c>
      <c r="C83" t="s">
        <v>1646</v>
      </c>
      <c r="D83" t="s">
        <v>1647</v>
      </c>
      <c r="E83" t="s">
        <v>280</v>
      </c>
      <c r="F83" t="s">
        <v>718</v>
      </c>
      <c r="G83" t="s">
        <v>1648</v>
      </c>
      <c r="H83" t="s">
        <v>1649</v>
      </c>
      <c r="I83" t="s">
        <v>1650</v>
      </c>
      <c r="J83" t="s">
        <v>1651</v>
      </c>
      <c r="K83" t="s">
        <v>321</v>
      </c>
      <c r="L83"/>
      <c r="M83" t="s">
        <v>287</v>
      </c>
      <c r="N83" t="s">
        <v>288</v>
      </c>
      <c r="O83"/>
      <c r="P83" t="s">
        <v>289</v>
      </c>
      <c r="Q83" t="s">
        <v>1652</v>
      </c>
      <c r="R83" t="s">
        <v>287</v>
      </c>
      <c r="S83" t="s">
        <v>287</v>
      </c>
      <c r="T83" t="s">
        <v>287</v>
      </c>
      <c r="U83"/>
      <c r="V83"/>
      <c r="W83"/>
      <c r="X83"/>
      <c r="Y83"/>
      <c r="Z83"/>
      <c r="AA83" t="s">
        <v>287</v>
      </c>
      <c r="AB83"/>
      <c r="AC83"/>
      <c r="AD83"/>
      <c r="AE83"/>
      <c r="AF83" t="s">
        <v>421</v>
      </c>
      <c r="AG83" t="s">
        <v>1653</v>
      </c>
      <c r="AH83" t="s">
        <v>1654</v>
      </c>
      <c r="AI83" t="s">
        <v>421</v>
      </c>
      <c r="AJ83" t="s">
        <v>1653</v>
      </c>
      <c r="AK83" t="s">
        <v>1654</v>
      </c>
      <c r="AL83" t="s">
        <v>421</v>
      </c>
      <c r="AM83" t="s">
        <v>1653</v>
      </c>
      <c r="AN83" t="s">
        <v>1654</v>
      </c>
      <c r="AO83" t="s">
        <v>299</v>
      </c>
      <c r="AP83" t="s">
        <v>388</v>
      </c>
      <c r="AQ83" t="s">
        <v>1535</v>
      </c>
      <c r="AR83" t="s">
        <v>1655</v>
      </c>
      <c r="AS83" t="s">
        <v>1656</v>
      </c>
      <c r="AT83" t="s">
        <v>1535</v>
      </c>
      <c r="AU83" t="s">
        <v>354</v>
      </c>
      <c r="AV83"/>
      <c r="AW83" t="s">
        <v>310</v>
      </c>
      <c r="AX83" t="s">
        <v>311</v>
      </c>
      <c r="AY83" t="s">
        <v>444</v>
      </c>
      <c r="AZ83" t="s">
        <v>445</v>
      </c>
      <c r="BA83" t="s">
        <v>545</v>
      </c>
      <c r="BB83" t="s">
        <v>546</v>
      </c>
      <c r="BC83" t="s">
        <v>669</v>
      </c>
      <c r="BD83" t="s">
        <v>353</v>
      </c>
      <c r="BE83" t="s">
        <v>1657</v>
      </c>
      <c r="BF83" t="s">
        <v>314</v>
      </c>
      <c r="BG83"/>
      <c r="BH83"/>
      <c r="BI83"/>
      <c r="BJ83"/>
      <c r="BK83"/>
      <c r="BL83"/>
      <c r="BM83" t="s">
        <v>305</v>
      </c>
      <c r="BN83" t="s">
        <v>354</v>
      </c>
      <c r="BO83" t="s">
        <v>1658</v>
      </c>
      <c r="BP83"/>
      <c r="BQ83"/>
      <c r="BR83">
        <v>5.2</v>
      </c>
      <c r="BS83">
        <v>6.2</v>
      </c>
      <c r="BT83">
        <v>6.2</v>
      </c>
      <c r="BU83">
        <v>8.1999999999999993</v>
      </c>
      <c r="BV83">
        <v>7.7</v>
      </c>
      <c r="BW83">
        <v>9</v>
      </c>
      <c r="BX83">
        <v>7.7</v>
      </c>
      <c r="BY83">
        <v>0</v>
      </c>
      <c r="BZ83">
        <v>0</v>
      </c>
      <c r="CA83">
        <v>7.6</v>
      </c>
      <c r="CB83">
        <v>0</v>
      </c>
      <c r="CC83">
        <v>8.1</v>
      </c>
      <c r="CD83">
        <v>0</v>
      </c>
      <c r="CE83">
        <v>0</v>
      </c>
      <c r="CF83">
        <v>0</v>
      </c>
      <c r="CG83">
        <v>0</v>
      </c>
      <c r="CH83">
        <v>0</v>
      </c>
      <c r="CI83">
        <v>0</v>
      </c>
      <c r="CJ83">
        <v>0</v>
      </c>
      <c r="CK83">
        <v>0</v>
      </c>
      <c r="CL83">
        <v>0</v>
      </c>
      <c r="CM83">
        <v>5.7</v>
      </c>
      <c r="CN83">
        <v>6.7</v>
      </c>
      <c r="CO83">
        <v>7.1</v>
      </c>
      <c r="CP83">
        <v>8.6</v>
      </c>
      <c r="CQ83">
        <v>7.7</v>
      </c>
      <c r="CR83">
        <v>7.7</v>
      </c>
      <c r="CS83">
        <v>8.6999999999999993</v>
      </c>
      <c r="CT83">
        <v>0</v>
      </c>
      <c r="CU83">
        <v>0</v>
      </c>
      <c r="CV83">
        <v>7.8</v>
      </c>
      <c r="CW83">
        <v>0</v>
      </c>
      <c r="CX83">
        <v>7.8</v>
      </c>
      <c r="CY83">
        <v>0</v>
      </c>
      <c r="CZ83">
        <v>0</v>
      </c>
      <c r="DA83">
        <v>0</v>
      </c>
      <c r="DB83">
        <v>0</v>
      </c>
      <c r="DC83">
        <v>0</v>
      </c>
      <c r="DD83">
        <v>0</v>
      </c>
      <c r="DE83">
        <v>0</v>
      </c>
      <c r="DF83">
        <v>0</v>
      </c>
      <c r="DG83">
        <v>0</v>
      </c>
      <c r="DH83">
        <v>6.4</v>
      </c>
      <c r="DI83">
        <v>6.9</v>
      </c>
      <c r="DJ83">
        <v>7.1</v>
      </c>
      <c r="DK83">
        <v>9.1999999999999993</v>
      </c>
      <c r="DL83">
        <v>8.4</v>
      </c>
      <c r="DM83">
        <v>8.1</v>
      </c>
      <c r="DN83">
        <v>9.3000000000000007</v>
      </c>
      <c r="DO83">
        <v>0</v>
      </c>
      <c r="DP83">
        <v>0</v>
      </c>
      <c r="DQ83">
        <v>7.4</v>
      </c>
      <c r="DR83">
        <v>0</v>
      </c>
      <c r="DS83">
        <v>8.3000000000000007</v>
      </c>
      <c r="DT83">
        <v>0</v>
      </c>
      <c r="DU83">
        <v>0</v>
      </c>
      <c r="DV83">
        <v>0</v>
      </c>
      <c r="DW83">
        <v>0</v>
      </c>
      <c r="DX83">
        <v>0</v>
      </c>
      <c r="DY83">
        <v>0</v>
      </c>
      <c r="DZ83">
        <v>0</v>
      </c>
      <c r="EA83">
        <v>0</v>
      </c>
      <c r="EB83">
        <v>0</v>
      </c>
      <c r="EC83">
        <v>4.0999999999999996</v>
      </c>
      <c r="ED83">
        <v>5</v>
      </c>
      <c r="EE83"/>
      <c r="EF83"/>
      <c r="EG83"/>
      <c r="EH83">
        <v>6.1</v>
      </c>
      <c r="EI83">
        <v>5</v>
      </c>
      <c r="EJ83"/>
      <c r="EK83"/>
      <c r="EL83"/>
      <c r="EM83"/>
      <c r="EN83"/>
      <c r="EO83"/>
      <c r="EP83"/>
      <c r="EQ83"/>
      <c r="ER83"/>
      <c r="ES83"/>
      <c r="ET83"/>
      <c r="EU83"/>
      <c r="EV83"/>
      <c r="EW83"/>
      <c r="EX83"/>
      <c r="EY83"/>
      <c r="EZ83"/>
      <c r="FA83"/>
      <c r="FB83"/>
      <c r="FC83"/>
      <c r="FD83"/>
    </row>
    <row r="84" spans="1:160" x14ac:dyDescent="0.25">
      <c r="A84" s="1" t="str">
        <f t="shared" si="1"/>
        <v>086308005178</v>
      </c>
      <c r="B84" t="s">
        <v>1659</v>
      </c>
      <c r="C84" t="s">
        <v>1660</v>
      </c>
      <c r="D84" t="s">
        <v>1661</v>
      </c>
      <c r="E84" t="s">
        <v>278</v>
      </c>
      <c r="F84" t="s">
        <v>1662</v>
      </c>
      <c r="G84" t="s">
        <v>1663</v>
      </c>
      <c r="H84" t="s">
        <v>1664</v>
      </c>
      <c r="I84" t="s">
        <v>1665</v>
      </c>
      <c r="J84" t="s">
        <v>1666</v>
      </c>
      <c r="K84" t="s">
        <v>516</v>
      </c>
      <c r="L84"/>
      <c r="M84" t="s">
        <v>287</v>
      </c>
      <c r="N84" t="s">
        <v>288</v>
      </c>
      <c r="O84"/>
      <c r="P84" t="s">
        <v>289</v>
      </c>
      <c r="Q84" t="s">
        <v>1667</v>
      </c>
      <c r="R84" t="s">
        <v>287</v>
      </c>
      <c r="S84" t="s">
        <v>287</v>
      </c>
      <c r="T84" t="s">
        <v>287</v>
      </c>
      <c r="U84"/>
      <c r="V84"/>
      <c r="W84"/>
      <c r="X84"/>
      <c r="Y84"/>
      <c r="Z84"/>
      <c r="AA84" t="s">
        <v>287</v>
      </c>
      <c r="AB84"/>
      <c r="AC84"/>
      <c r="AD84"/>
      <c r="AE84"/>
      <c r="AF84" t="s">
        <v>421</v>
      </c>
      <c r="AG84" t="s">
        <v>777</v>
      </c>
      <c r="AH84" t="s">
        <v>778</v>
      </c>
      <c r="AI84" t="s">
        <v>421</v>
      </c>
      <c r="AJ84" t="s">
        <v>777</v>
      </c>
      <c r="AK84" t="s">
        <v>778</v>
      </c>
      <c r="AL84" t="s">
        <v>421</v>
      </c>
      <c r="AM84" t="s">
        <v>777</v>
      </c>
      <c r="AN84" t="s">
        <v>778</v>
      </c>
      <c r="AO84" t="s">
        <v>299</v>
      </c>
      <c r="AP84" t="s">
        <v>348</v>
      </c>
      <c r="AQ84" t="s">
        <v>464</v>
      </c>
      <c r="AR84" t="s">
        <v>1460</v>
      </c>
      <c r="AS84" t="s">
        <v>807</v>
      </c>
      <c r="AT84" t="s">
        <v>464</v>
      </c>
      <c r="AU84" t="s">
        <v>354</v>
      </c>
      <c r="AV84"/>
      <c r="AW84" t="s">
        <v>310</v>
      </c>
      <c r="AX84" t="s">
        <v>311</v>
      </c>
      <c r="AY84"/>
      <c r="AZ84"/>
      <c r="BA84"/>
      <c r="BB84"/>
      <c r="BC84" t="s">
        <v>669</v>
      </c>
      <c r="BD84" t="s">
        <v>353</v>
      </c>
      <c r="BE84"/>
      <c r="BF84" t="s">
        <v>314</v>
      </c>
      <c r="BG84"/>
      <c r="BH84"/>
      <c r="BI84"/>
      <c r="BJ84"/>
      <c r="BK84"/>
      <c r="BL84"/>
      <c r="BM84" t="s">
        <v>305</v>
      </c>
      <c r="BN84" t="s">
        <v>354</v>
      </c>
      <c r="BO84" t="s">
        <v>1668</v>
      </c>
      <c r="BP84"/>
      <c r="BQ84"/>
      <c r="BR84">
        <v>7.1</v>
      </c>
      <c r="BS84">
        <v>7.1</v>
      </c>
      <c r="BT84">
        <v>7.6</v>
      </c>
      <c r="BU84">
        <v>9</v>
      </c>
      <c r="BV84">
        <v>7.7</v>
      </c>
      <c r="BW84">
        <v>9</v>
      </c>
      <c r="BX84">
        <v>0</v>
      </c>
      <c r="BY84">
        <v>0</v>
      </c>
      <c r="BZ84">
        <v>8.5</v>
      </c>
      <c r="CA84">
        <v>7.7</v>
      </c>
      <c r="CB84">
        <v>8.6999999999999993</v>
      </c>
      <c r="CC84">
        <v>0</v>
      </c>
      <c r="CD84">
        <v>0</v>
      </c>
      <c r="CE84">
        <v>0</v>
      </c>
      <c r="CF84">
        <v>0</v>
      </c>
      <c r="CG84">
        <v>0</v>
      </c>
      <c r="CH84">
        <v>0</v>
      </c>
      <c r="CI84">
        <v>0</v>
      </c>
      <c r="CJ84">
        <v>0</v>
      </c>
      <c r="CK84">
        <v>0</v>
      </c>
      <c r="CL84">
        <v>0</v>
      </c>
      <c r="CM84">
        <v>7.1</v>
      </c>
      <c r="CN84">
        <v>6.6</v>
      </c>
      <c r="CO84">
        <v>7.7</v>
      </c>
      <c r="CP84">
        <v>9.5</v>
      </c>
      <c r="CQ84">
        <v>9</v>
      </c>
      <c r="CR84">
        <v>9.1</v>
      </c>
      <c r="CS84">
        <v>0</v>
      </c>
      <c r="CT84">
        <v>0</v>
      </c>
      <c r="CU84">
        <v>7.1</v>
      </c>
      <c r="CV84">
        <v>8</v>
      </c>
      <c r="CW84">
        <v>9.4</v>
      </c>
      <c r="CX84">
        <v>0</v>
      </c>
      <c r="CY84">
        <v>0</v>
      </c>
      <c r="CZ84">
        <v>0</v>
      </c>
      <c r="DA84">
        <v>0</v>
      </c>
      <c r="DB84">
        <v>0</v>
      </c>
      <c r="DC84">
        <v>0</v>
      </c>
      <c r="DD84">
        <v>0</v>
      </c>
      <c r="DE84">
        <v>0</v>
      </c>
      <c r="DF84">
        <v>0</v>
      </c>
      <c r="DG84">
        <v>0</v>
      </c>
      <c r="DH84">
        <v>8.6999999999999993</v>
      </c>
      <c r="DI84">
        <v>7.5</v>
      </c>
      <c r="DJ84">
        <v>7.5</v>
      </c>
      <c r="DK84">
        <v>9.8000000000000007</v>
      </c>
      <c r="DL84">
        <v>8.8000000000000007</v>
      </c>
      <c r="DM84">
        <v>8.8000000000000007</v>
      </c>
      <c r="DN84">
        <v>0</v>
      </c>
      <c r="DO84">
        <v>0</v>
      </c>
      <c r="DP84">
        <v>8.8000000000000007</v>
      </c>
      <c r="DQ84">
        <v>8.6999999999999993</v>
      </c>
      <c r="DR84">
        <v>9.1</v>
      </c>
      <c r="DS84">
        <v>0</v>
      </c>
      <c r="DT84">
        <v>0</v>
      </c>
      <c r="DU84">
        <v>0</v>
      </c>
      <c r="DV84">
        <v>0</v>
      </c>
      <c r="DW84">
        <v>0</v>
      </c>
      <c r="DX84">
        <v>0</v>
      </c>
      <c r="DY84">
        <v>0</v>
      </c>
      <c r="DZ84">
        <v>0</v>
      </c>
      <c r="EA84">
        <v>0</v>
      </c>
      <c r="EB84">
        <v>0</v>
      </c>
      <c r="EC84">
        <v>5.75</v>
      </c>
      <c r="ED84">
        <v>4.25</v>
      </c>
      <c r="EE84"/>
      <c r="EF84"/>
      <c r="EG84"/>
      <c r="EH84"/>
      <c r="EI84"/>
      <c r="EJ84"/>
      <c r="EK84">
        <v>5.5</v>
      </c>
      <c r="EL84">
        <v>7</v>
      </c>
      <c r="EM84"/>
      <c r="EN84"/>
      <c r="EO84"/>
      <c r="EP84"/>
      <c r="EQ84"/>
      <c r="ER84"/>
      <c r="ES84"/>
      <c r="ET84"/>
      <c r="EU84"/>
      <c r="EV84"/>
      <c r="EW84"/>
      <c r="EX84"/>
      <c r="EY84"/>
      <c r="EZ84"/>
      <c r="FA84"/>
      <c r="FB84"/>
      <c r="FC84"/>
      <c r="FD84"/>
    </row>
    <row r="85" spans="1:160" x14ac:dyDescent="0.25">
      <c r="A85" s="1" t="str">
        <f t="shared" si="1"/>
        <v>087308004435</v>
      </c>
      <c r="B85" t="s">
        <v>1669</v>
      </c>
      <c r="C85" t="s">
        <v>1670</v>
      </c>
      <c r="D85" t="s">
        <v>1671</v>
      </c>
      <c r="E85" t="s">
        <v>278</v>
      </c>
      <c r="F85" t="s">
        <v>334</v>
      </c>
      <c r="G85" t="s">
        <v>1672</v>
      </c>
      <c r="H85" t="s">
        <v>1673</v>
      </c>
      <c r="I85" t="s">
        <v>52</v>
      </c>
      <c r="J85" t="s">
        <v>1674</v>
      </c>
      <c r="K85" t="s">
        <v>321</v>
      </c>
      <c r="L85"/>
      <c r="M85" t="s">
        <v>287</v>
      </c>
      <c r="N85" t="s">
        <v>288</v>
      </c>
      <c r="O85"/>
      <c r="P85" t="s">
        <v>289</v>
      </c>
      <c r="Q85" t="s">
        <v>1675</v>
      </c>
      <c r="R85" t="s">
        <v>287</v>
      </c>
      <c r="S85" t="s">
        <v>287</v>
      </c>
      <c r="T85" t="s">
        <v>287</v>
      </c>
      <c r="U85"/>
      <c r="V85"/>
      <c r="W85"/>
      <c r="X85"/>
      <c r="Y85"/>
      <c r="Z85"/>
      <c r="AA85" t="s">
        <v>287</v>
      </c>
      <c r="AB85"/>
      <c r="AC85"/>
      <c r="AD85"/>
      <c r="AE85"/>
      <c r="AF85" t="s">
        <v>323</v>
      </c>
      <c r="AG85" t="s">
        <v>1676</v>
      </c>
      <c r="AH85" t="s">
        <v>1677</v>
      </c>
      <c r="AI85" t="s">
        <v>323</v>
      </c>
      <c r="AJ85" t="s">
        <v>1676</v>
      </c>
      <c r="AK85" t="s">
        <v>1677</v>
      </c>
      <c r="AL85" t="s">
        <v>323</v>
      </c>
      <c r="AM85" t="s">
        <v>1676</v>
      </c>
      <c r="AN85" t="s">
        <v>1677</v>
      </c>
      <c r="AO85" t="s">
        <v>299</v>
      </c>
      <c r="AP85" t="s">
        <v>348</v>
      </c>
      <c r="AQ85" t="s">
        <v>1497</v>
      </c>
      <c r="AR85" t="s">
        <v>581</v>
      </c>
      <c r="AS85" t="s">
        <v>1678</v>
      </c>
      <c r="AT85" t="s">
        <v>893</v>
      </c>
      <c r="AU85" t="s">
        <v>354</v>
      </c>
      <c r="AV85"/>
      <c r="AW85" t="s">
        <v>332</v>
      </c>
      <c r="AX85" t="s">
        <v>333</v>
      </c>
      <c r="AY85" t="s">
        <v>308</v>
      </c>
      <c r="AZ85" t="s">
        <v>309</v>
      </c>
      <c r="BA85" t="s">
        <v>608</v>
      </c>
      <c r="BB85" t="s">
        <v>609</v>
      </c>
      <c r="BC85" t="s">
        <v>669</v>
      </c>
      <c r="BD85" t="s">
        <v>353</v>
      </c>
      <c r="BE85"/>
      <c r="BF85" t="s">
        <v>314</v>
      </c>
      <c r="BG85"/>
      <c r="BH85"/>
      <c r="BI85"/>
      <c r="BJ85"/>
      <c r="BK85"/>
      <c r="BL85"/>
      <c r="BM85" t="s">
        <v>305</v>
      </c>
      <c r="BN85" t="s">
        <v>354</v>
      </c>
      <c r="BO85" t="s">
        <v>1679</v>
      </c>
      <c r="BP85"/>
      <c r="BQ85"/>
      <c r="BR85">
        <v>8.5</v>
      </c>
      <c r="BS85">
        <v>7.7</v>
      </c>
      <c r="BT85">
        <v>8.6</v>
      </c>
      <c r="BU85">
        <v>10</v>
      </c>
      <c r="BV85">
        <v>9.1</v>
      </c>
      <c r="BW85">
        <v>0</v>
      </c>
      <c r="BX85">
        <v>0</v>
      </c>
      <c r="BY85">
        <v>9.3000000000000007</v>
      </c>
      <c r="BZ85">
        <v>7.7</v>
      </c>
      <c r="CA85">
        <v>7</v>
      </c>
      <c r="CB85">
        <v>0</v>
      </c>
      <c r="CC85">
        <v>9.1999999999999993</v>
      </c>
      <c r="CD85">
        <v>0</v>
      </c>
      <c r="CE85">
        <v>0</v>
      </c>
      <c r="CF85">
        <v>0</v>
      </c>
      <c r="CG85">
        <v>0</v>
      </c>
      <c r="CH85">
        <v>0</v>
      </c>
      <c r="CI85">
        <v>0</v>
      </c>
      <c r="CJ85">
        <v>0</v>
      </c>
      <c r="CK85">
        <v>0</v>
      </c>
      <c r="CL85">
        <v>0</v>
      </c>
      <c r="CM85">
        <v>8.3000000000000007</v>
      </c>
      <c r="CN85">
        <v>8</v>
      </c>
      <c r="CO85">
        <v>8.6999999999999993</v>
      </c>
      <c r="CP85">
        <v>9.5</v>
      </c>
      <c r="CQ85">
        <v>9.6</v>
      </c>
      <c r="CR85">
        <v>0</v>
      </c>
      <c r="CS85">
        <v>0</v>
      </c>
      <c r="CT85">
        <v>9.3000000000000007</v>
      </c>
      <c r="CU85">
        <v>7.9</v>
      </c>
      <c r="CV85">
        <v>8.3000000000000007</v>
      </c>
      <c r="CW85">
        <v>0</v>
      </c>
      <c r="CX85">
        <v>9.5</v>
      </c>
      <c r="CY85">
        <v>0</v>
      </c>
      <c r="CZ85">
        <v>0</v>
      </c>
      <c r="DA85">
        <v>0</v>
      </c>
      <c r="DB85">
        <v>0</v>
      </c>
      <c r="DC85">
        <v>0</v>
      </c>
      <c r="DD85">
        <v>0</v>
      </c>
      <c r="DE85">
        <v>0</v>
      </c>
      <c r="DF85">
        <v>0</v>
      </c>
      <c r="DG85">
        <v>0</v>
      </c>
      <c r="DH85">
        <v>7.5</v>
      </c>
      <c r="DI85">
        <v>8.5</v>
      </c>
      <c r="DJ85">
        <v>9.4</v>
      </c>
      <c r="DK85">
        <v>9.5</v>
      </c>
      <c r="DL85">
        <v>9.4</v>
      </c>
      <c r="DM85">
        <v>0</v>
      </c>
      <c r="DN85">
        <v>0</v>
      </c>
      <c r="DO85">
        <v>8.6999999999999993</v>
      </c>
      <c r="DP85">
        <v>8.3000000000000007</v>
      </c>
      <c r="DQ85">
        <v>8.5</v>
      </c>
      <c r="DR85">
        <v>0</v>
      </c>
      <c r="DS85">
        <v>9.5</v>
      </c>
      <c r="DT85">
        <v>0</v>
      </c>
      <c r="DU85">
        <v>0</v>
      </c>
      <c r="DV85">
        <v>0</v>
      </c>
      <c r="DW85">
        <v>0</v>
      </c>
      <c r="DX85">
        <v>0</v>
      </c>
      <c r="DY85">
        <v>0</v>
      </c>
      <c r="DZ85">
        <v>0</v>
      </c>
      <c r="EA85">
        <v>0</v>
      </c>
      <c r="EB85">
        <v>0</v>
      </c>
      <c r="EC85">
        <v>5.75</v>
      </c>
      <c r="ED85">
        <v>6</v>
      </c>
      <c r="EE85">
        <v>3.25</v>
      </c>
      <c r="EF85"/>
      <c r="EG85"/>
      <c r="EH85"/>
      <c r="EI85"/>
      <c r="EJ85">
        <v>3.85</v>
      </c>
      <c r="EK85"/>
      <c r="EL85"/>
      <c r="EM85"/>
      <c r="EN85"/>
      <c r="EO85"/>
      <c r="EP85"/>
      <c r="EQ85"/>
      <c r="ER85"/>
      <c r="ES85"/>
      <c r="ET85"/>
      <c r="EU85"/>
      <c r="EV85"/>
      <c r="EW85"/>
      <c r="EX85"/>
      <c r="EY85"/>
      <c r="EZ85"/>
      <c r="FA85"/>
      <c r="FB85"/>
      <c r="FC85"/>
      <c r="FD85"/>
    </row>
    <row r="86" spans="1:160" x14ac:dyDescent="0.25">
      <c r="A86" s="1" t="str">
        <f t="shared" si="1"/>
        <v>082308006662</v>
      </c>
      <c r="B86" t="s">
        <v>1680</v>
      </c>
      <c r="C86" t="s">
        <v>1681</v>
      </c>
      <c r="D86" t="s">
        <v>1682</v>
      </c>
      <c r="E86" t="s">
        <v>278</v>
      </c>
      <c r="F86" t="s">
        <v>1683</v>
      </c>
      <c r="G86" t="s">
        <v>1684</v>
      </c>
      <c r="H86" t="s">
        <v>1685</v>
      </c>
      <c r="I86" t="s">
        <v>84</v>
      </c>
      <c r="J86" t="s">
        <v>1686</v>
      </c>
      <c r="K86" t="s">
        <v>321</v>
      </c>
      <c r="L86"/>
      <c r="M86" t="s">
        <v>287</v>
      </c>
      <c r="N86" t="s">
        <v>288</v>
      </c>
      <c r="O86"/>
      <c r="P86" t="s">
        <v>289</v>
      </c>
      <c r="Q86" t="s">
        <v>1687</v>
      </c>
      <c r="R86" t="s">
        <v>287</v>
      </c>
      <c r="S86" t="s">
        <v>287</v>
      </c>
      <c r="T86" t="s">
        <v>287</v>
      </c>
      <c r="U86"/>
      <c r="V86"/>
      <c r="W86" t="s">
        <v>294</v>
      </c>
      <c r="X86" t="s">
        <v>1688</v>
      </c>
      <c r="Y86" t="s">
        <v>1689</v>
      </c>
      <c r="Z86" t="s">
        <v>1690</v>
      </c>
      <c r="AA86" t="s">
        <v>287</v>
      </c>
      <c r="AB86"/>
      <c r="AC86"/>
      <c r="AD86"/>
      <c r="AE86"/>
      <c r="AF86" t="s">
        <v>323</v>
      </c>
      <c r="AG86" t="s">
        <v>1691</v>
      </c>
      <c r="AH86" t="s">
        <v>1692</v>
      </c>
      <c r="AI86" t="s">
        <v>323</v>
      </c>
      <c r="AJ86" t="s">
        <v>1691</v>
      </c>
      <c r="AK86" t="s">
        <v>1692</v>
      </c>
      <c r="AL86" t="s">
        <v>323</v>
      </c>
      <c r="AM86" t="s">
        <v>1691</v>
      </c>
      <c r="AN86" t="s">
        <v>1692</v>
      </c>
      <c r="AO86" t="s">
        <v>299</v>
      </c>
      <c r="AP86" t="s">
        <v>603</v>
      </c>
      <c r="AQ86" t="s">
        <v>1693</v>
      </c>
      <c r="AR86" t="s">
        <v>1694</v>
      </c>
      <c r="AS86" t="s">
        <v>756</v>
      </c>
      <c r="AT86" t="s">
        <v>1307</v>
      </c>
      <c r="AU86" t="s">
        <v>305</v>
      </c>
      <c r="AV86"/>
      <c r="AW86" t="s">
        <v>349</v>
      </c>
      <c r="AX86" t="s">
        <v>350</v>
      </c>
      <c r="AY86" t="s">
        <v>444</v>
      </c>
      <c r="AZ86" t="s">
        <v>445</v>
      </c>
      <c r="BA86" t="s">
        <v>610</v>
      </c>
      <c r="BB86" t="s">
        <v>611</v>
      </c>
      <c r="BC86" t="s">
        <v>669</v>
      </c>
      <c r="BD86" t="s">
        <v>353</v>
      </c>
      <c r="BE86" t="s">
        <v>1695</v>
      </c>
      <c r="BF86" t="s">
        <v>314</v>
      </c>
      <c r="BG86"/>
      <c r="BH86"/>
      <c r="BI86"/>
      <c r="BJ86"/>
      <c r="BK86"/>
      <c r="BL86"/>
      <c r="BM86" t="s">
        <v>305</v>
      </c>
      <c r="BN86" t="s">
        <v>354</v>
      </c>
      <c r="BO86" t="s">
        <v>1696</v>
      </c>
      <c r="BP86" t="s">
        <v>1697</v>
      </c>
      <c r="BQ86"/>
      <c r="BR86">
        <v>7.7</v>
      </c>
      <c r="BS86">
        <v>8</v>
      </c>
      <c r="BT86">
        <v>8.1</v>
      </c>
      <c r="BU86">
        <v>8</v>
      </c>
      <c r="BV86">
        <v>8.1999999999999993</v>
      </c>
      <c r="BW86">
        <v>8.5</v>
      </c>
      <c r="BX86">
        <v>0</v>
      </c>
      <c r="BY86">
        <v>8.1</v>
      </c>
      <c r="BZ86">
        <v>0</v>
      </c>
      <c r="CA86">
        <v>8.1</v>
      </c>
      <c r="CB86">
        <v>0</v>
      </c>
      <c r="CC86">
        <v>8.9</v>
      </c>
      <c r="CD86">
        <v>0</v>
      </c>
      <c r="CE86">
        <v>0</v>
      </c>
      <c r="CF86">
        <v>0</v>
      </c>
      <c r="CG86">
        <v>0</v>
      </c>
      <c r="CH86">
        <v>0</v>
      </c>
      <c r="CI86">
        <v>0</v>
      </c>
      <c r="CJ86">
        <v>0</v>
      </c>
      <c r="CK86">
        <v>0</v>
      </c>
      <c r="CL86">
        <v>0</v>
      </c>
      <c r="CM86">
        <v>7.4</v>
      </c>
      <c r="CN86">
        <v>7.8</v>
      </c>
      <c r="CO86">
        <v>7.3</v>
      </c>
      <c r="CP86">
        <v>8.5</v>
      </c>
      <c r="CQ86">
        <v>8.1</v>
      </c>
      <c r="CR86">
        <v>9.1</v>
      </c>
      <c r="CS86">
        <v>0</v>
      </c>
      <c r="CT86">
        <v>7.2</v>
      </c>
      <c r="CU86">
        <v>0</v>
      </c>
      <c r="CV86">
        <v>8.9</v>
      </c>
      <c r="CW86">
        <v>0</v>
      </c>
      <c r="CX86">
        <v>8.5</v>
      </c>
      <c r="CY86">
        <v>0</v>
      </c>
      <c r="CZ86">
        <v>0</v>
      </c>
      <c r="DA86">
        <v>0</v>
      </c>
      <c r="DB86">
        <v>0</v>
      </c>
      <c r="DC86">
        <v>0</v>
      </c>
      <c r="DD86">
        <v>0</v>
      </c>
      <c r="DE86">
        <v>0</v>
      </c>
      <c r="DF86">
        <v>0</v>
      </c>
      <c r="DG86">
        <v>0</v>
      </c>
      <c r="DH86">
        <v>7.7</v>
      </c>
      <c r="DI86">
        <v>8.6</v>
      </c>
      <c r="DJ86">
        <v>8.1</v>
      </c>
      <c r="DK86">
        <v>9</v>
      </c>
      <c r="DL86">
        <v>8.9</v>
      </c>
      <c r="DM86">
        <v>9</v>
      </c>
      <c r="DN86">
        <v>0</v>
      </c>
      <c r="DO86">
        <v>7.5</v>
      </c>
      <c r="DP86">
        <v>0</v>
      </c>
      <c r="DQ86">
        <v>8.6999999999999993</v>
      </c>
      <c r="DR86">
        <v>0</v>
      </c>
      <c r="DS86">
        <v>9.3000000000000007</v>
      </c>
      <c r="DT86">
        <v>0</v>
      </c>
      <c r="DU86">
        <v>0</v>
      </c>
      <c r="DV86">
        <v>0</v>
      </c>
      <c r="DW86">
        <v>0</v>
      </c>
      <c r="DX86">
        <v>0</v>
      </c>
      <c r="DY86">
        <v>0</v>
      </c>
      <c r="DZ86">
        <v>0</v>
      </c>
      <c r="EA86">
        <v>0</v>
      </c>
      <c r="EB86">
        <v>0</v>
      </c>
      <c r="EC86">
        <v>5</v>
      </c>
      <c r="ED86">
        <v>5.75</v>
      </c>
      <c r="EE86"/>
      <c r="EF86"/>
      <c r="EG86">
        <v>7</v>
      </c>
      <c r="EH86">
        <v>6</v>
      </c>
      <c r="EI86"/>
      <c r="EJ86"/>
      <c r="EK86"/>
      <c r="EL86"/>
      <c r="EM86"/>
      <c r="EN86"/>
      <c r="EO86"/>
      <c r="EP86"/>
      <c r="EQ86"/>
      <c r="ER86"/>
      <c r="ES86"/>
      <c r="ET86"/>
      <c r="EU86"/>
      <c r="EV86"/>
      <c r="EW86"/>
      <c r="EX86"/>
      <c r="EY86"/>
      <c r="EZ86"/>
      <c r="FA86"/>
      <c r="FB86"/>
      <c r="FC86"/>
      <c r="FD86"/>
    </row>
    <row r="87" spans="1:160" x14ac:dyDescent="0.25">
      <c r="A87" s="1" t="str">
        <f t="shared" si="1"/>
        <v>086208008791</v>
      </c>
      <c r="B87" t="s">
        <v>1698</v>
      </c>
      <c r="C87" t="s">
        <v>1699</v>
      </c>
      <c r="D87" t="s">
        <v>1700</v>
      </c>
      <c r="E87" t="s">
        <v>280</v>
      </c>
      <c r="F87" t="s">
        <v>1621</v>
      </c>
      <c r="G87" t="s">
        <v>1701</v>
      </c>
      <c r="H87" t="s">
        <v>1702</v>
      </c>
      <c r="I87" t="s">
        <v>1703</v>
      </c>
      <c r="J87" t="s">
        <v>1704</v>
      </c>
      <c r="K87" t="s">
        <v>516</v>
      </c>
      <c r="L87"/>
      <c r="M87" t="s">
        <v>287</v>
      </c>
      <c r="N87" t="s">
        <v>288</v>
      </c>
      <c r="O87"/>
      <c r="P87" t="s">
        <v>289</v>
      </c>
      <c r="Q87" t="s">
        <v>1705</v>
      </c>
      <c r="R87" t="s">
        <v>287</v>
      </c>
      <c r="S87" t="s">
        <v>287</v>
      </c>
      <c r="T87" t="s">
        <v>287</v>
      </c>
      <c r="U87"/>
      <c r="V87"/>
      <c r="W87"/>
      <c r="X87"/>
      <c r="Y87"/>
      <c r="Z87"/>
      <c r="AA87" t="s">
        <v>287</v>
      </c>
      <c r="AB87"/>
      <c r="AC87"/>
      <c r="AD87"/>
      <c r="AE87"/>
      <c r="AF87" t="s">
        <v>421</v>
      </c>
      <c r="AG87" t="s">
        <v>750</v>
      </c>
      <c r="AH87" t="s">
        <v>751</v>
      </c>
      <c r="AI87" t="s">
        <v>421</v>
      </c>
      <c r="AJ87" t="s">
        <v>750</v>
      </c>
      <c r="AK87" t="s">
        <v>751</v>
      </c>
      <c r="AL87" t="s">
        <v>421</v>
      </c>
      <c r="AM87" t="s">
        <v>750</v>
      </c>
      <c r="AN87" t="s">
        <v>751</v>
      </c>
      <c r="AO87" t="s">
        <v>299</v>
      </c>
      <c r="AP87" t="s">
        <v>348</v>
      </c>
      <c r="AQ87" t="s">
        <v>294</v>
      </c>
      <c r="AR87" t="s">
        <v>691</v>
      </c>
      <c r="AS87" t="s">
        <v>1205</v>
      </c>
      <c r="AT87" t="s">
        <v>1706</v>
      </c>
      <c r="AU87" t="s">
        <v>354</v>
      </c>
      <c r="AV87"/>
      <c r="AW87" t="s">
        <v>444</v>
      </c>
      <c r="AX87" t="s">
        <v>445</v>
      </c>
      <c r="AY87" t="s">
        <v>351</v>
      </c>
      <c r="AZ87" t="s">
        <v>352</v>
      </c>
      <c r="BA87" t="s">
        <v>308</v>
      </c>
      <c r="BB87" t="s">
        <v>309</v>
      </c>
      <c r="BC87" t="s">
        <v>669</v>
      </c>
      <c r="BD87" t="s">
        <v>353</v>
      </c>
      <c r="BE87"/>
      <c r="BF87" t="s">
        <v>314</v>
      </c>
      <c r="BG87"/>
      <c r="BH87"/>
      <c r="BI87"/>
      <c r="BJ87"/>
      <c r="BK87"/>
      <c r="BL87"/>
      <c r="BM87" t="s">
        <v>305</v>
      </c>
      <c r="BN87" t="s">
        <v>354</v>
      </c>
      <c r="BO87" t="s">
        <v>1707</v>
      </c>
      <c r="BP87"/>
      <c r="BQ87"/>
      <c r="BR87">
        <v>7.5</v>
      </c>
      <c r="BS87">
        <v>6</v>
      </c>
      <c r="BT87">
        <v>6.3</v>
      </c>
      <c r="BU87">
        <v>9.6999999999999993</v>
      </c>
      <c r="BV87">
        <v>8</v>
      </c>
      <c r="BW87">
        <v>0</v>
      </c>
      <c r="BX87">
        <v>0</v>
      </c>
      <c r="BY87">
        <v>8.1</v>
      </c>
      <c r="BZ87">
        <v>6.8</v>
      </c>
      <c r="CA87">
        <v>0</v>
      </c>
      <c r="CB87">
        <v>9.5</v>
      </c>
      <c r="CC87">
        <v>8.9</v>
      </c>
      <c r="CD87">
        <v>0</v>
      </c>
      <c r="CE87">
        <v>0</v>
      </c>
      <c r="CF87">
        <v>0</v>
      </c>
      <c r="CG87">
        <v>0</v>
      </c>
      <c r="CH87">
        <v>0</v>
      </c>
      <c r="CI87">
        <v>0</v>
      </c>
      <c r="CJ87">
        <v>0</v>
      </c>
      <c r="CK87">
        <v>0</v>
      </c>
      <c r="CL87">
        <v>0</v>
      </c>
      <c r="CM87">
        <v>8.6999999999999993</v>
      </c>
      <c r="CN87">
        <v>6.5</v>
      </c>
      <c r="CO87">
        <v>7.4</v>
      </c>
      <c r="CP87">
        <v>8.9</v>
      </c>
      <c r="CQ87">
        <v>8.8000000000000007</v>
      </c>
      <c r="CR87">
        <v>0</v>
      </c>
      <c r="CS87">
        <v>0</v>
      </c>
      <c r="CT87">
        <v>8</v>
      </c>
      <c r="CU87">
        <v>6.6</v>
      </c>
      <c r="CV87">
        <v>0</v>
      </c>
      <c r="CW87">
        <v>8.3000000000000007</v>
      </c>
      <c r="CX87">
        <v>8.9</v>
      </c>
      <c r="CY87">
        <v>0</v>
      </c>
      <c r="CZ87">
        <v>0</v>
      </c>
      <c r="DA87">
        <v>0</v>
      </c>
      <c r="DB87">
        <v>0</v>
      </c>
      <c r="DC87">
        <v>0</v>
      </c>
      <c r="DD87">
        <v>0</v>
      </c>
      <c r="DE87">
        <v>0</v>
      </c>
      <c r="DF87">
        <v>0</v>
      </c>
      <c r="DG87">
        <v>0</v>
      </c>
      <c r="DH87">
        <v>8.3000000000000007</v>
      </c>
      <c r="DI87">
        <v>7.3</v>
      </c>
      <c r="DJ87">
        <v>6.7</v>
      </c>
      <c r="DK87">
        <v>9</v>
      </c>
      <c r="DL87">
        <v>8.6</v>
      </c>
      <c r="DM87">
        <v>0</v>
      </c>
      <c r="DN87">
        <v>0</v>
      </c>
      <c r="DO87">
        <v>8.6999999999999993</v>
      </c>
      <c r="DP87">
        <v>7.2</v>
      </c>
      <c r="DQ87">
        <v>0</v>
      </c>
      <c r="DR87">
        <v>9.6999999999999993</v>
      </c>
      <c r="DS87">
        <v>9.1999999999999993</v>
      </c>
      <c r="DT87">
        <v>0</v>
      </c>
      <c r="DU87">
        <v>0</v>
      </c>
      <c r="DV87">
        <v>0</v>
      </c>
      <c r="DW87">
        <v>0</v>
      </c>
      <c r="DX87">
        <v>0</v>
      </c>
      <c r="DY87">
        <v>0</v>
      </c>
      <c r="DZ87">
        <v>0</v>
      </c>
      <c r="EA87">
        <v>0</v>
      </c>
      <c r="EB87">
        <v>0</v>
      </c>
      <c r="EC87">
        <v>6.25</v>
      </c>
      <c r="ED87">
        <v>6.25</v>
      </c>
      <c r="EE87"/>
      <c r="EF87"/>
      <c r="EG87">
        <v>7.5</v>
      </c>
      <c r="EH87"/>
      <c r="EI87"/>
      <c r="EJ87">
        <v>4.3499999999999996</v>
      </c>
      <c r="EK87"/>
      <c r="EL87"/>
      <c r="EM87"/>
      <c r="EN87"/>
      <c r="EO87"/>
      <c r="EP87"/>
      <c r="EQ87"/>
      <c r="ER87"/>
      <c r="ES87"/>
      <c r="ET87"/>
      <c r="EU87"/>
      <c r="EV87"/>
      <c r="EW87"/>
      <c r="EX87"/>
      <c r="EY87"/>
      <c r="EZ87"/>
      <c r="FA87"/>
      <c r="FB87"/>
      <c r="FC87"/>
      <c r="FD87"/>
    </row>
    <row r="88" spans="1:160" x14ac:dyDescent="0.25">
      <c r="A88" s="1" t="str">
        <f t="shared" si="1"/>
        <v>087208010723</v>
      </c>
      <c r="B88" t="s">
        <v>1708</v>
      </c>
      <c r="C88" t="s">
        <v>1709</v>
      </c>
      <c r="D88" t="s">
        <v>1710</v>
      </c>
      <c r="E88" t="s">
        <v>280</v>
      </c>
      <c r="F88" t="s">
        <v>1292</v>
      </c>
      <c r="G88" t="s">
        <v>1711</v>
      </c>
      <c r="H88" t="s">
        <v>1712</v>
      </c>
      <c r="I88" t="s">
        <v>53</v>
      </c>
      <c r="J88" t="s">
        <v>1713</v>
      </c>
      <c r="K88" t="s">
        <v>321</v>
      </c>
      <c r="L88"/>
      <c r="M88" t="s">
        <v>287</v>
      </c>
      <c r="N88" t="s">
        <v>288</v>
      </c>
      <c r="O88"/>
      <c r="P88" t="s">
        <v>289</v>
      </c>
      <c r="Q88" t="s">
        <v>1714</v>
      </c>
      <c r="R88" t="s">
        <v>287</v>
      </c>
      <c r="S88" t="s">
        <v>287</v>
      </c>
      <c r="T88" t="s">
        <v>287</v>
      </c>
      <c r="U88"/>
      <c r="V88"/>
      <c r="W88" t="s">
        <v>294</v>
      </c>
      <c r="X88" t="s">
        <v>1715</v>
      </c>
      <c r="Y88" t="s">
        <v>1716</v>
      </c>
      <c r="Z88" t="s">
        <v>1717</v>
      </c>
      <c r="AA88" t="s">
        <v>287</v>
      </c>
      <c r="AB88"/>
      <c r="AC88"/>
      <c r="AD88"/>
      <c r="AE88"/>
      <c r="AF88" t="s">
        <v>323</v>
      </c>
      <c r="AG88" t="s">
        <v>1718</v>
      </c>
      <c r="AH88" t="s">
        <v>1719</v>
      </c>
      <c r="AI88" t="s">
        <v>323</v>
      </c>
      <c r="AJ88" t="s">
        <v>1718</v>
      </c>
      <c r="AK88" t="s">
        <v>1719</v>
      </c>
      <c r="AL88" t="s">
        <v>323</v>
      </c>
      <c r="AM88" t="s">
        <v>1718</v>
      </c>
      <c r="AN88" t="s">
        <v>1719</v>
      </c>
      <c r="AO88" t="s">
        <v>299</v>
      </c>
      <c r="AP88" t="s">
        <v>388</v>
      </c>
      <c r="AQ88" t="s">
        <v>1720</v>
      </c>
      <c r="AR88" t="s">
        <v>731</v>
      </c>
      <c r="AS88" t="s">
        <v>668</v>
      </c>
      <c r="AT88" t="s">
        <v>1720</v>
      </c>
      <c r="AU88" t="s">
        <v>305</v>
      </c>
      <c r="AV88"/>
      <c r="AW88" t="s">
        <v>562</v>
      </c>
      <c r="AX88" t="s">
        <v>563</v>
      </c>
      <c r="AY88"/>
      <c r="AZ88"/>
      <c r="BA88"/>
      <c r="BB88"/>
      <c r="BC88" t="s">
        <v>669</v>
      </c>
      <c r="BD88" t="s">
        <v>353</v>
      </c>
      <c r="BE88" t="s">
        <v>1721</v>
      </c>
      <c r="BF88" t="s">
        <v>314</v>
      </c>
      <c r="BG88"/>
      <c r="BH88"/>
      <c r="BI88"/>
      <c r="BJ88"/>
      <c r="BK88"/>
      <c r="BL88"/>
      <c r="BM88" t="s">
        <v>305</v>
      </c>
      <c r="BN88" t="s">
        <v>305</v>
      </c>
      <c r="BO88" t="s">
        <v>1722</v>
      </c>
      <c r="BP88" t="s">
        <v>1723</v>
      </c>
      <c r="BQ88" t="s">
        <v>1724</v>
      </c>
      <c r="BR88">
        <v>7.6</v>
      </c>
      <c r="BS88">
        <v>8.1</v>
      </c>
      <c r="BT88">
        <v>8.1</v>
      </c>
      <c r="BU88">
        <v>8.5</v>
      </c>
      <c r="BV88">
        <v>8</v>
      </c>
      <c r="BW88">
        <v>0</v>
      </c>
      <c r="BX88">
        <v>0</v>
      </c>
      <c r="BY88">
        <v>7.7</v>
      </c>
      <c r="BZ88">
        <v>8.4</v>
      </c>
      <c r="CA88">
        <v>7.2</v>
      </c>
      <c r="CB88">
        <v>0</v>
      </c>
      <c r="CC88">
        <v>8.6999999999999993</v>
      </c>
      <c r="CD88">
        <v>0</v>
      </c>
      <c r="CE88">
        <v>0</v>
      </c>
      <c r="CF88">
        <v>0</v>
      </c>
      <c r="CG88">
        <v>0</v>
      </c>
      <c r="CH88">
        <v>0</v>
      </c>
      <c r="CI88">
        <v>0</v>
      </c>
      <c r="CJ88">
        <v>0</v>
      </c>
      <c r="CK88">
        <v>0</v>
      </c>
      <c r="CL88">
        <v>0</v>
      </c>
      <c r="CM88">
        <v>6.3</v>
      </c>
      <c r="CN88">
        <v>7.5</v>
      </c>
      <c r="CO88">
        <v>7.4</v>
      </c>
      <c r="CP88">
        <v>9.4</v>
      </c>
      <c r="CQ88">
        <v>8.1</v>
      </c>
      <c r="CR88">
        <v>0</v>
      </c>
      <c r="CS88">
        <v>0</v>
      </c>
      <c r="CT88">
        <v>6.5</v>
      </c>
      <c r="CU88">
        <v>7.1</v>
      </c>
      <c r="CV88">
        <v>7.9</v>
      </c>
      <c r="CW88">
        <v>0</v>
      </c>
      <c r="CX88">
        <v>8.8000000000000007</v>
      </c>
      <c r="CY88">
        <v>0</v>
      </c>
      <c r="CZ88">
        <v>0</v>
      </c>
      <c r="DA88">
        <v>0</v>
      </c>
      <c r="DB88">
        <v>0</v>
      </c>
      <c r="DC88">
        <v>0</v>
      </c>
      <c r="DD88">
        <v>0</v>
      </c>
      <c r="DE88">
        <v>0</v>
      </c>
      <c r="DF88">
        <v>0</v>
      </c>
      <c r="DG88">
        <v>0</v>
      </c>
      <c r="DH88">
        <v>7.5</v>
      </c>
      <c r="DI88">
        <v>7.9</v>
      </c>
      <c r="DJ88">
        <v>7.8</v>
      </c>
      <c r="DK88">
        <v>9</v>
      </c>
      <c r="DL88">
        <v>8.6</v>
      </c>
      <c r="DM88">
        <v>0</v>
      </c>
      <c r="DN88">
        <v>0</v>
      </c>
      <c r="DO88">
        <v>6.8</v>
      </c>
      <c r="DP88">
        <v>7.1</v>
      </c>
      <c r="DQ88">
        <v>7.1</v>
      </c>
      <c r="DR88">
        <v>0</v>
      </c>
      <c r="DS88">
        <v>8.6</v>
      </c>
      <c r="DT88">
        <v>0</v>
      </c>
      <c r="DU88">
        <v>0</v>
      </c>
      <c r="DV88">
        <v>0</v>
      </c>
      <c r="DW88">
        <v>0</v>
      </c>
      <c r="DX88">
        <v>0</v>
      </c>
      <c r="DY88">
        <v>0</v>
      </c>
      <c r="DZ88">
        <v>0</v>
      </c>
      <c r="EA88">
        <v>0</v>
      </c>
      <c r="EB88">
        <v>0</v>
      </c>
      <c r="EC88">
        <v>4.5</v>
      </c>
      <c r="ED88">
        <v>7.75</v>
      </c>
      <c r="EE88">
        <v>3.5</v>
      </c>
      <c r="EF88"/>
      <c r="EG88">
        <v>8</v>
      </c>
      <c r="EH88"/>
      <c r="EI88"/>
      <c r="EJ88"/>
      <c r="EK88"/>
      <c r="EL88"/>
      <c r="EM88"/>
      <c r="EN88"/>
      <c r="EO88"/>
      <c r="EP88"/>
      <c r="EQ88"/>
      <c r="ER88"/>
      <c r="ES88"/>
      <c r="ET88"/>
      <c r="EU88"/>
      <c r="EV88"/>
      <c r="EW88"/>
      <c r="EX88">
        <v>108</v>
      </c>
      <c r="EY88">
        <v>92.5</v>
      </c>
      <c r="EZ88">
        <v>97</v>
      </c>
      <c r="FA88"/>
      <c r="FB88"/>
      <c r="FC88"/>
      <c r="FD88"/>
    </row>
    <row r="89" spans="1:160" x14ac:dyDescent="0.25">
      <c r="A89" s="1" t="str">
        <f t="shared" si="1"/>
        <v>086308000630</v>
      </c>
      <c r="B89" t="s">
        <v>1726</v>
      </c>
      <c r="C89" t="s">
        <v>1727</v>
      </c>
      <c r="D89" t="s">
        <v>1728</v>
      </c>
      <c r="E89" t="s">
        <v>278</v>
      </c>
      <c r="F89" t="s">
        <v>1466</v>
      </c>
      <c r="G89" t="s">
        <v>1729</v>
      </c>
      <c r="H89" t="s">
        <v>1730</v>
      </c>
      <c r="I89" t="s">
        <v>63</v>
      </c>
      <c r="J89" t="s">
        <v>1731</v>
      </c>
      <c r="K89" t="s">
        <v>516</v>
      </c>
      <c r="L89"/>
      <c r="M89" t="s">
        <v>287</v>
      </c>
      <c r="N89" t="s">
        <v>288</v>
      </c>
      <c r="O89"/>
      <c r="P89" t="s">
        <v>289</v>
      </c>
      <c r="Q89" t="s">
        <v>1732</v>
      </c>
      <c r="R89" t="s">
        <v>287</v>
      </c>
      <c r="S89" t="s">
        <v>287</v>
      </c>
      <c r="T89" t="s">
        <v>287</v>
      </c>
      <c r="U89" t="s">
        <v>1733</v>
      </c>
      <c r="V89" t="s">
        <v>1734</v>
      </c>
      <c r="W89" t="s">
        <v>1735</v>
      </c>
      <c r="X89" t="s">
        <v>1736</v>
      </c>
      <c r="Y89" t="s">
        <v>1737</v>
      </c>
      <c r="Z89" t="s">
        <v>1738</v>
      </c>
      <c r="AA89" t="s">
        <v>287</v>
      </c>
      <c r="AB89"/>
      <c r="AC89"/>
      <c r="AD89"/>
      <c r="AE89"/>
      <c r="AF89" t="s">
        <v>401</v>
      </c>
      <c r="AG89" t="s">
        <v>1699</v>
      </c>
      <c r="AH89" t="s">
        <v>1739</v>
      </c>
      <c r="AI89" t="s">
        <v>401</v>
      </c>
      <c r="AJ89" t="s">
        <v>1699</v>
      </c>
      <c r="AK89" t="s">
        <v>1739</v>
      </c>
      <c r="AL89" t="s">
        <v>401</v>
      </c>
      <c r="AM89" t="s">
        <v>1699</v>
      </c>
      <c r="AN89" t="s">
        <v>1739</v>
      </c>
      <c r="AO89" t="s">
        <v>299</v>
      </c>
      <c r="AP89" t="s">
        <v>388</v>
      </c>
      <c r="AQ89" t="s">
        <v>1548</v>
      </c>
      <c r="AR89" t="s">
        <v>1057</v>
      </c>
      <c r="AS89" t="s">
        <v>710</v>
      </c>
      <c r="AT89" t="s">
        <v>1725</v>
      </c>
      <c r="AU89" t="s">
        <v>305</v>
      </c>
      <c r="AV89"/>
      <c r="AW89" t="s">
        <v>308</v>
      </c>
      <c r="AX89" t="s">
        <v>309</v>
      </c>
      <c r="AY89" t="s">
        <v>444</v>
      </c>
      <c r="AZ89" t="s">
        <v>445</v>
      </c>
      <c r="BA89" t="s">
        <v>351</v>
      </c>
      <c r="BB89" t="s">
        <v>352</v>
      </c>
      <c r="BC89" t="s">
        <v>669</v>
      </c>
      <c r="BD89" t="s">
        <v>353</v>
      </c>
      <c r="BE89"/>
      <c r="BF89" t="s">
        <v>314</v>
      </c>
      <c r="BG89"/>
      <c r="BH89"/>
      <c r="BI89"/>
      <c r="BJ89"/>
      <c r="BK89"/>
      <c r="BL89"/>
      <c r="BM89" t="s">
        <v>305</v>
      </c>
      <c r="BN89" t="s">
        <v>354</v>
      </c>
      <c r="BO89" t="s">
        <v>1740</v>
      </c>
      <c r="BP89" t="s">
        <v>1741</v>
      </c>
      <c r="BQ89"/>
      <c r="BR89">
        <v>7.1</v>
      </c>
      <c r="BS89">
        <v>5.9</v>
      </c>
      <c r="BT89">
        <v>7.5</v>
      </c>
      <c r="BU89">
        <v>9.6</v>
      </c>
      <c r="BV89">
        <v>8.5</v>
      </c>
      <c r="BW89">
        <v>0</v>
      </c>
      <c r="BX89">
        <v>0</v>
      </c>
      <c r="BY89">
        <v>8.1999999999999993</v>
      </c>
      <c r="BZ89">
        <v>6.1</v>
      </c>
      <c r="CA89">
        <v>0</v>
      </c>
      <c r="CB89">
        <v>8.1999999999999993</v>
      </c>
      <c r="CC89">
        <v>9.1999999999999993</v>
      </c>
      <c r="CD89">
        <v>0</v>
      </c>
      <c r="CE89">
        <v>0</v>
      </c>
      <c r="CF89">
        <v>0</v>
      </c>
      <c r="CG89">
        <v>0</v>
      </c>
      <c r="CH89">
        <v>0</v>
      </c>
      <c r="CI89">
        <v>0</v>
      </c>
      <c r="CJ89">
        <v>0</v>
      </c>
      <c r="CK89">
        <v>0</v>
      </c>
      <c r="CL89">
        <v>0</v>
      </c>
      <c r="CM89">
        <v>6.6</v>
      </c>
      <c r="CN89">
        <v>6.7</v>
      </c>
      <c r="CO89">
        <v>7.6</v>
      </c>
      <c r="CP89">
        <v>9.1</v>
      </c>
      <c r="CQ89">
        <v>7.8</v>
      </c>
      <c r="CR89">
        <v>0</v>
      </c>
      <c r="CS89">
        <v>0</v>
      </c>
      <c r="CT89">
        <v>7.9</v>
      </c>
      <c r="CU89">
        <v>6.2</v>
      </c>
      <c r="CV89">
        <v>0</v>
      </c>
      <c r="CW89">
        <v>7.7</v>
      </c>
      <c r="CX89">
        <v>8.5</v>
      </c>
      <c r="CY89">
        <v>0</v>
      </c>
      <c r="CZ89">
        <v>0</v>
      </c>
      <c r="DA89">
        <v>0</v>
      </c>
      <c r="DB89">
        <v>0</v>
      </c>
      <c r="DC89">
        <v>0</v>
      </c>
      <c r="DD89">
        <v>0</v>
      </c>
      <c r="DE89">
        <v>0</v>
      </c>
      <c r="DF89">
        <v>0</v>
      </c>
      <c r="DG89">
        <v>0</v>
      </c>
      <c r="DH89">
        <v>6.2</v>
      </c>
      <c r="DI89">
        <v>6.2</v>
      </c>
      <c r="DJ89">
        <v>6.8</v>
      </c>
      <c r="DK89">
        <v>9.6</v>
      </c>
      <c r="DL89">
        <v>6.9</v>
      </c>
      <c r="DM89">
        <v>0</v>
      </c>
      <c r="DN89">
        <v>0</v>
      </c>
      <c r="DO89">
        <v>7.3</v>
      </c>
      <c r="DP89">
        <v>6.6</v>
      </c>
      <c r="DQ89">
        <v>0</v>
      </c>
      <c r="DR89">
        <v>6.4</v>
      </c>
      <c r="DS89">
        <v>8.4</v>
      </c>
      <c r="DT89">
        <v>0</v>
      </c>
      <c r="DU89">
        <v>0</v>
      </c>
      <c r="DV89">
        <v>0</v>
      </c>
      <c r="DW89">
        <v>0</v>
      </c>
      <c r="DX89">
        <v>0</v>
      </c>
      <c r="DY89">
        <v>0</v>
      </c>
      <c r="DZ89">
        <v>0</v>
      </c>
      <c r="EA89">
        <v>0</v>
      </c>
      <c r="EB89">
        <v>0</v>
      </c>
      <c r="EC89">
        <v>6</v>
      </c>
      <c r="ED89">
        <v>6.75</v>
      </c>
      <c r="EE89">
        <v>5</v>
      </c>
      <c r="EF89"/>
      <c r="EG89"/>
      <c r="EH89"/>
      <c r="EI89"/>
      <c r="EJ89">
        <v>3.5</v>
      </c>
      <c r="EK89"/>
      <c r="EL89"/>
      <c r="EM89"/>
      <c r="EN89"/>
      <c r="EO89"/>
      <c r="EP89"/>
      <c r="EQ89"/>
      <c r="ER89"/>
      <c r="ES89"/>
      <c r="ET89"/>
      <c r="EU89"/>
      <c r="EV89"/>
      <c r="EW89"/>
      <c r="EX89"/>
      <c r="EY89"/>
      <c r="EZ89"/>
      <c r="FA89"/>
      <c r="FB89"/>
      <c r="FC89"/>
      <c r="FD89"/>
    </row>
    <row r="90" spans="1:160" x14ac:dyDescent="0.25">
      <c r="A90" s="1" t="str">
        <f t="shared" si="1"/>
        <v>082208015752</v>
      </c>
      <c r="B90" t="s">
        <v>1742</v>
      </c>
      <c r="C90" t="s">
        <v>1743</v>
      </c>
      <c r="D90" t="s">
        <v>1744</v>
      </c>
      <c r="E90" t="s">
        <v>280</v>
      </c>
      <c r="F90" t="s">
        <v>1745</v>
      </c>
      <c r="G90" t="s">
        <v>1746</v>
      </c>
      <c r="H90" t="s">
        <v>1747</v>
      </c>
      <c r="I90" t="s">
        <v>1748</v>
      </c>
      <c r="J90" t="s">
        <v>1749</v>
      </c>
      <c r="K90" t="s">
        <v>321</v>
      </c>
      <c r="L90"/>
      <c r="M90" t="s">
        <v>287</v>
      </c>
      <c r="N90" t="s">
        <v>288</v>
      </c>
      <c r="O90"/>
      <c r="P90" t="s">
        <v>289</v>
      </c>
      <c r="Q90" t="s">
        <v>1750</v>
      </c>
      <c r="R90" t="s">
        <v>287</v>
      </c>
      <c r="S90" t="s">
        <v>287</v>
      </c>
      <c r="T90" t="s">
        <v>287</v>
      </c>
      <c r="U90"/>
      <c r="V90"/>
      <c r="W90"/>
      <c r="X90"/>
      <c r="Y90"/>
      <c r="Z90"/>
      <c r="AA90" t="s">
        <v>287</v>
      </c>
      <c r="AB90"/>
      <c r="AC90"/>
      <c r="AD90"/>
      <c r="AE90"/>
      <c r="AF90" t="s">
        <v>323</v>
      </c>
      <c r="AG90" t="s">
        <v>1751</v>
      </c>
      <c r="AH90" t="s">
        <v>1752</v>
      </c>
      <c r="AI90" t="s">
        <v>323</v>
      </c>
      <c r="AJ90" t="s">
        <v>1751</v>
      </c>
      <c r="AK90" t="s">
        <v>1752</v>
      </c>
      <c r="AL90" t="s">
        <v>323</v>
      </c>
      <c r="AM90" t="s">
        <v>1751</v>
      </c>
      <c r="AN90" t="s">
        <v>1752</v>
      </c>
      <c r="AO90" t="s">
        <v>299</v>
      </c>
      <c r="AP90" t="s">
        <v>388</v>
      </c>
      <c r="AQ90" t="s">
        <v>1205</v>
      </c>
      <c r="AR90" t="s">
        <v>302</v>
      </c>
      <c r="AS90" t="s">
        <v>643</v>
      </c>
      <c r="AT90" t="s">
        <v>644</v>
      </c>
      <c r="AU90" t="s">
        <v>354</v>
      </c>
      <c r="AV90"/>
      <c r="AW90" t="s">
        <v>308</v>
      </c>
      <c r="AX90" t="s">
        <v>309</v>
      </c>
      <c r="AY90" t="s">
        <v>330</v>
      </c>
      <c r="AZ90" t="s">
        <v>331</v>
      </c>
      <c r="BA90" t="s">
        <v>306</v>
      </c>
      <c r="BB90" t="s">
        <v>307</v>
      </c>
      <c r="BC90" t="s">
        <v>669</v>
      </c>
      <c r="BD90" t="s">
        <v>353</v>
      </c>
      <c r="BE90" t="s">
        <v>1753</v>
      </c>
      <c r="BF90" t="s">
        <v>314</v>
      </c>
      <c r="BG90"/>
      <c r="BH90"/>
      <c r="BI90"/>
      <c r="BJ90"/>
      <c r="BK90"/>
      <c r="BL90"/>
      <c r="BM90" t="s">
        <v>354</v>
      </c>
      <c r="BN90" t="s">
        <v>354</v>
      </c>
      <c r="BO90"/>
      <c r="BP90"/>
      <c r="BQ90"/>
      <c r="BR90">
        <v>8</v>
      </c>
      <c r="BS90">
        <v>8.3000000000000007</v>
      </c>
      <c r="BT90">
        <v>6.9</v>
      </c>
      <c r="BU90">
        <v>8.8000000000000007</v>
      </c>
      <c r="BV90">
        <v>8.9</v>
      </c>
      <c r="BW90">
        <v>0</v>
      </c>
      <c r="BX90">
        <v>0</v>
      </c>
      <c r="BY90">
        <v>8.6999999999999993</v>
      </c>
      <c r="BZ90">
        <v>9</v>
      </c>
      <c r="CA90">
        <v>0</v>
      </c>
      <c r="CB90">
        <v>8.5</v>
      </c>
      <c r="CC90">
        <v>9.5</v>
      </c>
      <c r="CD90">
        <v>0</v>
      </c>
      <c r="CE90">
        <v>0</v>
      </c>
      <c r="CF90">
        <v>0</v>
      </c>
      <c r="CG90">
        <v>0</v>
      </c>
      <c r="CH90">
        <v>0</v>
      </c>
      <c r="CI90">
        <v>0</v>
      </c>
      <c r="CJ90">
        <v>0</v>
      </c>
      <c r="CK90">
        <v>0</v>
      </c>
      <c r="CL90">
        <v>0</v>
      </c>
      <c r="CM90">
        <v>7.4</v>
      </c>
      <c r="CN90">
        <v>7.9</v>
      </c>
      <c r="CO90">
        <v>7.3</v>
      </c>
      <c r="CP90">
        <v>8.8000000000000007</v>
      </c>
      <c r="CQ90">
        <v>9.1999999999999993</v>
      </c>
      <c r="CR90">
        <v>0</v>
      </c>
      <c r="CS90">
        <v>0</v>
      </c>
      <c r="CT90">
        <v>7</v>
      </c>
      <c r="CU90">
        <v>7.6</v>
      </c>
      <c r="CV90">
        <v>0</v>
      </c>
      <c r="CW90">
        <v>8.6999999999999993</v>
      </c>
      <c r="CX90">
        <v>8</v>
      </c>
      <c r="CY90">
        <v>0</v>
      </c>
      <c r="CZ90">
        <v>0</v>
      </c>
      <c r="DA90">
        <v>0</v>
      </c>
      <c r="DB90">
        <v>0</v>
      </c>
      <c r="DC90">
        <v>0</v>
      </c>
      <c r="DD90">
        <v>0</v>
      </c>
      <c r="DE90">
        <v>0</v>
      </c>
      <c r="DF90">
        <v>0</v>
      </c>
      <c r="DG90">
        <v>0</v>
      </c>
      <c r="DH90">
        <v>6.4</v>
      </c>
      <c r="DI90">
        <v>8.1999999999999993</v>
      </c>
      <c r="DJ90">
        <v>6.5</v>
      </c>
      <c r="DK90">
        <v>9.6</v>
      </c>
      <c r="DL90">
        <v>9.1999999999999993</v>
      </c>
      <c r="DM90">
        <v>0</v>
      </c>
      <c r="DN90">
        <v>0</v>
      </c>
      <c r="DO90">
        <v>7.4</v>
      </c>
      <c r="DP90">
        <v>6.6</v>
      </c>
      <c r="DQ90">
        <v>0</v>
      </c>
      <c r="DR90">
        <v>7.7</v>
      </c>
      <c r="DS90">
        <v>9.1</v>
      </c>
      <c r="DT90">
        <v>0</v>
      </c>
      <c r="DU90">
        <v>0</v>
      </c>
      <c r="DV90">
        <v>0</v>
      </c>
      <c r="DW90">
        <v>0</v>
      </c>
      <c r="DX90">
        <v>0</v>
      </c>
      <c r="DY90">
        <v>0</v>
      </c>
      <c r="DZ90">
        <v>0</v>
      </c>
      <c r="EA90">
        <v>0</v>
      </c>
      <c r="EB90">
        <v>0</v>
      </c>
      <c r="EC90"/>
      <c r="ED90"/>
      <c r="EE90"/>
      <c r="EF90"/>
      <c r="EG90"/>
      <c r="EH90"/>
      <c r="EI90"/>
      <c r="EJ90"/>
      <c r="EK90"/>
      <c r="EL90"/>
      <c r="EM90"/>
      <c r="EN90"/>
      <c r="EO90"/>
      <c r="EP90"/>
      <c r="EQ90"/>
      <c r="ER90"/>
      <c r="ES90"/>
      <c r="ET90"/>
      <c r="EU90"/>
      <c r="EV90"/>
      <c r="EW90"/>
      <c r="EX90"/>
      <c r="EY90"/>
      <c r="EZ90"/>
      <c r="FA90"/>
      <c r="FB90"/>
      <c r="FC90"/>
      <c r="FD90"/>
    </row>
    <row r="91" spans="1:160" x14ac:dyDescent="0.25">
      <c r="A91" s="1" t="str">
        <f t="shared" si="1"/>
        <v>089308002325</v>
      </c>
      <c r="B91" t="s">
        <v>1754</v>
      </c>
      <c r="C91" t="s">
        <v>1755</v>
      </c>
      <c r="D91" t="s">
        <v>1756</v>
      </c>
      <c r="E91" t="s">
        <v>278</v>
      </c>
      <c r="F91" t="s">
        <v>1757</v>
      </c>
      <c r="G91" t="s">
        <v>1758</v>
      </c>
      <c r="H91" t="s">
        <v>1759</v>
      </c>
      <c r="I91" t="s">
        <v>46</v>
      </c>
      <c r="J91" t="s">
        <v>1760</v>
      </c>
      <c r="K91" t="s">
        <v>321</v>
      </c>
      <c r="L91"/>
      <c r="M91" t="s">
        <v>287</v>
      </c>
      <c r="N91" t="s">
        <v>288</v>
      </c>
      <c r="O91"/>
      <c r="P91" t="s">
        <v>289</v>
      </c>
      <c r="Q91" t="s">
        <v>1761</v>
      </c>
      <c r="R91" t="s">
        <v>287</v>
      </c>
      <c r="S91" t="s">
        <v>287</v>
      </c>
      <c r="T91" t="s">
        <v>287</v>
      </c>
      <c r="U91" t="s">
        <v>1762</v>
      </c>
      <c r="V91" t="s">
        <v>1763</v>
      </c>
      <c r="W91" t="s">
        <v>1764</v>
      </c>
      <c r="X91" t="s">
        <v>1765</v>
      </c>
      <c r="Y91" t="s">
        <v>1766</v>
      </c>
      <c r="Z91" t="s">
        <v>1767</v>
      </c>
      <c r="AA91" t="s">
        <v>287</v>
      </c>
      <c r="AB91"/>
      <c r="AC91"/>
      <c r="AD91"/>
      <c r="AE91"/>
      <c r="AF91" t="s">
        <v>401</v>
      </c>
      <c r="AG91" t="s">
        <v>1768</v>
      </c>
      <c r="AH91" t="s">
        <v>1769</v>
      </c>
      <c r="AI91" t="s">
        <v>401</v>
      </c>
      <c r="AJ91" t="s">
        <v>1768</v>
      </c>
      <c r="AK91" t="s">
        <v>1769</v>
      </c>
      <c r="AL91" t="s">
        <v>401</v>
      </c>
      <c r="AM91" t="s">
        <v>1768</v>
      </c>
      <c r="AN91" t="s">
        <v>1769</v>
      </c>
      <c r="AO91" t="s">
        <v>299</v>
      </c>
      <c r="AP91" t="s">
        <v>603</v>
      </c>
      <c r="AQ91" t="s">
        <v>970</v>
      </c>
      <c r="AR91" t="s">
        <v>1100</v>
      </c>
      <c r="AS91" t="s">
        <v>606</v>
      </c>
      <c r="AT91" t="s">
        <v>1307</v>
      </c>
      <c r="AU91" t="s">
        <v>305</v>
      </c>
      <c r="AV91"/>
      <c r="AW91" t="s">
        <v>310</v>
      </c>
      <c r="AX91" t="s">
        <v>311</v>
      </c>
      <c r="AY91" t="s">
        <v>444</v>
      </c>
      <c r="AZ91" t="s">
        <v>445</v>
      </c>
      <c r="BA91"/>
      <c r="BB91"/>
      <c r="BC91" t="s">
        <v>669</v>
      </c>
      <c r="BD91" t="s">
        <v>353</v>
      </c>
      <c r="BE91"/>
      <c r="BF91" t="s">
        <v>314</v>
      </c>
      <c r="BG91"/>
      <c r="BH91"/>
      <c r="BI91"/>
      <c r="BJ91"/>
      <c r="BK91"/>
      <c r="BL91"/>
      <c r="BM91" t="s">
        <v>305</v>
      </c>
      <c r="BN91" t="s">
        <v>354</v>
      </c>
      <c r="BO91" t="s">
        <v>1770</v>
      </c>
      <c r="BP91" t="s">
        <v>1771</v>
      </c>
      <c r="BQ91"/>
      <c r="BR91">
        <v>6.8</v>
      </c>
      <c r="BS91">
        <v>6.8</v>
      </c>
      <c r="BT91">
        <v>7.1</v>
      </c>
      <c r="BU91">
        <v>9.6</v>
      </c>
      <c r="BV91">
        <v>7.3</v>
      </c>
      <c r="BW91">
        <v>0</v>
      </c>
      <c r="BX91">
        <v>7.4</v>
      </c>
      <c r="BY91">
        <v>7.7</v>
      </c>
      <c r="BZ91">
        <v>7.6</v>
      </c>
      <c r="CA91">
        <v>0</v>
      </c>
      <c r="CB91">
        <v>0</v>
      </c>
      <c r="CC91">
        <v>8.1999999999999993</v>
      </c>
      <c r="CD91">
        <v>0</v>
      </c>
      <c r="CE91">
        <v>0</v>
      </c>
      <c r="CF91">
        <v>0</v>
      </c>
      <c r="CG91">
        <v>0</v>
      </c>
      <c r="CH91">
        <v>0</v>
      </c>
      <c r="CI91">
        <v>0</v>
      </c>
      <c r="CJ91">
        <v>0</v>
      </c>
      <c r="CK91">
        <v>0</v>
      </c>
      <c r="CL91">
        <v>0</v>
      </c>
      <c r="CM91">
        <v>8</v>
      </c>
      <c r="CN91">
        <v>7.3</v>
      </c>
      <c r="CO91">
        <v>8</v>
      </c>
      <c r="CP91">
        <v>9.3000000000000007</v>
      </c>
      <c r="CQ91">
        <v>7.6</v>
      </c>
      <c r="CR91">
        <v>0</v>
      </c>
      <c r="CS91">
        <v>7.8</v>
      </c>
      <c r="CT91">
        <v>8.1</v>
      </c>
      <c r="CU91">
        <v>8.8000000000000007</v>
      </c>
      <c r="CV91">
        <v>0</v>
      </c>
      <c r="CW91">
        <v>0</v>
      </c>
      <c r="CX91">
        <v>8.1</v>
      </c>
      <c r="CY91">
        <v>0</v>
      </c>
      <c r="CZ91">
        <v>0</v>
      </c>
      <c r="DA91">
        <v>0</v>
      </c>
      <c r="DB91">
        <v>0</v>
      </c>
      <c r="DC91">
        <v>0</v>
      </c>
      <c r="DD91">
        <v>0</v>
      </c>
      <c r="DE91">
        <v>0</v>
      </c>
      <c r="DF91">
        <v>0</v>
      </c>
      <c r="DG91">
        <v>0</v>
      </c>
      <c r="DH91">
        <v>8.4</v>
      </c>
      <c r="DI91">
        <v>8.6999999999999993</v>
      </c>
      <c r="DJ91">
        <v>7.2</v>
      </c>
      <c r="DK91">
        <v>9.5</v>
      </c>
      <c r="DL91">
        <v>7.5</v>
      </c>
      <c r="DM91">
        <v>0</v>
      </c>
      <c r="DN91">
        <v>8.1</v>
      </c>
      <c r="DO91">
        <v>8.9</v>
      </c>
      <c r="DP91">
        <v>9.1999999999999993</v>
      </c>
      <c r="DQ91">
        <v>0</v>
      </c>
      <c r="DR91">
        <v>0</v>
      </c>
      <c r="DS91">
        <v>9.3000000000000007</v>
      </c>
      <c r="DT91">
        <v>0</v>
      </c>
      <c r="DU91">
        <v>0</v>
      </c>
      <c r="DV91">
        <v>0</v>
      </c>
      <c r="DW91">
        <v>0</v>
      </c>
      <c r="DX91">
        <v>0</v>
      </c>
      <c r="DY91">
        <v>0</v>
      </c>
      <c r="DZ91">
        <v>0</v>
      </c>
      <c r="EA91">
        <v>0</v>
      </c>
      <c r="EB91">
        <v>0</v>
      </c>
      <c r="EC91">
        <v>5</v>
      </c>
      <c r="ED91">
        <v>7</v>
      </c>
      <c r="EE91"/>
      <c r="EF91"/>
      <c r="EG91"/>
      <c r="EH91"/>
      <c r="EI91"/>
      <c r="EJ91">
        <v>5</v>
      </c>
      <c r="EK91">
        <v>6</v>
      </c>
      <c r="EL91"/>
      <c r="EM91"/>
      <c r="EN91"/>
      <c r="EO91"/>
      <c r="EP91"/>
      <c r="EQ91"/>
      <c r="ER91"/>
      <c r="ES91"/>
      <c r="ET91"/>
      <c r="EU91"/>
      <c r="EV91"/>
      <c r="EW91"/>
      <c r="EX91"/>
      <c r="EY91"/>
      <c r="EZ91"/>
      <c r="FA91"/>
      <c r="FB91"/>
      <c r="FC91"/>
      <c r="FD91"/>
    </row>
    <row r="92" spans="1:160" x14ac:dyDescent="0.25">
      <c r="A92" s="1" t="str">
        <f t="shared" si="1"/>
        <v>072308010254</v>
      </c>
      <c r="B92" t="s">
        <v>1772</v>
      </c>
      <c r="C92" t="s">
        <v>1773</v>
      </c>
      <c r="D92" t="s">
        <v>1774</v>
      </c>
      <c r="E92" t="s">
        <v>280</v>
      </c>
      <c r="F92" t="s">
        <v>1775</v>
      </c>
      <c r="G92" t="s">
        <v>1776</v>
      </c>
      <c r="H92" t="s">
        <v>1777</v>
      </c>
      <c r="I92" t="s">
        <v>1778</v>
      </c>
      <c r="J92" t="s">
        <v>1779</v>
      </c>
      <c r="K92" t="s">
        <v>286</v>
      </c>
      <c r="L92"/>
      <c r="M92" t="s">
        <v>287</v>
      </c>
      <c r="N92" t="s">
        <v>288</v>
      </c>
      <c r="O92"/>
      <c r="P92" t="s">
        <v>289</v>
      </c>
      <c r="Q92" t="s">
        <v>1780</v>
      </c>
      <c r="R92" t="s">
        <v>287</v>
      </c>
      <c r="S92" t="s">
        <v>287</v>
      </c>
      <c r="T92" t="s">
        <v>287</v>
      </c>
      <c r="U92" t="s">
        <v>2923</v>
      </c>
      <c r="V92" t="s">
        <v>2924</v>
      </c>
      <c r="W92" t="s">
        <v>2925</v>
      </c>
      <c r="X92"/>
      <c r="Y92"/>
      <c r="Z92" t="s">
        <v>294</v>
      </c>
      <c r="AA92" t="s">
        <v>287</v>
      </c>
      <c r="AB92"/>
      <c r="AC92"/>
      <c r="AD92"/>
      <c r="AE92"/>
      <c r="AF92" t="s">
        <v>576</v>
      </c>
      <c r="AG92" t="s">
        <v>1781</v>
      </c>
      <c r="AH92" t="s">
        <v>1782</v>
      </c>
      <c r="AI92" t="s">
        <v>576</v>
      </c>
      <c r="AJ92" t="s">
        <v>1781</v>
      </c>
      <c r="AK92" t="s">
        <v>1782</v>
      </c>
      <c r="AL92" t="s">
        <v>576</v>
      </c>
      <c r="AM92" t="s">
        <v>1781</v>
      </c>
      <c r="AN92" t="s">
        <v>1782</v>
      </c>
      <c r="AO92" t="s">
        <v>299</v>
      </c>
      <c r="AP92" t="s">
        <v>603</v>
      </c>
      <c r="AQ92" t="s">
        <v>1783</v>
      </c>
      <c r="AR92" t="s">
        <v>1615</v>
      </c>
      <c r="AS92" t="s">
        <v>1784</v>
      </c>
      <c r="AT92" t="s">
        <v>990</v>
      </c>
      <c r="AU92" t="s">
        <v>305</v>
      </c>
      <c r="AV92"/>
      <c r="AW92" t="s">
        <v>306</v>
      </c>
      <c r="AX92" t="s">
        <v>307</v>
      </c>
      <c r="AY92"/>
      <c r="AZ92"/>
      <c r="BA92"/>
      <c r="BB92"/>
      <c r="BC92" t="s">
        <v>669</v>
      </c>
      <c r="BD92" t="s">
        <v>971</v>
      </c>
      <c r="BE92" t="s">
        <v>1785</v>
      </c>
      <c r="BF92" t="s">
        <v>314</v>
      </c>
      <c r="BG92"/>
      <c r="BH92"/>
      <c r="BI92"/>
      <c r="BJ92"/>
      <c r="BK92"/>
      <c r="BL92"/>
      <c r="BM92" t="s">
        <v>354</v>
      </c>
      <c r="BN92" t="s">
        <v>354</v>
      </c>
      <c r="BO92"/>
      <c r="BP92" t="s">
        <v>2926</v>
      </c>
      <c r="BQ92"/>
      <c r="BR92">
        <v>6.1</v>
      </c>
      <c r="BS92">
        <v>6.6</v>
      </c>
      <c r="BT92">
        <v>7.4</v>
      </c>
      <c r="BU92">
        <v>8.5</v>
      </c>
      <c r="BV92">
        <v>8.3000000000000007</v>
      </c>
      <c r="BW92">
        <v>8.5</v>
      </c>
      <c r="BX92">
        <v>8</v>
      </c>
      <c r="BY92">
        <v>7.6</v>
      </c>
      <c r="BZ92">
        <v>0</v>
      </c>
      <c r="CA92">
        <v>0</v>
      </c>
      <c r="CB92">
        <v>0</v>
      </c>
      <c r="CC92">
        <v>8.3000000000000007</v>
      </c>
      <c r="CD92">
        <v>0</v>
      </c>
      <c r="CE92">
        <v>0</v>
      </c>
      <c r="CF92">
        <v>0</v>
      </c>
      <c r="CG92">
        <v>0</v>
      </c>
      <c r="CH92">
        <v>0</v>
      </c>
      <c r="CI92">
        <v>0</v>
      </c>
      <c r="CJ92">
        <v>0</v>
      </c>
      <c r="CK92">
        <v>0</v>
      </c>
      <c r="CL92">
        <v>0</v>
      </c>
      <c r="CM92">
        <v>6.1</v>
      </c>
      <c r="CN92">
        <v>6.6</v>
      </c>
      <c r="CO92">
        <v>7.4</v>
      </c>
      <c r="CP92">
        <v>8.5</v>
      </c>
      <c r="CQ92">
        <v>8.3000000000000007</v>
      </c>
      <c r="CR92">
        <v>9</v>
      </c>
      <c r="CS92">
        <v>8</v>
      </c>
      <c r="CT92">
        <v>7.6</v>
      </c>
      <c r="CU92">
        <v>0</v>
      </c>
      <c r="CV92">
        <v>0</v>
      </c>
      <c r="CW92">
        <v>0</v>
      </c>
      <c r="CX92">
        <v>8.3000000000000007</v>
      </c>
      <c r="CY92">
        <v>0</v>
      </c>
      <c r="CZ92">
        <v>0</v>
      </c>
      <c r="DA92">
        <v>0</v>
      </c>
      <c r="DB92">
        <v>0</v>
      </c>
      <c r="DC92">
        <v>0</v>
      </c>
      <c r="DD92">
        <v>0</v>
      </c>
      <c r="DE92">
        <v>0</v>
      </c>
      <c r="DF92">
        <v>0</v>
      </c>
      <c r="DG92">
        <v>0</v>
      </c>
      <c r="DH92">
        <v>7.4</v>
      </c>
      <c r="DI92">
        <v>7.1</v>
      </c>
      <c r="DJ92">
        <v>7.9</v>
      </c>
      <c r="DK92">
        <v>9.1999999999999993</v>
      </c>
      <c r="DL92">
        <v>8.5</v>
      </c>
      <c r="DM92">
        <v>9.5</v>
      </c>
      <c r="DN92">
        <v>8.3000000000000007</v>
      </c>
      <c r="DO92">
        <v>8.1</v>
      </c>
      <c r="DP92">
        <v>0</v>
      </c>
      <c r="DQ92">
        <v>0</v>
      </c>
      <c r="DR92">
        <v>0</v>
      </c>
      <c r="DS92">
        <v>8.8000000000000007</v>
      </c>
      <c r="DT92">
        <v>0</v>
      </c>
      <c r="DU92">
        <v>0</v>
      </c>
      <c r="DV92">
        <v>0</v>
      </c>
      <c r="DW92">
        <v>0</v>
      </c>
      <c r="DX92">
        <v>0</v>
      </c>
      <c r="DY92">
        <v>0</v>
      </c>
      <c r="DZ92">
        <v>0</v>
      </c>
      <c r="EA92">
        <v>0</v>
      </c>
      <c r="EB92">
        <v>0</v>
      </c>
      <c r="EC92"/>
      <c r="ED92"/>
      <c r="EE92"/>
      <c r="EF92"/>
      <c r="EG92"/>
      <c r="EH92"/>
      <c r="EI92"/>
      <c r="EJ92"/>
      <c r="EK92"/>
      <c r="EL92"/>
      <c r="EM92"/>
      <c r="EN92"/>
      <c r="EO92"/>
      <c r="EP92"/>
      <c r="EQ92"/>
      <c r="ER92"/>
      <c r="ES92"/>
      <c r="ET92"/>
      <c r="EU92"/>
      <c r="EV92"/>
      <c r="EW92"/>
      <c r="EX92"/>
      <c r="EY92"/>
      <c r="EZ92"/>
      <c r="FA92"/>
      <c r="FB92"/>
      <c r="FC92"/>
      <c r="FD92"/>
    </row>
    <row r="93" spans="1:160" x14ac:dyDescent="0.25">
      <c r="A93" s="1" t="str">
        <f t="shared" si="1"/>
        <v>095308007499</v>
      </c>
      <c r="B93" t="s">
        <v>1786</v>
      </c>
      <c r="C93" t="s">
        <v>1787</v>
      </c>
      <c r="D93" t="s">
        <v>1788</v>
      </c>
      <c r="E93" t="s">
        <v>278</v>
      </c>
      <c r="F93" t="s">
        <v>1789</v>
      </c>
      <c r="G93" t="s">
        <v>1790</v>
      </c>
      <c r="H93" t="s">
        <v>1791</v>
      </c>
      <c r="I93" t="s">
        <v>24</v>
      </c>
      <c r="J93" t="s">
        <v>1792</v>
      </c>
      <c r="K93" t="s">
        <v>321</v>
      </c>
      <c r="L93"/>
      <c r="M93" t="s">
        <v>287</v>
      </c>
      <c r="N93" t="s">
        <v>288</v>
      </c>
      <c r="O93"/>
      <c r="P93" t="s">
        <v>289</v>
      </c>
      <c r="Q93" t="s">
        <v>1793</v>
      </c>
      <c r="R93" t="s">
        <v>287</v>
      </c>
      <c r="S93" t="s">
        <v>287</v>
      </c>
      <c r="T93" t="s">
        <v>287</v>
      </c>
      <c r="U93"/>
      <c r="V93"/>
      <c r="W93"/>
      <c r="X93"/>
      <c r="Y93"/>
      <c r="Z93"/>
      <c r="AA93" t="s">
        <v>287</v>
      </c>
      <c r="AB93"/>
      <c r="AC93"/>
      <c r="AD93"/>
      <c r="AE93"/>
      <c r="AF93" t="s">
        <v>663</v>
      </c>
      <c r="AG93" t="s">
        <v>1794</v>
      </c>
      <c r="AH93" t="s">
        <v>1795</v>
      </c>
      <c r="AI93" t="s">
        <v>663</v>
      </c>
      <c r="AJ93" t="s">
        <v>1794</v>
      </c>
      <c r="AK93" t="s">
        <v>1795</v>
      </c>
      <c r="AL93" t="s">
        <v>663</v>
      </c>
      <c r="AM93" t="s">
        <v>1794</v>
      </c>
      <c r="AN93" t="s">
        <v>1795</v>
      </c>
      <c r="AO93" t="s">
        <v>299</v>
      </c>
      <c r="AP93" t="s">
        <v>348</v>
      </c>
      <c r="AQ93" t="s">
        <v>425</v>
      </c>
      <c r="AR93" t="s">
        <v>931</v>
      </c>
      <c r="AS93" t="s">
        <v>424</v>
      </c>
      <c r="AT93" t="s">
        <v>486</v>
      </c>
      <c r="AU93" t="s">
        <v>354</v>
      </c>
      <c r="AV93"/>
      <c r="AW93" t="s">
        <v>306</v>
      </c>
      <c r="AX93" t="s">
        <v>307</v>
      </c>
      <c r="AY93"/>
      <c r="AZ93"/>
      <c r="BA93"/>
      <c r="BB93"/>
      <c r="BC93" t="s">
        <v>669</v>
      </c>
      <c r="BD93" t="s">
        <v>353</v>
      </c>
      <c r="BE93"/>
      <c r="BF93" t="s">
        <v>314</v>
      </c>
      <c r="BG93"/>
      <c r="BH93"/>
      <c r="BI93"/>
      <c r="BJ93"/>
      <c r="BK93"/>
      <c r="BL93"/>
      <c r="BM93" t="s">
        <v>305</v>
      </c>
      <c r="BN93" t="s">
        <v>354</v>
      </c>
      <c r="BO93" t="s">
        <v>1796</v>
      </c>
      <c r="BP93"/>
      <c r="BQ93"/>
      <c r="BR93">
        <v>8</v>
      </c>
      <c r="BS93">
        <v>7.8</v>
      </c>
      <c r="BT93">
        <v>8</v>
      </c>
      <c r="BU93">
        <v>8.1</v>
      </c>
      <c r="BV93">
        <v>8.6</v>
      </c>
      <c r="BW93">
        <v>0</v>
      </c>
      <c r="BX93">
        <v>0</v>
      </c>
      <c r="BY93">
        <v>7.8</v>
      </c>
      <c r="BZ93">
        <v>7.2</v>
      </c>
      <c r="CA93">
        <v>8.6</v>
      </c>
      <c r="CB93">
        <v>0</v>
      </c>
      <c r="CC93">
        <v>9.1</v>
      </c>
      <c r="CD93">
        <v>0</v>
      </c>
      <c r="CE93">
        <v>0</v>
      </c>
      <c r="CF93">
        <v>0</v>
      </c>
      <c r="CG93">
        <v>0</v>
      </c>
      <c r="CH93">
        <v>0</v>
      </c>
      <c r="CI93">
        <v>0</v>
      </c>
      <c r="CJ93">
        <v>0</v>
      </c>
      <c r="CK93">
        <v>0</v>
      </c>
      <c r="CL93">
        <v>0</v>
      </c>
      <c r="CM93">
        <v>8.1</v>
      </c>
      <c r="CN93">
        <v>7.5</v>
      </c>
      <c r="CO93">
        <v>7.9</v>
      </c>
      <c r="CP93">
        <v>8.6</v>
      </c>
      <c r="CQ93">
        <v>8.8000000000000007</v>
      </c>
      <c r="CR93">
        <v>0</v>
      </c>
      <c r="CS93">
        <v>0</v>
      </c>
      <c r="CT93">
        <v>8</v>
      </c>
      <c r="CU93">
        <v>8.8000000000000007</v>
      </c>
      <c r="CV93">
        <v>8.8000000000000007</v>
      </c>
      <c r="CW93">
        <v>0</v>
      </c>
      <c r="CX93">
        <v>8.6999999999999993</v>
      </c>
      <c r="CY93">
        <v>0</v>
      </c>
      <c r="CZ93">
        <v>0</v>
      </c>
      <c r="DA93">
        <v>0</v>
      </c>
      <c r="DB93">
        <v>0</v>
      </c>
      <c r="DC93">
        <v>0</v>
      </c>
      <c r="DD93">
        <v>0</v>
      </c>
      <c r="DE93">
        <v>0</v>
      </c>
      <c r="DF93">
        <v>0</v>
      </c>
      <c r="DG93">
        <v>0</v>
      </c>
      <c r="DH93">
        <v>9.1</v>
      </c>
      <c r="DI93">
        <v>8.3000000000000007</v>
      </c>
      <c r="DJ93">
        <v>8.9</v>
      </c>
      <c r="DK93">
        <v>9.1</v>
      </c>
      <c r="DL93">
        <v>9.3000000000000007</v>
      </c>
      <c r="DM93">
        <v>0</v>
      </c>
      <c r="DN93">
        <v>0</v>
      </c>
      <c r="DO93">
        <v>8.3000000000000007</v>
      </c>
      <c r="DP93">
        <v>9.4</v>
      </c>
      <c r="DQ93">
        <v>9.3000000000000007</v>
      </c>
      <c r="DR93">
        <v>0</v>
      </c>
      <c r="DS93">
        <v>9.5</v>
      </c>
      <c r="DT93">
        <v>0</v>
      </c>
      <c r="DU93">
        <v>0</v>
      </c>
      <c r="DV93">
        <v>0</v>
      </c>
      <c r="DW93">
        <v>0</v>
      </c>
      <c r="DX93">
        <v>0</v>
      </c>
      <c r="DY93">
        <v>0</v>
      </c>
      <c r="DZ93">
        <v>0</v>
      </c>
      <c r="EA93">
        <v>0</v>
      </c>
      <c r="EB93">
        <v>0</v>
      </c>
      <c r="EC93">
        <v>5.75</v>
      </c>
      <c r="ED93">
        <v>8</v>
      </c>
      <c r="EE93">
        <v>4</v>
      </c>
      <c r="EF93"/>
      <c r="EG93"/>
      <c r="EH93"/>
      <c r="EI93"/>
      <c r="EJ93">
        <v>4</v>
      </c>
      <c r="EK93"/>
      <c r="EL93"/>
      <c r="EM93"/>
      <c r="EN93"/>
      <c r="EO93"/>
      <c r="EP93"/>
      <c r="EQ93"/>
      <c r="ER93"/>
      <c r="ES93"/>
      <c r="ET93"/>
      <c r="EU93"/>
      <c r="EV93"/>
      <c r="EW93"/>
      <c r="EX93"/>
      <c r="EY93"/>
      <c r="EZ93"/>
      <c r="FA93"/>
      <c r="FB93"/>
      <c r="FC93"/>
      <c r="FD93"/>
    </row>
    <row r="94" spans="1:160" x14ac:dyDescent="0.25">
      <c r="A94" s="1" t="str">
        <f t="shared" si="1"/>
        <v>092208010072</v>
      </c>
      <c r="B94" t="s">
        <v>1797</v>
      </c>
      <c r="C94" t="s">
        <v>1798</v>
      </c>
      <c r="D94" t="s">
        <v>1799</v>
      </c>
      <c r="E94" t="s">
        <v>280</v>
      </c>
      <c r="F94" t="s">
        <v>1800</v>
      </c>
      <c r="G94" t="s">
        <v>1801</v>
      </c>
      <c r="H94" t="s">
        <v>1802</v>
      </c>
      <c r="I94" t="s">
        <v>35</v>
      </c>
      <c r="J94" t="s">
        <v>1803</v>
      </c>
      <c r="K94" t="s">
        <v>321</v>
      </c>
      <c r="L94"/>
      <c r="M94" t="s">
        <v>287</v>
      </c>
      <c r="N94" t="s">
        <v>288</v>
      </c>
      <c r="O94"/>
      <c r="P94" t="s">
        <v>289</v>
      </c>
      <c r="Q94" t="s">
        <v>1804</v>
      </c>
      <c r="R94" t="s">
        <v>287</v>
      </c>
      <c r="S94" t="s">
        <v>287</v>
      </c>
      <c r="T94" t="s">
        <v>287</v>
      </c>
      <c r="U94"/>
      <c r="V94"/>
      <c r="W94"/>
      <c r="X94"/>
      <c r="Y94"/>
      <c r="Z94"/>
      <c r="AA94" t="s">
        <v>287</v>
      </c>
      <c r="AB94"/>
      <c r="AC94"/>
      <c r="AD94"/>
      <c r="AE94"/>
      <c r="AF94" t="s">
        <v>401</v>
      </c>
      <c r="AG94" t="s">
        <v>1496</v>
      </c>
      <c r="AH94" t="s">
        <v>1805</v>
      </c>
      <c r="AI94" t="s">
        <v>401</v>
      </c>
      <c r="AJ94" t="s">
        <v>1496</v>
      </c>
      <c r="AK94" t="s">
        <v>1805</v>
      </c>
      <c r="AL94" t="s">
        <v>401</v>
      </c>
      <c r="AM94" t="s">
        <v>1496</v>
      </c>
      <c r="AN94" t="s">
        <v>1805</v>
      </c>
      <c r="AO94" t="s">
        <v>299</v>
      </c>
      <c r="AP94" t="s">
        <v>348</v>
      </c>
      <c r="AQ94" t="s">
        <v>1627</v>
      </c>
      <c r="AR94" t="s">
        <v>302</v>
      </c>
      <c r="AS94" t="s">
        <v>579</v>
      </c>
      <c r="AT94" t="s">
        <v>1806</v>
      </c>
      <c r="AU94" t="s">
        <v>354</v>
      </c>
      <c r="AV94"/>
      <c r="AW94" t="s">
        <v>330</v>
      </c>
      <c r="AX94" t="s">
        <v>331</v>
      </c>
      <c r="AY94"/>
      <c r="AZ94"/>
      <c r="BA94"/>
      <c r="BB94"/>
      <c r="BC94" t="s">
        <v>669</v>
      </c>
      <c r="BD94" t="s">
        <v>353</v>
      </c>
      <c r="BE94"/>
      <c r="BF94" t="s">
        <v>314</v>
      </c>
      <c r="BG94"/>
      <c r="BH94"/>
      <c r="BI94"/>
      <c r="BJ94"/>
      <c r="BK94"/>
      <c r="BL94"/>
      <c r="BM94" t="s">
        <v>305</v>
      </c>
      <c r="BN94" t="s">
        <v>354</v>
      </c>
      <c r="BO94" t="s">
        <v>1807</v>
      </c>
      <c r="BP94"/>
      <c r="BQ94"/>
      <c r="BR94">
        <v>9.1</v>
      </c>
      <c r="BS94">
        <v>6.4</v>
      </c>
      <c r="BT94">
        <v>8</v>
      </c>
      <c r="BU94">
        <v>9</v>
      </c>
      <c r="BV94">
        <v>8.5</v>
      </c>
      <c r="BW94">
        <v>0</v>
      </c>
      <c r="BX94">
        <v>0</v>
      </c>
      <c r="BY94">
        <v>9</v>
      </c>
      <c r="BZ94">
        <v>8.9</v>
      </c>
      <c r="CA94">
        <v>9</v>
      </c>
      <c r="CB94">
        <v>0</v>
      </c>
      <c r="CC94">
        <v>8.6999999999999993</v>
      </c>
      <c r="CD94">
        <v>0</v>
      </c>
      <c r="CE94">
        <v>0</v>
      </c>
      <c r="CF94">
        <v>0</v>
      </c>
      <c r="CG94">
        <v>0</v>
      </c>
      <c r="CH94">
        <v>0</v>
      </c>
      <c r="CI94">
        <v>0</v>
      </c>
      <c r="CJ94">
        <v>0</v>
      </c>
      <c r="CK94">
        <v>0</v>
      </c>
      <c r="CL94">
        <v>0</v>
      </c>
      <c r="CM94">
        <v>8.8000000000000007</v>
      </c>
      <c r="CN94">
        <v>6.8</v>
      </c>
      <c r="CO94">
        <v>8.1999999999999993</v>
      </c>
      <c r="CP94">
        <v>8.9</v>
      </c>
      <c r="CQ94">
        <v>8.1999999999999993</v>
      </c>
      <c r="CR94">
        <v>0</v>
      </c>
      <c r="CS94">
        <v>0</v>
      </c>
      <c r="CT94">
        <v>9.6</v>
      </c>
      <c r="CU94">
        <v>8.6</v>
      </c>
      <c r="CV94">
        <v>9.6999999999999993</v>
      </c>
      <c r="CW94">
        <v>0</v>
      </c>
      <c r="CX94">
        <v>8.6</v>
      </c>
      <c r="CY94">
        <v>0</v>
      </c>
      <c r="CZ94">
        <v>0</v>
      </c>
      <c r="DA94">
        <v>0</v>
      </c>
      <c r="DB94">
        <v>0</v>
      </c>
      <c r="DC94">
        <v>0</v>
      </c>
      <c r="DD94">
        <v>0</v>
      </c>
      <c r="DE94">
        <v>0</v>
      </c>
      <c r="DF94">
        <v>0</v>
      </c>
      <c r="DG94">
        <v>0</v>
      </c>
      <c r="DH94">
        <v>9.3000000000000007</v>
      </c>
      <c r="DI94">
        <v>8.3000000000000007</v>
      </c>
      <c r="DJ94">
        <v>7.6</v>
      </c>
      <c r="DK94">
        <v>9.6</v>
      </c>
      <c r="DL94">
        <v>9</v>
      </c>
      <c r="DM94">
        <v>0</v>
      </c>
      <c r="DN94">
        <v>0</v>
      </c>
      <c r="DO94">
        <v>9.6999999999999993</v>
      </c>
      <c r="DP94">
        <v>9.3000000000000007</v>
      </c>
      <c r="DQ94">
        <v>8.8000000000000007</v>
      </c>
      <c r="DR94">
        <v>0</v>
      </c>
      <c r="DS94">
        <v>9.4</v>
      </c>
      <c r="DT94">
        <v>0</v>
      </c>
      <c r="DU94">
        <v>0</v>
      </c>
      <c r="DV94">
        <v>0</v>
      </c>
      <c r="DW94">
        <v>0</v>
      </c>
      <c r="DX94">
        <v>0</v>
      </c>
      <c r="DY94">
        <v>0</v>
      </c>
      <c r="DZ94">
        <v>0</v>
      </c>
      <c r="EA94">
        <v>0</v>
      </c>
      <c r="EB94">
        <v>0</v>
      </c>
      <c r="EC94">
        <v>8.75</v>
      </c>
      <c r="ED94">
        <v>7</v>
      </c>
      <c r="EE94"/>
      <c r="EF94"/>
      <c r="EG94"/>
      <c r="EH94"/>
      <c r="EI94"/>
      <c r="EJ94">
        <v>7.25</v>
      </c>
      <c r="EK94">
        <v>7</v>
      </c>
      <c r="EL94"/>
      <c r="EM94"/>
      <c r="EN94"/>
      <c r="EO94"/>
      <c r="EP94"/>
      <c r="EQ94"/>
      <c r="ER94"/>
      <c r="ES94"/>
      <c r="ET94"/>
      <c r="EU94"/>
      <c r="EV94"/>
      <c r="EW94"/>
      <c r="EX94"/>
      <c r="EY94"/>
      <c r="EZ94"/>
      <c r="FA94"/>
      <c r="FB94"/>
      <c r="FC94"/>
      <c r="FD94"/>
    </row>
    <row r="95" spans="1:160" x14ac:dyDescent="0.25">
      <c r="A95" s="1" t="str">
        <f t="shared" si="1"/>
        <v>082208011717</v>
      </c>
      <c r="B95" t="s">
        <v>1808</v>
      </c>
      <c r="C95" t="s">
        <v>1809</v>
      </c>
      <c r="D95" t="s">
        <v>1810</v>
      </c>
      <c r="E95" t="s">
        <v>280</v>
      </c>
      <c r="F95" t="s">
        <v>1811</v>
      </c>
      <c r="G95" t="s">
        <v>1812</v>
      </c>
      <c r="H95" t="s">
        <v>1813</v>
      </c>
      <c r="I95" t="s">
        <v>1814</v>
      </c>
      <c r="J95" t="s">
        <v>1815</v>
      </c>
      <c r="K95" t="s">
        <v>516</v>
      </c>
      <c r="L95"/>
      <c r="M95" t="s">
        <v>287</v>
      </c>
      <c r="N95" t="s">
        <v>288</v>
      </c>
      <c r="O95"/>
      <c r="P95" t="s">
        <v>289</v>
      </c>
      <c r="Q95" t="s">
        <v>1816</v>
      </c>
      <c r="R95" t="s">
        <v>287</v>
      </c>
      <c r="S95" t="s">
        <v>287</v>
      </c>
      <c r="T95" t="s">
        <v>287</v>
      </c>
      <c r="U95"/>
      <c r="V95"/>
      <c r="W95"/>
      <c r="X95"/>
      <c r="Y95"/>
      <c r="Z95"/>
      <c r="AA95" t="s">
        <v>287</v>
      </c>
      <c r="AB95"/>
      <c r="AC95"/>
      <c r="AD95"/>
      <c r="AE95"/>
      <c r="AF95" t="s">
        <v>323</v>
      </c>
      <c r="AG95" t="s">
        <v>1817</v>
      </c>
      <c r="AH95" t="s">
        <v>1818</v>
      </c>
      <c r="AI95" t="s">
        <v>323</v>
      </c>
      <c r="AJ95" t="s">
        <v>1817</v>
      </c>
      <c r="AK95" t="s">
        <v>1818</v>
      </c>
      <c r="AL95" t="s">
        <v>323</v>
      </c>
      <c r="AM95" t="s">
        <v>1817</v>
      </c>
      <c r="AN95" t="s">
        <v>1818</v>
      </c>
      <c r="AO95" t="s">
        <v>299</v>
      </c>
      <c r="AP95" t="s">
        <v>603</v>
      </c>
      <c r="AQ95" t="s">
        <v>406</v>
      </c>
      <c r="AR95" t="s">
        <v>1819</v>
      </c>
      <c r="AS95" t="s">
        <v>1627</v>
      </c>
      <c r="AT95" t="s">
        <v>406</v>
      </c>
      <c r="AU95" t="s">
        <v>354</v>
      </c>
      <c r="AV95"/>
      <c r="AW95" t="s">
        <v>330</v>
      </c>
      <c r="AX95" t="s">
        <v>331</v>
      </c>
      <c r="AY95"/>
      <c r="AZ95"/>
      <c r="BA95"/>
      <c r="BB95"/>
      <c r="BC95" t="s">
        <v>669</v>
      </c>
      <c r="BD95" t="s">
        <v>353</v>
      </c>
      <c r="BE95" t="s">
        <v>670</v>
      </c>
      <c r="BF95" t="s">
        <v>314</v>
      </c>
      <c r="BG95"/>
      <c r="BH95"/>
      <c r="BI95"/>
      <c r="BJ95"/>
      <c r="BK95"/>
      <c r="BL95"/>
      <c r="BM95" t="s">
        <v>305</v>
      </c>
      <c r="BN95" t="s">
        <v>354</v>
      </c>
      <c r="BO95" t="s">
        <v>1820</v>
      </c>
      <c r="BP95"/>
      <c r="BQ95"/>
      <c r="BR95">
        <v>7.5</v>
      </c>
      <c r="BS95">
        <v>7.2</v>
      </c>
      <c r="BT95">
        <v>6.4</v>
      </c>
      <c r="BU95">
        <v>9.1999999999999993</v>
      </c>
      <c r="BV95">
        <v>8.4</v>
      </c>
      <c r="BW95">
        <v>7.8</v>
      </c>
      <c r="BX95">
        <v>8.6999999999999993</v>
      </c>
      <c r="BY95">
        <v>0</v>
      </c>
      <c r="BZ95">
        <v>6.5</v>
      </c>
      <c r="CA95">
        <v>0</v>
      </c>
      <c r="CB95">
        <v>0</v>
      </c>
      <c r="CC95">
        <v>8</v>
      </c>
      <c r="CD95">
        <v>0</v>
      </c>
      <c r="CE95">
        <v>0</v>
      </c>
      <c r="CF95">
        <v>0</v>
      </c>
      <c r="CG95">
        <v>0</v>
      </c>
      <c r="CH95">
        <v>0</v>
      </c>
      <c r="CI95">
        <v>0</v>
      </c>
      <c r="CJ95">
        <v>0</v>
      </c>
      <c r="CK95">
        <v>0</v>
      </c>
      <c r="CL95">
        <v>0</v>
      </c>
      <c r="CM95">
        <v>8</v>
      </c>
      <c r="CN95">
        <v>7.9</v>
      </c>
      <c r="CO95">
        <v>7.9</v>
      </c>
      <c r="CP95">
        <v>9.1999999999999993</v>
      </c>
      <c r="CQ95">
        <v>8.1</v>
      </c>
      <c r="CR95">
        <v>8.1999999999999993</v>
      </c>
      <c r="CS95">
        <v>8.4</v>
      </c>
      <c r="CT95">
        <v>0</v>
      </c>
      <c r="CU95">
        <v>6.8</v>
      </c>
      <c r="CV95">
        <v>0</v>
      </c>
      <c r="CW95">
        <v>0</v>
      </c>
      <c r="CX95">
        <v>8.8000000000000007</v>
      </c>
      <c r="CY95">
        <v>0</v>
      </c>
      <c r="CZ95">
        <v>0</v>
      </c>
      <c r="DA95">
        <v>0</v>
      </c>
      <c r="DB95">
        <v>0</v>
      </c>
      <c r="DC95">
        <v>0</v>
      </c>
      <c r="DD95">
        <v>0</v>
      </c>
      <c r="DE95">
        <v>0</v>
      </c>
      <c r="DF95">
        <v>0</v>
      </c>
      <c r="DG95">
        <v>0</v>
      </c>
      <c r="DH95">
        <v>7.6</v>
      </c>
      <c r="DI95">
        <v>8.1</v>
      </c>
      <c r="DJ95">
        <v>8.4</v>
      </c>
      <c r="DK95">
        <v>9.6</v>
      </c>
      <c r="DL95">
        <v>9.3000000000000007</v>
      </c>
      <c r="DM95">
        <v>9</v>
      </c>
      <c r="DN95">
        <v>8.4</v>
      </c>
      <c r="DO95">
        <v>0</v>
      </c>
      <c r="DP95">
        <v>7.2</v>
      </c>
      <c r="DQ95">
        <v>0</v>
      </c>
      <c r="DR95">
        <v>0</v>
      </c>
      <c r="DS95">
        <v>8.1</v>
      </c>
      <c r="DT95">
        <v>0</v>
      </c>
      <c r="DU95">
        <v>0</v>
      </c>
      <c r="DV95">
        <v>0</v>
      </c>
      <c r="DW95">
        <v>0</v>
      </c>
      <c r="DX95">
        <v>0</v>
      </c>
      <c r="DY95">
        <v>0</v>
      </c>
      <c r="DZ95">
        <v>0</v>
      </c>
      <c r="EA95">
        <v>0</v>
      </c>
      <c r="EB95">
        <v>0</v>
      </c>
      <c r="EC95">
        <v>7</v>
      </c>
      <c r="ED95">
        <v>7.25</v>
      </c>
      <c r="EE95"/>
      <c r="EF95"/>
      <c r="EG95">
        <v>5.0999999999999996</v>
      </c>
      <c r="EH95"/>
      <c r="EI95">
        <v>6.6</v>
      </c>
      <c r="EJ95"/>
      <c r="EK95"/>
      <c r="EL95"/>
      <c r="EM95"/>
      <c r="EN95"/>
      <c r="EO95"/>
      <c r="EP95"/>
      <c r="EQ95"/>
      <c r="ER95"/>
      <c r="ES95"/>
      <c r="ET95"/>
      <c r="EU95"/>
      <c r="EV95"/>
      <c r="EW95"/>
      <c r="EX95"/>
      <c r="EY95"/>
      <c r="EZ95"/>
      <c r="FA95"/>
      <c r="FB95"/>
      <c r="FC95"/>
      <c r="FD95"/>
    </row>
    <row r="96" spans="1:160" x14ac:dyDescent="0.25">
      <c r="A96" s="1" t="str">
        <f t="shared" si="1"/>
        <v>037308003748</v>
      </c>
      <c r="B96" t="s">
        <v>1821</v>
      </c>
      <c r="C96" t="s">
        <v>1822</v>
      </c>
      <c r="D96" t="s">
        <v>1823</v>
      </c>
      <c r="E96" t="s">
        <v>278</v>
      </c>
      <c r="F96" t="s">
        <v>1824</v>
      </c>
      <c r="G96" t="s">
        <v>1825</v>
      </c>
      <c r="H96" t="s">
        <v>1826</v>
      </c>
      <c r="I96" t="s">
        <v>116</v>
      </c>
      <c r="J96" t="s">
        <v>1827</v>
      </c>
      <c r="K96" t="s">
        <v>321</v>
      </c>
      <c r="L96"/>
      <c r="M96" t="s">
        <v>287</v>
      </c>
      <c r="N96" t="s">
        <v>288</v>
      </c>
      <c r="O96"/>
      <c r="P96" t="s">
        <v>289</v>
      </c>
      <c r="Q96" t="s">
        <v>1828</v>
      </c>
      <c r="R96" t="s">
        <v>287</v>
      </c>
      <c r="S96" t="s">
        <v>287</v>
      </c>
      <c r="T96" t="s">
        <v>287</v>
      </c>
      <c r="U96"/>
      <c r="V96"/>
      <c r="W96"/>
      <c r="X96"/>
      <c r="Y96"/>
      <c r="Z96"/>
      <c r="AA96" t="s">
        <v>287</v>
      </c>
      <c r="AB96"/>
      <c r="AC96"/>
      <c r="AD96"/>
      <c r="AE96"/>
      <c r="AF96" t="s">
        <v>1829</v>
      </c>
      <c r="AG96" t="s">
        <v>728</v>
      </c>
      <c r="AH96" t="s">
        <v>1830</v>
      </c>
      <c r="AI96" t="s">
        <v>1829</v>
      </c>
      <c r="AJ96" t="s">
        <v>728</v>
      </c>
      <c r="AK96" t="s">
        <v>1830</v>
      </c>
      <c r="AL96" t="s">
        <v>1829</v>
      </c>
      <c r="AM96" t="s">
        <v>728</v>
      </c>
      <c r="AN96" t="s">
        <v>1830</v>
      </c>
      <c r="AO96" t="s">
        <v>299</v>
      </c>
      <c r="AP96" t="s">
        <v>300</v>
      </c>
      <c r="AQ96" t="s">
        <v>1831</v>
      </c>
      <c r="AR96" t="s">
        <v>604</v>
      </c>
      <c r="AS96" t="s">
        <v>389</v>
      </c>
      <c r="AT96" t="s">
        <v>1615</v>
      </c>
      <c r="AU96" t="s">
        <v>354</v>
      </c>
      <c r="AV96"/>
      <c r="AW96" t="s">
        <v>610</v>
      </c>
      <c r="AX96" t="s">
        <v>611</v>
      </c>
      <c r="AY96" t="s">
        <v>330</v>
      </c>
      <c r="AZ96" t="s">
        <v>331</v>
      </c>
      <c r="BA96" t="s">
        <v>562</v>
      </c>
      <c r="BB96" t="s">
        <v>563</v>
      </c>
      <c r="BC96" t="s">
        <v>669</v>
      </c>
      <c r="BD96" t="s">
        <v>353</v>
      </c>
      <c r="BE96"/>
      <c r="BF96" t="s">
        <v>314</v>
      </c>
      <c r="BG96"/>
      <c r="BH96"/>
      <c r="BI96"/>
      <c r="BJ96"/>
      <c r="BK96"/>
      <c r="BL96"/>
      <c r="BM96" t="s">
        <v>305</v>
      </c>
      <c r="BN96" t="s">
        <v>354</v>
      </c>
      <c r="BO96" t="s">
        <v>1832</v>
      </c>
      <c r="BP96"/>
      <c r="BQ96"/>
      <c r="BR96">
        <v>7.1</v>
      </c>
      <c r="BS96">
        <v>7.6</v>
      </c>
      <c r="BT96">
        <v>5.4</v>
      </c>
      <c r="BU96">
        <v>8</v>
      </c>
      <c r="BV96">
        <v>7.9</v>
      </c>
      <c r="BW96">
        <v>6.8</v>
      </c>
      <c r="BX96">
        <v>5.9</v>
      </c>
      <c r="BY96">
        <v>6.9</v>
      </c>
      <c r="BZ96">
        <v>0</v>
      </c>
      <c r="CA96">
        <v>0</v>
      </c>
      <c r="CB96">
        <v>7.9</v>
      </c>
      <c r="CC96">
        <v>0</v>
      </c>
      <c r="CD96">
        <v>0</v>
      </c>
      <c r="CE96">
        <v>0</v>
      </c>
      <c r="CF96">
        <v>0</v>
      </c>
      <c r="CG96">
        <v>0</v>
      </c>
      <c r="CH96">
        <v>0</v>
      </c>
      <c r="CI96">
        <v>0</v>
      </c>
      <c r="CJ96">
        <v>0</v>
      </c>
      <c r="CK96">
        <v>0</v>
      </c>
      <c r="CL96">
        <v>0</v>
      </c>
      <c r="CM96">
        <v>6.2</v>
      </c>
      <c r="CN96">
        <v>7.6</v>
      </c>
      <c r="CO96">
        <v>6</v>
      </c>
      <c r="CP96">
        <v>8.8000000000000007</v>
      </c>
      <c r="CQ96">
        <v>8.1999999999999993</v>
      </c>
      <c r="CR96">
        <v>8</v>
      </c>
      <c r="CS96">
        <v>8.1</v>
      </c>
      <c r="CT96">
        <v>7.1</v>
      </c>
      <c r="CU96">
        <v>0</v>
      </c>
      <c r="CV96">
        <v>0</v>
      </c>
      <c r="CW96">
        <v>7.9</v>
      </c>
      <c r="CX96">
        <v>0</v>
      </c>
      <c r="CY96">
        <v>0</v>
      </c>
      <c r="CZ96">
        <v>0</v>
      </c>
      <c r="DA96">
        <v>0</v>
      </c>
      <c r="DB96">
        <v>0</v>
      </c>
      <c r="DC96">
        <v>0</v>
      </c>
      <c r="DD96">
        <v>0</v>
      </c>
      <c r="DE96">
        <v>0</v>
      </c>
      <c r="DF96">
        <v>0</v>
      </c>
      <c r="DG96">
        <v>0</v>
      </c>
      <c r="DH96">
        <v>6.7</v>
      </c>
      <c r="DI96">
        <v>7.7</v>
      </c>
      <c r="DJ96">
        <v>7.1</v>
      </c>
      <c r="DK96">
        <v>8.9</v>
      </c>
      <c r="DL96">
        <v>7.9</v>
      </c>
      <c r="DM96">
        <v>8</v>
      </c>
      <c r="DN96">
        <v>7.6</v>
      </c>
      <c r="DO96">
        <v>7.1</v>
      </c>
      <c r="DP96">
        <v>0</v>
      </c>
      <c r="DQ96">
        <v>0</v>
      </c>
      <c r="DR96">
        <v>8.3000000000000007</v>
      </c>
      <c r="DS96">
        <v>0</v>
      </c>
      <c r="DT96">
        <v>0</v>
      </c>
      <c r="DU96">
        <v>0</v>
      </c>
      <c r="DV96">
        <v>0</v>
      </c>
      <c r="DW96">
        <v>0</v>
      </c>
      <c r="DX96">
        <v>0</v>
      </c>
      <c r="DY96">
        <v>0</v>
      </c>
      <c r="DZ96">
        <v>0</v>
      </c>
      <c r="EA96">
        <v>0</v>
      </c>
      <c r="EB96">
        <v>0</v>
      </c>
      <c r="EC96">
        <v>5.75</v>
      </c>
      <c r="ED96">
        <v>8</v>
      </c>
      <c r="EE96"/>
      <c r="EF96"/>
      <c r="EG96"/>
      <c r="EH96"/>
      <c r="EI96">
        <v>7.5</v>
      </c>
      <c r="EJ96"/>
      <c r="EK96"/>
      <c r="EL96"/>
      <c r="EM96"/>
      <c r="EN96"/>
      <c r="EO96"/>
      <c r="EP96"/>
      <c r="EQ96"/>
      <c r="ER96"/>
      <c r="ES96">
        <v>4.5</v>
      </c>
      <c r="ET96"/>
      <c r="EU96"/>
      <c r="EV96"/>
      <c r="EW96"/>
      <c r="EX96"/>
      <c r="EY96"/>
      <c r="EZ96"/>
      <c r="FA96"/>
      <c r="FB96">
        <v>0</v>
      </c>
      <c r="FC96">
        <v>0</v>
      </c>
      <c r="FD96">
        <v>0</v>
      </c>
    </row>
    <row r="97" spans="1:160" x14ac:dyDescent="0.25">
      <c r="A97" s="1" t="str">
        <f t="shared" si="1"/>
        <v>079094019852</v>
      </c>
      <c r="B97" t="s">
        <v>1833</v>
      </c>
      <c r="C97" t="s">
        <v>1834</v>
      </c>
      <c r="D97" t="s">
        <v>1835</v>
      </c>
      <c r="E97" t="s">
        <v>280</v>
      </c>
      <c r="F97" t="s">
        <v>1836</v>
      </c>
      <c r="G97" t="s">
        <v>1837</v>
      </c>
      <c r="H97" t="s">
        <v>1838</v>
      </c>
      <c r="I97" t="s">
        <v>1839</v>
      </c>
      <c r="J97" t="s">
        <v>1840</v>
      </c>
      <c r="K97" t="s">
        <v>286</v>
      </c>
      <c r="L97"/>
      <c r="M97" t="s">
        <v>287</v>
      </c>
      <c r="N97" t="s">
        <v>288</v>
      </c>
      <c r="O97"/>
      <c r="P97" t="s">
        <v>1841</v>
      </c>
      <c r="Q97"/>
      <c r="R97" t="s">
        <v>287</v>
      </c>
      <c r="S97" t="s">
        <v>287</v>
      </c>
      <c r="T97" t="s">
        <v>287</v>
      </c>
      <c r="U97"/>
      <c r="V97"/>
      <c r="W97"/>
      <c r="X97"/>
      <c r="Y97"/>
      <c r="Z97"/>
      <c r="AA97" t="s">
        <v>287</v>
      </c>
      <c r="AB97"/>
      <c r="AC97"/>
      <c r="AD97"/>
      <c r="AE97"/>
      <c r="AF97" t="s">
        <v>706</v>
      </c>
      <c r="AG97" t="s">
        <v>1842</v>
      </c>
      <c r="AH97" t="s">
        <v>1843</v>
      </c>
      <c r="AI97" t="s">
        <v>706</v>
      </c>
      <c r="AJ97" t="s">
        <v>1842</v>
      </c>
      <c r="AK97" t="s">
        <v>1843</v>
      </c>
      <c r="AL97" t="s">
        <v>706</v>
      </c>
      <c r="AM97" t="s">
        <v>1842</v>
      </c>
      <c r="AN97" t="s">
        <v>1843</v>
      </c>
      <c r="AO97" t="s">
        <v>299</v>
      </c>
      <c r="AP97" t="s">
        <v>300</v>
      </c>
      <c r="AQ97" t="s">
        <v>1844</v>
      </c>
      <c r="AR97" t="s">
        <v>1845</v>
      </c>
      <c r="AS97" t="s">
        <v>1846</v>
      </c>
      <c r="AT97" t="s">
        <v>1847</v>
      </c>
      <c r="AU97" t="s">
        <v>354</v>
      </c>
      <c r="AV97"/>
      <c r="AW97" t="s">
        <v>545</v>
      </c>
      <c r="AX97" t="s">
        <v>546</v>
      </c>
      <c r="AY97" t="s">
        <v>562</v>
      </c>
      <c r="AZ97" t="s">
        <v>563</v>
      </c>
      <c r="BA97"/>
      <c r="BB97"/>
      <c r="BC97" t="s">
        <v>669</v>
      </c>
      <c r="BD97" t="s">
        <v>313</v>
      </c>
      <c r="BE97" t="s">
        <v>1848</v>
      </c>
      <c r="BF97" t="s">
        <v>314</v>
      </c>
      <c r="BG97"/>
      <c r="BH97"/>
      <c r="BI97"/>
      <c r="BJ97"/>
      <c r="BK97"/>
      <c r="BL97"/>
      <c r="BM97" t="s">
        <v>354</v>
      </c>
      <c r="BN97" t="s">
        <v>354</v>
      </c>
      <c r="BO97"/>
      <c r="BP97"/>
      <c r="BQ97"/>
      <c r="BR97">
        <v>3.7</v>
      </c>
      <c r="BS97">
        <v>6.5</v>
      </c>
      <c r="BT97">
        <v>5.3</v>
      </c>
      <c r="BU97">
        <v>6.7</v>
      </c>
      <c r="BV97">
        <v>8</v>
      </c>
      <c r="BW97">
        <v>0</v>
      </c>
      <c r="BX97">
        <v>7.3</v>
      </c>
      <c r="BY97">
        <v>4.9000000000000004</v>
      </c>
      <c r="BZ97">
        <v>5</v>
      </c>
      <c r="CA97">
        <v>6.1</v>
      </c>
      <c r="CB97">
        <v>8.5</v>
      </c>
      <c r="CC97">
        <v>7.7</v>
      </c>
      <c r="CD97">
        <v>0</v>
      </c>
      <c r="CE97">
        <v>7.8</v>
      </c>
      <c r="CF97">
        <v>0</v>
      </c>
      <c r="CG97">
        <v>0</v>
      </c>
      <c r="CH97">
        <v>0</v>
      </c>
      <c r="CI97">
        <v>0</v>
      </c>
      <c r="CJ97">
        <v>0</v>
      </c>
      <c r="CK97">
        <v>0</v>
      </c>
      <c r="CL97">
        <v>0</v>
      </c>
      <c r="CM97">
        <v>3.7</v>
      </c>
      <c r="CN97">
        <v>7.3</v>
      </c>
      <c r="CO97">
        <v>5.2</v>
      </c>
      <c r="CP97">
        <v>7.4</v>
      </c>
      <c r="CQ97">
        <v>7.4</v>
      </c>
      <c r="CR97">
        <v>0</v>
      </c>
      <c r="CS97">
        <v>8.4</v>
      </c>
      <c r="CT97">
        <v>5.7</v>
      </c>
      <c r="CU97">
        <v>4.5</v>
      </c>
      <c r="CV97">
        <v>6.5</v>
      </c>
      <c r="CW97">
        <v>7.2</v>
      </c>
      <c r="CX97">
        <v>6.7</v>
      </c>
      <c r="CY97">
        <v>0</v>
      </c>
      <c r="CZ97">
        <v>7.9</v>
      </c>
      <c r="DA97">
        <v>0</v>
      </c>
      <c r="DB97">
        <v>0</v>
      </c>
      <c r="DC97">
        <v>0</v>
      </c>
      <c r="DD97">
        <v>0</v>
      </c>
      <c r="DE97">
        <v>0</v>
      </c>
      <c r="DF97">
        <v>0</v>
      </c>
      <c r="DG97">
        <v>0</v>
      </c>
      <c r="DH97">
        <v>4.4000000000000004</v>
      </c>
      <c r="DI97">
        <v>6.8</v>
      </c>
      <c r="DJ97">
        <v>4.4000000000000004</v>
      </c>
      <c r="DK97">
        <v>7.3</v>
      </c>
      <c r="DL97">
        <v>8.6</v>
      </c>
      <c r="DM97">
        <v>0</v>
      </c>
      <c r="DN97">
        <v>7.2</v>
      </c>
      <c r="DO97">
        <v>5.6</v>
      </c>
      <c r="DP97">
        <v>5.2</v>
      </c>
      <c r="DQ97">
        <v>6.2</v>
      </c>
      <c r="DR97">
        <v>6.5</v>
      </c>
      <c r="DS97">
        <v>8.1</v>
      </c>
      <c r="DT97">
        <v>0</v>
      </c>
      <c r="DU97">
        <v>5.5</v>
      </c>
      <c r="DV97">
        <v>0</v>
      </c>
      <c r="DW97">
        <v>0</v>
      </c>
      <c r="DX97">
        <v>0</v>
      </c>
      <c r="DY97">
        <v>0</v>
      </c>
      <c r="DZ97">
        <v>0</v>
      </c>
      <c r="EA97">
        <v>0</v>
      </c>
      <c r="EB97">
        <v>0</v>
      </c>
      <c r="EC97"/>
      <c r="ED97"/>
      <c r="EE97"/>
      <c r="EF97"/>
      <c r="EG97"/>
      <c r="EH97"/>
      <c r="EI97"/>
      <c r="EJ97"/>
      <c r="EK97"/>
      <c r="EL97"/>
      <c r="EM97"/>
      <c r="EN97"/>
      <c r="EO97"/>
      <c r="EP97"/>
      <c r="EQ97"/>
      <c r="ER97"/>
      <c r="ES97"/>
      <c r="ET97"/>
      <c r="EU97"/>
      <c r="EV97"/>
      <c r="EW97"/>
      <c r="EX97"/>
      <c r="EY97"/>
      <c r="EZ97"/>
      <c r="FA97"/>
      <c r="FB97"/>
      <c r="FC97"/>
      <c r="FD97"/>
    </row>
    <row r="98" spans="1:160" x14ac:dyDescent="0.25">
      <c r="A98" s="1" t="str">
        <f t="shared" si="1"/>
        <v>091207004070</v>
      </c>
      <c r="B98" t="s">
        <v>1850</v>
      </c>
      <c r="C98" t="s">
        <v>1851</v>
      </c>
      <c r="D98" t="s">
        <v>1852</v>
      </c>
      <c r="E98" t="s">
        <v>280</v>
      </c>
      <c r="F98" t="s">
        <v>1853</v>
      </c>
      <c r="G98" t="s">
        <v>1854</v>
      </c>
      <c r="H98" t="s">
        <v>1855</v>
      </c>
      <c r="I98" t="s">
        <v>40</v>
      </c>
      <c r="J98" t="s">
        <v>1856</v>
      </c>
      <c r="K98" t="s">
        <v>321</v>
      </c>
      <c r="L98"/>
      <c r="M98" t="s">
        <v>287</v>
      </c>
      <c r="N98" t="s">
        <v>288</v>
      </c>
      <c r="O98"/>
      <c r="P98" t="s">
        <v>289</v>
      </c>
      <c r="Q98" t="s">
        <v>1857</v>
      </c>
      <c r="R98" t="s">
        <v>287</v>
      </c>
      <c r="S98" t="s">
        <v>287</v>
      </c>
      <c r="T98" t="s">
        <v>287</v>
      </c>
      <c r="U98"/>
      <c r="V98"/>
      <c r="W98" t="s">
        <v>294</v>
      </c>
      <c r="X98" t="s">
        <v>1858</v>
      </c>
      <c r="Y98" t="s">
        <v>1859</v>
      </c>
      <c r="Z98" t="s">
        <v>1860</v>
      </c>
      <c r="AA98" t="s">
        <v>287</v>
      </c>
      <c r="AB98"/>
      <c r="AC98"/>
      <c r="AD98"/>
      <c r="AE98"/>
      <c r="AF98" t="s">
        <v>401</v>
      </c>
      <c r="AG98" t="s">
        <v>1861</v>
      </c>
      <c r="AH98" t="s">
        <v>1862</v>
      </c>
      <c r="AI98" t="s">
        <v>401</v>
      </c>
      <c r="AJ98" t="s">
        <v>1861</v>
      </c>
      <c r="AK98" t="s">
        <v>1862</v>
      </c>
      <c r="AL98" t="s">
        <v>401</v>
      </c>
      <c r="AM98" t="s">
        <v>1861</v>
      </c>
      <c r="AN98" t="s">
        <v>1862</v>
      </c>
      <c r="AO98" t="s">
        <v>299</v>
      </c>
      <c r="AP98" t="s">
        <v>603</v>
      </c>
      <c r="AQ98" t="s">
        <v>424</v>
      </c>
      <c r="AR98" t="s">
        <v>1863</v>
      </c>
      <c r="AS98" t="s">
        <v>1205</v>
      </c>
      <c r="AT98" t="s">
        <v>424</v>
      </c>
      <c r="AU98" t="s">
        <v>305</v>
      </c>
      <c r="AV98"/>
      <c r="AW98" t="s">
        <v>308</v>
      </c>
      <c r="AX98" t="s">
        <v>309</v>
      </c>
      <c r="AY98"/>
      <c r="AZ98"/>
      <c r="BA98"/>
      <c r="BB98"/>
      <c r="BC98" t="s">
        <v>669</v>
      </c>
      <c r="BD98" t="s">
        <v>353</v>
      </c>
      <c r="BE98" t="s">
        <v>1864</v>
      </c>
      <c r="BF98" t="s">
        <v>314</v>
      </c>
      <c r="BG98"/>
      <c r="BH98"/>
      <c r="BI98"/>
      <c r="BJ98"/>
      <c r="BK98"/>
      <c r="BL98"/>
      <c r="BM98" t="s">
        <v>354</v>
      </c>
      <c r="BN98" t="s">
        <v>354</v>
      </c>
      <c r="BO98"/>
      <c r="BP98" t="s">
        <v>1865</v>
      </c>
      <c r="BQ98"/>
      <c r="BR98">
        <v>7.6</v>
      </c>
      <c r="BS98">
        <v>6.9</v>
      </c>
      <c r="BT98">
        <v>5.3</v>
      </c>
      <c r="BU98">
        <v>7.6</v>
      </c>
      <c r="BV98">
        <v>6.9</v>
      </c>
      <c r="BW98">
        <v>0</v>
      </c>
      <c r="BX98">
        <v>7.3</v>
      </c>
      <c r="BY98">
        <v>7.3</v>
      </c>
      <c r="BZ98">
        <v>0</v>
      </c>
      <c r="CA98">
        <v>0</v>
      </c>
      <c r="CB98">
        <v>0</v>
      </c>
      <c r="CC98">
        <v>7.7</v>
      </c>
      <c r="CD98">
        <v>0</v>
      </c>
      <c r="CE98">
        <v>0</v>
      </c>
      <c r="CF98">
        <v>0</v>
      </c>
      <c r="CG98">
        <v>0</v>
      </c>
      <c r="CH98">
        <v>0</v>
      </c>
      <c r="CI98">
        <v>0</v>
      </c>
      <c r="CJ98">
        <v>0</v>
      </c>
      <c r="CK98">
        <v>0</v>
      </c>
      <c r="CL98">
        <v>0</v>
      </c>
      <c r="CM98">
        <v>8.6</v>
      </c>
      <c r="CN98">
        <v>7.5</v>
      </c>
      <c r="CO98">
        <v>6.7</v>
      </c>
      <c r="CP98">
        <v>7.6</v>
      </c>
      <c r="CQ98">
        <v>8.5</v>
      </c>
      <c r="CR98">
        <v>0</v>
      </c>
      <c r="CS98">
        <v>8.1</v>
      </c>
      <c r="CT98">
        <v>8.3000000000000007</v>
      </c>
      <c r="CU98">
        <v>0</v>
      </c>
      <c r="CV98">
        <v>0</v>
      </c>
      <c r="CW98">
        <v>0</v>
      </c>
      <c r="CX98">
        <v>8.8000000000000007</v>
      </c>
      <c r="CY98">
        <v>0</v>
      </c>
      <c r="CZ98">
        <v>0</v>
      </c>
      <c r="DA98">
        <v>0</v>
      </c>
      <c r="DB98">
        <v>0</v>
      </c>
      <c r="DC98">
        <v>0</v>
      </c>
      <c r="DD98">
        <v>0</v>
      </c>
      <c r="DE98">
        <v>0</v>
      </c>
      <c r="DF98">
        <v>0</v>
      </c>
      <c r="DG98">
        <v>0</v>
      </c>
      <c r="DH98">
        <v>9.1999999999999993</v>
      </c>
      <c r="DI98">
        <v>8</v>
      </c>
      <c r="DJ98">
        <v>6.9</v>
      </c>
      <c r="DK98">
        <v>8.6999999999999993</v>
      </c>
      <c r="DL98">
        <v>8.5</v>
      </c>
      <c r="DM98">
        <v>0</v>
      </c>
      <c r="DN98">
        <v>8.1999999999999993</v>
      </c>
      <c r="DO98">
        <v>8.8000000000000007</v>
      </c>
      <c r="DP98">
        <v>0</v>
      </c>
      <c r="DQ98">
        <v>0</v>
      </c>
      <c r="DR98">
        <v>0</v>
      </c>
      <c r="DS98">
        <v>8.6</v>
      </c>
      <c r="DT98">
        <v>0</v>
      </c>
      <c r="DU98">
        <v>0</v>
      </c>
      <c r="DV98">
        <v>0</v>
      </c>
      <c r="DW98">
        <v>0</v>
      </c>
      <c r="DX98">
        <v>0</v>
      </c>
      <c r="DY98">
        <v>0</v>
      </c>
      <c r="DZ98">
        <v>0</v>
      </c>
      <c r="EA98">
        <v>0</v>
      </c>
      <c r="EB98">
        <v>0</v>
      </c>
      <c r="EC98"/>
      <c r="ED98"/>
      <c r="EE98"/>
      <c r="EF98"/>
      <c r="EG98"/>
      <c r="EH98"/>
      <c r="EI98"/>
      <c r="EJ98"/>
      <c r="EK98"/>
      <c r="EL98"/>
      <c r="EM98"/>
      <c r="EN98"/>
      <c r="EO98"/>
      <c r="EP98"/>
      <c r="EQ98"/>
      <c r="ER98"/>
      <c r="ES98"/>
      <c r="ET98"/>
      <c r="EU98"/>
      <c r="EV98"/>
      <c r="EW98"/>
      <c r="EX98"/>
      <c r="EY98"/>
      <c r="EZ98"/>
      <c r="FA98"/>
      <c r="FB98"/>
      <c r="FC98"/>
      <c r="FD98"/>
    </row>
    <row r="99" spans="1:160" x14ac:dyDescent="0.25">
      <c r="A99" s="1" t="str">
        <f t="shared" si="1"/>
        <v>087308013713</v>
      </c>
      <c r="B99" t="s">
        <v>1869</v>
      </c>
      <c r="C99" t="s">
        <v>1870</v>
      </c>
      <c r="D99" t="s">
        <v>1871</v>
      </c>
      <c r="E99" t="s">
        <v>278</v>
      </c>
      <c r="F99" t="s">
        <v>1872</v>
      </c>
      <c r="G99" t="s">
        <v>1873</v>
      </c>
      <c r="H99" t="s">
        <v>1874</v>
      </c>
      <c r="I99" t="s">
        <v>49</v>
      </c>
      <c r="J99" t="s">
        <v>1875</v>
      </c>
      <c r="K99" t="s">
        <v>321</v>
      </c>
      <c r="L99"/>
      <c r="M99" t="s">
        <v>287</v>
      </c>
      <c r="N99" t="s">
        <v>288</v>
      </c>
      <c r="O99"/>
      <c r="P99" t="s">
        <v>289</v>
      </c>
      <c r="Q99" t="s">
        <v>1876</v>
      </c>
      <c r="R99" t="s">
        <v>287</v>
      </c>
      <c r="S99" t="s">
        <v>287</v>
      </c>
      <c r="T99" t="s">
        <v>287</v>
      </c>
      <c r="U99"/>
      <c r="V99"/>
      <c r="W99"/>
      <c r="X99"/>
      <c r="Y99"/>
      <c r="Z99"/>
      <c r="AA99" t="s">
        <v>287</v>
      </c>
      <c r="AB99"/>
      <c r="AC99"/>
      <c r="AD99"/>
      <c r="AE99"/>
      <c r="AF99" t="s">
        <v>323</v>
      </c>
      <c r="AG99" t="s">
        <v>1877</v>
      </c>
      <c r="AH99" t="s">
        <v>1878</v>
      </c>
      <c r="AI99" t="s">
        <v>323</v>
      </c>
      <c r="AJ99" t="s">
        <v>1877</v>
      </c>
      <c r="AK99" t="s">
        <v>1878</v>
      </c>
      <c r="AL99" t="s">
        <v>323</v>
      </c>
      <c r="AM99" t="s">
        <v>1877</v>
      </c>
      <c r="AN99" t="s">
        <v>1878</v>
      </c>
      <c r="AO99" t="s">
        <v>299</v>
      </c>
      <c r="AP99" t="s">
        <v>348</v>
      </c>
      <c r="AQ99" t="s">
        <v>543</v>
      </c>
      <c r="AR99" t="s">
        <v>1535</v>
      </c>
      <c r="AS99" t="s">
        <v>369</v>
      </c>
      <c r="AT99" t="s">
        <v>1642</v>
      </c>
      <c r="AU99" t="s">
        <v>354</v>
      </c>
      <c r="AV99"/>
      <c r="AW99" t="s">
        <v>372</v>
      </c>
      <c r="AX99" t="s">
        <v>373</v>
      </c>
      <c r="AY99" t="s">
        <v>444</v>
      </c>
      <c r="AZ99" t="s">
        <v>445</v>
      </c>
      <c r="BA99" t="s">
        <v>310</v>
      </c>
      <c r="BB99" t="s">
        <v>311</v>
      </c>
      <c r="BC99" t="s">
        <v>312</v>
      </c>
      <c r="BD99" t="s">
        <v>353</v>
      </c>
      <c r="BE99" t="s">
        <v>407</v>
      </c>
      <c r="BF99" t="s">
        <v>314</v>
      </c>
      <c r="BG99"/>
      <c r="BH99"/>
      <c r="BI99"/>
      <c r="BJ99"/>
      <c r="BK99"/>
      <c r="BL99"/>
      <c r="BM99" t="s">
        <v>305</v>
      </c>
      <c r="BN99" t="s">
        <v>305</v>
      </c>
      <c r="BO99" t="s">
        <v>1879</v>
      </c>
      <c r="BP99"/>
      <c r="BQ99" t="s">
        <v>1880</v>
      </c>
      <c r="BR99">
        <v>7.4</v>
      </c>
      <c r="BS99">
        <v>7.3</v>
      </c>
      <c r="BT99">
        <v>8.5</v>
      </c>
      <c r="BU99">
        <v>7.5</v>
      </c>
      <c r="BV99">
        <v>8.3000000000000007</v>
      </c>
      <c r="BW99">
        <v>9</v>
      </c>
      <c r="BX99">
        <v>8.1999999999999993</v>
      </c>
      <c r="BY99">
        <v>0</v>
      </c>
      <c r="BZ99">
        <v>0</v>
      </c>
      <c r="CA99">
        <v>0</v>
      </c>
      <c r="CB99">
        <v>6.7</v>
      </c>
      <c r="CC99">
        <v>8.1999999999999993</v>
      </c>
      <c r="CD99">
        <v>0</v>
      </c>
      <c r="CE99">
        <v>0</v>
      </c>
      <c r="CF99">
        <v>0</v>
      </c>
      <c r="CG99">
        <v>0</v>
      </c>
      <c r="CH99">
        <v>0</v>
      </c>
      <c r="CI99">
        <v>0</v>
      </c>
      <c r="CJ99">
        <v>0</v>
      </c>
      <c r="CK99">
        <v>0</v>
      </c>
      <c r="CL99">
        <v>0</v>
      </c>
      <c r="CM99">
        <v>7.7</v>
      </c>
      <c r="CN99">
        <v>7.7</v>
      </c>
      <c r="CO99">
        <v>8.6</v>
      </c>
      <c r="CP99">
        <v>8.6</v>
      </c>
      <c r="CQ99">
        <v>9.3000000000000007</v>
      </c>
      <c r="CR99">
        <v>9.1999999999999993</v>
      </c>
      <c r="CS99">
        <v>9.3000000000000007</v>
      </c>
      <c r="CT99">
        <v>0</v>
      </c>
      <c r="CU99">
        <v>0</v>
      </c>
      <c r="CV99">
        <v>0</v>
      </c>
      <c r="CW99">
        <v>9.1999999999999993</v>
      </c>
      <c r="CX99">
        <v>8.6999999999999993</v>
      </c>
      <c r="CY99">
        <v>0</v>
      </c>
      <c r="CZ99">
        <v>0</v>
      </c>
      <c r="DA99">
        <v>0</v>
      </c>
      <c r="DB99">
        <v>0</v>
      </c>
      <c r="DC99">
        <v>0</v>
      </c>
      <c r="DD99">
        <v>0</v>
      </c>
      <c r="DE99">
        <v>0</v>
      </c>
      <c r="DF99">
        <v>0</v>
      </c>
      <c r="DG99">
        <v>0</v>
      </c>
      <c r="DH99">
        <v>7.7</v>
      </c>
      <c r="DI99">
        <v>8</v>
      </c>
      <c r="DJ99">
        <v>8.6</v>
      </c>
      <c r="DK99">
        <v>8.1</v>
      </c>
      <c r="DL99">
        <v>8.6999999999999993</v>
      </c>
      <c r="DM99">
        <v>9.1</v>
      </c>
      <c r="DN99">
        <v>8.9</v>
      </c>
      <c r="DO99">
        <v>0</v>
      </c>
      <c r="DP99">
        <v>0</v>
      </c>
      <c r="DQ99">
        <v>0</v>
      </c>
      <c r="DR99">
        <v>8.5</v>
      </c>
      <c r="DS99">
        <v>9.1</v>
      </c>
      <c r="DT99">
        <v>0</v>
      </c>
      <c r="DU99">
        <v>0</v>
      </c>
      <c r="DV99">
        <v>0</v>
      </c>
      <c r="DW99">
        <v>0</v>
      </c>
      <c r="DX99">
        <v>0</v>
      </c>
      <c r="DY99">
        <v>0</v>
      </c>
      <c r="DZ99">
        <v>0</v>
      </c>
      <c r="EA99">
        <v>0</v>
      </c>
      <c r="EB99">
        <v>0</v>
      </c>
      <c r="EC99">
        <v>6.25</v>
      </c>
      <c r="ED99">
        <v>6.75</v>
      </c>
      <c r="EE99">
        <v>4.25</v>
      </c>
      <c r="EF99"/>
      <c r="EG99"/>
      <c r="EH99"/>
      <c r="EI99">
        <v>6.5</v>
      </c>
      <c r="EJ99"/>
      <c r="EK99"/>
      <c r="EL99"/>
      <c r="EM99"/>
      <c r="EN99"/>
      <c r="EO99"/>
      <c r="EP99"/>
      <c r="EQ99"/>
      <c r="ER99"/>
      <c r="ES99"/>
      <c r="ET99"/>
      <c r="EU99"/>
      <c r="EV99"/>
      <c r="EW99">
        <v>87.5</v>
      </c>
      <c r="EX99">
        <v>96.5</v>
      </c>
      <c r="EY99">
        <v>70</v>
      </c>
      <c r="EZ99"/>
      <c r="FA99"/>
      <c r="FB99"/>
      <c r="FC99"/>
      <c r="FD99"/>
    </row>
    <row r="100" spans="1:160" x14ac:dyDescent="0.25">
      <c r="A100" s="1" t="str">
        <f t="shared" si="1"/>
        <v>074208007069</v>
      </c>
      <c r="B100" t="s">
        <v>1881</v>
      </c>
      <c r="C100" t="s">
        <v>1882</v>
      </c>
      <c r="D100" t="s">
        <v>1883</v>
      </c>
      <c r="E100" t="s">
        <v>280</v>
      </c>
      <c r="F100" t="s">
        <v>1621</v>
      </c>
      <c r="G100" t="s">
        <v>1884</v>
      </c>
      <c r="H100" t="s">
        <v>1885</v>
      </c>
      <c r="I100" t="s">
        <v>1886</v>
      </c>
      <c r="J100" t="s">
        <v>1887</v>
      </c>
      <c r="K100" t="s">
        <v>321</v>
      </c>
      <c r="L100"/>
      <c r="M100" t="s">
        <v>287</v>
      </c>
      <c r="N100" t="s">
        <v>288</v>
      </c>
      <c r="O100"/>
      <c r="P100" t="s">
        <v>289</v>
      </c>
      <c r="Q100" t="s">
        <v>1888</v>
      </c>
      <c r="R100" t="s">
        <v>287</v>
      </c>
      <c r="S100" t="s">
        <v>287</v>
      </c>
      <c r="T100" t="s">
        <v>287</v>
      </c>
      <c r="U100"/>
      <c r="V100"/>
      <c r="W100" t="s">
        <v>294</v>
      </c>
      <c r="X100" t="s">
        <v>1889</v>
      </c>
      <c r="Y100" t="s">
        <v>1890</v>
      </c>
      <c r="Z100" t="s">
        <v>1891</v>
      </c>
      <c r="AA100" t="s">
        <v>287</v>
      </c>
      <c r="AB100"/>
      <c r="AC100"/>
      <c r="AD100"/>
      <c r="AE100"/>
      <c r="AF100" t="s">
        <v>706</v>
      </c>
      <c r="AG100" t="s">
        <v>1892</v>
      </c>
      <c r="AH100" t="s">
        <v>1893</v>
      </c>
      <c r="AI100" t="s">
        <v>706</v>
      </c>
      <c r="AJ100" t="s">
        <v>1892</v>
      </c>
      <c r="AK100" t="s">
        <v>1893</v>
      </c>
      <c r="AL100" t="s">
        <v>706</v>
      </c>
      <c r="AM100" t="s">
        <v>1892</v>
      </c>
      <c r="AN100" t="s">
        <v>1893</v>
      </c>
      <c r="AO100" t="s">
        <v>299</v>
      </c>
      <c r="AP100" t="s">
        <v>388</v>
      </c>
      <c r="AQ100" t="s">
        <v>1234</v>
      </c>
      <c r="AR100" t="s">
        <v>1628</v>
      </c>
      <c r="AS100" t="s">
        <v>1894</v>
      </c>
      <c r="AT100" t="s">
        <v>1693</v>
      </c>
      <c r="AU100" t="s">
        <v>305</v>
      </c>
      <c r="AV100"/>
      <c r="AW100" t="s">
        <v>330</v>
      </c>
      <c r="AX100" t="s">
        <v>331</v>
      </c>
      <c r="AY100"/>
      <c r="AZ100"/>
      <c r="BA100"/>
      <c r="BB100"/>
      <c r="BC100" t="s">
        <v>669</v>
      </c>
      <c r="BD100" t="s">
        <v>1339</v>
      </c>
      <c r="BE100" t="s">
        <v>1895</v>
      </c>
      <c r="BF100" t="s">
        <v>314</v>
      </c>
      <c r="BG100"/>
      <c r="BH100"/>
      <c r="BI100"/>
      <c r="BJ100"/>
      <c r="BK100"/>
      <c r="BL100"/>
      <c r="BM100" t="s">
        <v>305</v>
      </c>
      <c r="BN100" t="s">
        <v>354</v>
      </c>
      <c r="BO100" t="s">
        <v>1896</v>
      </c>
      <c r="BP100" t="s">
        <v>1897</v>
      </c>
      <c r="BQ100"/>
      <c r="BR100">
        <v>7.4</v>
      </c>
      <c r="BS100">
        <v>7.4</v>
      </c>
      <c r="BT100">
        <v>7.2</v>
      </c>
      <c r="BU100">
        <v>8.8000000000000007</v>
      </c>
      <c r="BV100">
        <v>8.1</v>
      </c>
      <c r="BW100">
        <v>0</v>
      </c>
      <c r="BX100">
        <v>0</v>
      </c>
      <c r="BY100">
        <v>7.1</v>
      </c>
      <c r="BZ100">
        <v>7</v>
      </c>
      <c r="CA100">
        <v>6.2</v>
      </c>
      <c r="CB100">
        <v>0</v>
      </c>
      <c r="CC100">
        <v>8.4</v>
      </c>
      <c r="CD100">
        <v>0</v>
      </c>
      <c r="CE100">
        <v>0</v>
      </c>
      <c r="CF100">
        <v>0</v>
      </c>
      <c r="CG100">
        <v>0</v>
      </c>
      <c r="CH100">
        <v>0</v>
      </c>
      <c r="CI100">
        <v>0</v>
      </c>
      <c r="CJ100">
        <v>0</v>
      </c>
      <c r="CK100">
        <v>0</v>
      </c>
      <c r="CL100">
        <v>0</v>
      </c>
      <c r="CM100">
        <v>7.4</v>
      </c>
      <c r="CN100">
        <v>7</v>
      </c>
      <c r="CO100">
        <v>6.9</v>
      </c>
      <c r="CP100">
        <v>9.5</v>
      </c>
      <c r="CQ100">
        <v>6.6</v>
      </c>
      <c r="CR100">
        <v>0</v>
      </c>
      <c r="CS100">
        <v>0</v>
      </c>
      <c r="CT100">
        <v>6.6</v>
      </c>
      <c r="CU100">
        <v>6</v>
      </c>
      <c r="CV100">
        <v>5.6</v>
      </c>
      <c r="CW100">
        <v>0</v>
      </c>
      <c r="CX100">
        <v>7.2</v>
      </c>
      <c r="CY100">
        <v>0</v>
      </c>
      <c r="CZ100">
        <v>0</v>
      </c>
      <c r="DA100">
        <v>0</v>
      </c>
      <c r="DB100">
        <v>0</v>
      </c>
      <c r="DC100">
        <v>0</v>
      </c>
      <c r="DD100">
        <v>0</v>
      </c>
      <c r="DE100">
        <v>0</v>
      </c>
      <c r="DF100">
        <v>0</v>
      </c>
      <c r="DG100">
        <v>0</v>
      </c>
      <c r="DH100">
        <v>6.4</v>
      </c>
      <c r="DI100">
        <v>6.9</v>
      </c>
      <c r="DJ100">
        <v>6.9</v>
      </c>
      <c r="DK100">
        <v>9.1999999999999993</v>
      </c>
      <c r="DL100">
        <v>7</v>
      </c>
      <c r="DM100">
        <v>0</v>
      </c>
      <c r="DN100">
        <v>0</v>
      </c>
      <c r="DO100">
        <v>8</v>
      </c>
      <c r="DP100">
        <v>6.8</v>
      </c>
      <c r="DQ100">
        <v>6</v>
      </c>
      <c r="DR100">
        <v>0</v>
      </c>
      <c r="DS100">
        <v>7</v>
      </c>
      <c r="DT100">
        <v>0</v>
      </c>
      <c r="DU100">
        <v>0</v>
      </c>
      <c r="DV100">
        <v>0</v>
      </c>
      <c r="DW100">
        <v>0</v>
      </c>
      <c r="DX100">
        <v>0</v>
      </c>
      <c r="DY100">
        <v>0</v>
      </c>
      <c r="DZ100">
        <v>0</v>
      </c>
      <c r="EA100">
        <v>0</v>
      </c>
      <c r="EB100">
        <v>0</v>
      </c>
      <c r="EC100">
        <v>7</v>
      </c>
      <c r="ED100">
        <v>7</v>
      </c>
      <c r="EE100">
        <v>3.75</v>
      </c>
      <c r="EF100"/>
      <c r="EG100"/>
      <c r="EH100"/>
      <c r="EI100"/>
      <c r="EJ100">
        <v>5.25</v>
      </c>
      <c r="EK100"/>
      <c r="EL100"/>
      <c r="EM100"/>
      <c r="EN100"/>
      <c r="EO100"/>
      <c r="EP100"/>
      <c r="EQ100"/>
      <c r="ER100"/>
      <c r="ES100"/>
      <c r="ET100"/>
      <c r="EU100"/>
      <c r="EV100"/>
      <c r="EW100"/>
      <c r="EX100"/>
      <c r="EY100"/>
      <c r="EZ100"/>
      <c r="FA100"/>
      <c r="FB100"/>
      <c r="FC100"/>
      <c r="FD100"/>
    </row>
    <row r="101" spans="1:160" x14ac:dyDescent="0.25">
      <c r="A101" s="1" t="str">
        <f t="shared" si="1"/>
        <v>072308004648</v>
      </c>
      <c r="B101" t="s">
        <v>1898</v>
      </c>
      <c r="C101" t="s">
        <v>1899</v>
      </c>
      <c r="D101" t="s">
        <v>1900</v>
      </c>
      <c r="E101" t="s">
        <v>278</v>
      </c>
      <c r="F101" t="s">
        <v>334</v>
      </c>
      <c r="G101" t="s">
        <v>1901</v>
      </c>
      <c r="H101" t="s">
        <v>1902</v>
      </c>
      <c r="I101" t="s">
        <v>1903</v>
      </c>
      <c r="J101" t="s">
        <v>1904</v>
      </c>
      <c r="K101" t="s">
        <v>321</v>
      </c>
      <c r="L101"/>
      <c r="M101" t="s">
        <v>287</v>
      </c>
      <c r="N101" t="s">
        <v>288</v>
      </c>
      <c r="O101"/>
      <c r="P101" t="s">
        <v>289</v>
      </c>
      <c r="Q101" t="s">
        <v>1905</v>
      </c>
      <c r="R101" t="s">
        <v>287</v>
      </c>
      <c r="S101" t="s">
        <v>287</v>
      </c>
      <c r="T101" t="s">
        <v>287</v>
      </c>
      <c r="U101"/>
      <c r="V101"/>
      <c r="W101"/>
      <c r="X101"/>
      <c r="Y101"/>
      <c r="Z101"/>
      <c r="AA101" t="s">
        <v>287</v>
      </c>
      <c r="AB101"/>
      <c r="AC101"/>
      <c r="AD101"/>
      <c r="AE101"/>
      <c r="AF101" t="s">
        <v>856</v>
      </c>
      <c r="AG101" t="s">
        <v>1906</v>
      </c>
      <c r="AH101" t="s">
        <v>1907</v>
      </c>
      <c r="AI101" t="s">
        <v>856</v>
      </c>
      <c r="AJ101" t="s">
        <v>1906</v>
      </c>
      <c r="AK101" t="s">
        <v>1907</v>
      </c>
      <c r="AL101" t="s">
        <v>856</v>
      </c>
      <c r="AM101" t="s">
        <v>1906</v>
      </c>
      <c r="AN101" t="s">
        <v>1907</v>
      </c>
      <c r="AO101" t="s">
        <v>299</v>
      </c>
      <c r="AP101" t="s">
        <v>388</v>
      </c>
      <c r="AQ101" t="s">
        <v>1149</v>
      </c>
      <c r="AR101" t="s">
        <v>391</v>
      </c>
      <c r="AS101" t="s">
        <v>1908</v>
      </c>
      <c r="AT101" t="s">
        <v>1148</v>
      </c>
      <c r="AU101" t="s">
        <v>354</v>
      </c>
      <c r="AV101"/>
      <c r="AW101" t="s">
        <v>332</v>
      </c>
      <c r="AX101" t="s">
        <v>333</v>
      </c>
      <c r="AY101" t="s">
        <v>444</v>
      </c>
      <c r="AZ101" t="s">
        <v>445</v>
      </c>
      <c r="BA101" t="s">
        <v>545</v>
      </c>
      <c r="BB101" t="s">
        <v>546</v>
      </c>
      <c r="BC101" t="s">
        <v>669</v>
      </c>
      <c r="BD101" t="s">
        <v>353</v>
      </c>
      <c r="BE101"/>
      <c r="BF101" t="s">
        <v>314</v>
      </c>
      <c r="BG101"/>
      <c r="BH101"/>
      <c r="BI101"/>
      <c r="BJ101"/>
      <c r="BK101"/>
      <c r="BL101"/>
      <c r="BM101" t="s">
        <v>305</v>
      </c>
      <c r="BN101" t="s">
        <v>354</v>
      </c>
      <c r="BO101" t="s">
        <v>1909</v>
      </c>
      <c r="BP101"/>
      <c r="BQ101"/>
      <c r="BR101">
        <v>5.9</v>
      </c>
      <c r="BS101">
        <v>6.1</v>
      </c>
      <c r="BT101">
        <v>5.3</v>
      </c>
      <c r="BU101">
        <v>8.1999999999999993</v>
      </c>
      <c r="BV101">
        <v>6.9</v>
      </c>
      <c r="BW101">
        <v>6.8</v>
      </c>
      <c r="BX101">
        <v>7.3</v>
      </c>
      <c r="BY101">
        <v>0</v>
      </c>
      <c r="BZ101">
        <v>6.6</v>
      </c>
      <c r="CA101">
        <v>0</v>
      </c>
      <c r="CB101">
        <v>0</v>
      </c>
      <c r="CC101">
        <v>8.1</v>
      </c>
      <c r="CD101">
        <v>0</v>
      </c>
      <c r="CE101">
        <v>0</v>
      </c>
      <c r="CF101">
        <v>0</v>
      </c>
      <c r="CG101">
        <v>0</v>
      </c>
      <c r="CH101">
        <v>0</v>
      </c>
      <c r="CI101">
        <v>0</v>
      </c>
      <c r="CJ101">
        <v>0</v>
      </c>
      <c r="CK101">
        <v>0</v>
      </c>
      <c r="CL101">
        <v>0</v>
      </c>
      <c r="CM101">
        <v>6.9</v>
      </c>
      <c r="CN101">
        <v>6</v>
      </c>
      <c r="CO101">
        <v>5.4</v>
      </c>
      <c r="CP101">
        <v>8.6999999999999993</v>
      </c>
      <c r="CQ101">
        <v>6.3</v>
      </c>
      <c r="CR101">
        <v>8</v>
      </c>
      <c r="CS101">
        <v>6.9</v>
      </c>
      <c r="CT101">
        <v>0</v>
      </c>
      <c r="CU101">
        <v>6.5</v>
      </c>
      <c r="CV101">
        <v>0</v>
      </c>
      <c r="CW101">
        <v>0</v>
      </c>
      <c r="CX101">
        <v>7.2</v>
      </c>
      <c r="CY101">
        <v>0</v>
      </c>
      <c r="CZ101">
        <v>0</v>
      </c>
      <c r="DA101">
        <v>0</v>
      </c>
      <c r="DB101">
        <v>0</v>
      </c>
      <c r="DC101">
        <v>0</v>
      </c>
      <c r="DD101">
        <v>0</v>
      </c>
      <c r="DE101">
        <v>0</v>
      </c>
      <c r="DF101">
        <v>0</v>
      </c>
      <c r="DG101">
        <v>0</v>
      </c>
      <c r="DH101">
        <v>7.1</v>
      </c>
      <c r="DI101">
        <v>6.1</v>
      </c>
      <c r="DJ101">
        <v>7.3</v>
      </c>
      <c r="DK101">
        <v>9.9</v>
      </c>
      <c r="DL101">
        <v>6.1</v>
      </c>
      <c r="DM101">
        <v>7.9</v>
      </c>
      <c r="DN101">
        <v>7.2</v>
      </c>
      <c r="DO101">
        <v>0</v>
      </c>
      <c r="DP101">
        <v>8.4</v>
      </c>
      <c r="DQ101">
        <v>0</v>
      </c>
      <c r="DR101">
        <v>0</v>
      </c>
      <c r="DS101">
        <v>8.9</v>
      </c>
      <c r="DT101">
        <v>0</v>
      </c>
      <c r="DU101">
        <v>0</v>
      </c>
      <c r="DV101">
        <v>0</v>
      </c>
      <c r="DW101">
        <v>0</v>
      </c>
      <c r="DX101">
        <v>0</v>
      </c>
      <c r="DY101">
        <v>0</v>
      </c>
      <c r="DZ101">
        <v>0</v>
      </c>
      <c r="EA101">
        <v>0</v>
      </c>
      <c r="EB101">
        <v>0</v>
      </c>
      <c r="EC101">
        <v>5</v>
      </c>
      <c r="ED101">
        <v>5.75</v>
      </c>
      <c r="EE101"/>
      <c r="EF101"/>
      <c r="EG101"/>
      <c r="EH101">
        <v>4.25</v>
      </c>
      <c r="EI101">
        <v>3.95</v>
      </c>
      <c r="EJ101"/>
      <c r="EK101"/>
      <c r="EL101"/>
      <c r="EM101"/>
      <c r="EN101"/>
      <c r="EO101"/>
      <c r="EP101"/>
      <c r="EQ101"/>
      <c r="ER101"/>
      <c r="ES101"/>
      <c r="ET101"/>
      <c r="EU101"/>
      <c r="EV101"/>
      <c r="EW101"/>
      <c r="EX101"/>
      <c r="EY101"/>
      <c r="EZ101"/>
      <c r="FA101"/>
      <c r="FB101"/>
      <c r="FC101"/>
      <c r="FD101"/>
    </row>
    <row r="102" spans="1:160" x14ac:dyDescent="0.25">
      <c r="A102" s="1" t="str">
        <f t="shared" si="1"/>
        <v>089308000129</v>
      </c>
      <c r="B102" t="s">
        <v>1910</v>
      </c>
      <c r="C102" t="s">
        <v>1911</v>
      </c>
      <c r="D102" t="s">
        <v>1912</v>
      </c>
      <c r="E102" t="s">
        <v>278</v>
      </c>
      <c r="F102" t="s">
        <v>1913</v>
      </c>
      <c r="G102" t="s">
        <v>1914</v>
      </c>
      <c r="H102" t="s">
        <v>1915</v>
      </c>
      <c r="I102" t="s">
        <v>47</v>
      </c>
      <c r="J102" t="s">
        <v>1916</v>
      </c>
      <c r="K102" t="s">
        <v>516</v>
      </c>
      <c r="L102"/>
      <c r="M102" t="s">
        <v>287</v>
      </c>
      <c r="N102" t="s">
        <v>288</v>
      </c>
      <c r="O102"/>
      <c r="P102" t="s">
        <v>289</v>
      </c>
      <c r="Q102" t="s">
        <v>1917</v>
      </c>
      <c r="R102" t="s">
        <v>287</v>
      </c>
      <c r="S102" t="s">
        <v>287</v>
      </c>
      <c r="T102" t="s">
        <v>287</v>
      </c>
      <c r="U102" t="s">
        <v>1918</v>
      </c>
      <c r="V102" t="s">
        <v>1919</v>
      </c>
      <c r="W102" t="s">
        <v>1920</v>
      </c>
      <c r="X102" t="s">
        <v>1921</v>
      </c>
      <c r="Y102" t="s">
        <v>1922</v>
      </c>
      <c r="Z102" t="s">
        <v>1923</v>
      </c>
      <c r="AA102" t="s">
        <v>596</v>
      </c>
      <c r="AB102" t="s">
        <v>1924</v>
      </c>
      <c r="AC102" t="s">
        <v>429</v>
      </c>
      <c r="AD102" t="s">
        <v>1925</v>
      </c>
      <c r="AE102" t="s">
        <v>1926</v>
      </c>
      <c r="AF102" t="s">
        <v>401</v>
      </c>
      <c r="AG102" t="s">
        <v>1699</v>
      </c>
      <c r="AH102" t="s">
        <v>1739</v>
      </c>
      <c r="AI102" t="s">
        <v>401</v>
      </c>
      <c r="AJ102" t="s">
        <v>1699</v>
      </c>
      <c r="AK102" t="s">
        <v>1739</v>
      </c>
      <c r="AL102" t="s">
        <v>401</v>
      </c>
      <c r="AM102" t="s">
        <v>1699</v>
      </c>
      <c r="AN102" t="s">
        <v>1739</v>
      </c>
      <c r="AO102" t="s">
        <v>299</v>
      </c>
      <c r="AP102" t="s">
        <v>348</v>
      </c>
      <c r="AQ102" t="s">
        <v>1927</v>
      </c>
      <c r="AR102" t="s">
        <v>1204</v>
      </c>
      <c r="AS102" t="s">
        <v>1561</v>
      </c>
      <c r="AT102" t="s">
        <v>1928</v>
      </c>
      <c r="AU102" t="s">
        <v>305</v>
      </c>
      <c r="AV102"/>
      <c r="AW102" t="s">
        <v>332</v>
      </c>
      <c r="AX102" t="s">
        <v>333</v>
      </c>
      <c r="AY102" t="s">
        <v>306</v>
      </c>
      <c r="AZ102" t="s">
        <v>307</v>
      </c>
      <c r="BA102" t="s">
        <v>608</v>
      </c>
      <c r="BB102" t="s">
        <v>609</v>
      </c>
      <c r="BC102" t="s">
        <v>312</v>
      </c>
      <c r="BD102" t="s">
        <v>353</v>
      </c>
      <c r="BE102" t="s">
        <v>1929</v>
      </c>
      <c r="BF102" t="s">
        <v>314</v>
      </c>
      <c r="BG102"/>
      <c r="BH102"/>
      <c r="BI102"/>
      <c r="BJ102"/>
      <c r="BK102"/>
      <c r="BL102"/>
      <c r="BM102" t="s">
        <v>305</v>
      </c>
      <c r="BN102" t="s">
        <v>354</v>
      </c>
      <c r="BO102" t="s">
        <v>1930</v>
      </c>
      <c r="BP102" t="s">
        <v>1931</v>
      </c>
      <c r="BQ102"/>
      <c r="BR102">
        <v>6.5</v>
      </c>
      <c r="BS102">
        <v>7.6</v>
      </c>
      <c r="BT102">
        <v>9.1999999999999993</v>
      </c>
      <c r="BU102">
        <v>9</v>
      </c>
      <c r="BV102">
        <v>8.8000000000000007</v>
      </c>
      <c r="BW102">
        <v>0</v>
      </c>
      <c r="BX102">
        <v>0</v>
      </c>
      <c r="BY102">
        <v>7.9</v>
      </c>
      <c r="BZ102">
        <v>6.4</v>
      </c>
      <c r="CA102">
        <v>7.7</v>
      </c>
      <c r="CB102">
        <v>8.9</v>
      </c>
      <c r="CC102">
        <v>0</v>
      </c>
      <c r="CD102">
        <v>0</v>
      </c>
      <c r="CE102">
        <v>0</v>
      </c>
      <c r="CF102">
        <v>0</v>
      </c>
      <c r="CG102">
        <v>0</v>
      </c>
      <c r="CH102">
        <v>0</v>
      </c>
      <c r="CI102">
        <v>0</v>
      </c>
      <c r="CJ102">
        <v>0</v>
      </c>
      <c r="CK102">
        <v>0</v>
      </c>
      <c r="CL102">
        <v>0</v>
      </c>
      <c r="CM102">
        <v>6.4</v>
      </c>
      <c r="CN102">
        <v>8.1</v>
      </c>
      <c r="CO102">
        <v>9.1999999999999993</v>
      </c>
      <c r="CP102">
        <v>9.1999999999999993</v>
      </c>
      <c r="CQ102">
        <v>8.6999999999999993</v>
      </c>
      <c r="CR102">
        <v>0</v>
      </c>
      <c r="CS102">
        <v>0</v>
      </c>
      <c r="CT102">
        <v>7.8</v>
      </c>
      <c r="CU102">
        <v>7</v>
      </c>
      <c r="CV102">
        <v>8.5</v>
      </c>
      <c r="CW102">
        <v>8.1999999999999993</v>
      </c>
      <c r="CX102">
        <v>0</v>
      </c>
      <c r="CY102">
        <v>0</v>
      </c>
      <c r="CZ102">
        <v>0</v>
      </c>
      <c r="DA102">
        <v>0</v>
      </c>
      <c r="DB102">
        <v>0</v>
      </c>
      <c r="DC102">
        <v>0</v>
      </c>
      <c r="DD102">
        <v>0</v>
      </c>
      <c r="DE102">
        <v>0</v>
      </c>
      <c r="DF102">
        <v>0</v>
      </c>
      <c r="DG102">
        <v>0</v>
      </c>
      <c r="DH102">
        <v>7.3</v>
      </c>
      <c r="DI102">
        <v>8.1999999999999993</v>
      </c>
      <c r="DJ102">
        <v>8.4</v>
      </c>
      <c r="DK102">
        <v>9.9</v>
      </c>
      <c r="DL102">
        <v>8.1</v>
      </c>
      <c r="DM102">
        <v>0</v>
      </c>
      <c r="DN102">
        <v>0</v>
      </c>
      <c r="DO102">
        <v>8.1999999999999993</v>
      </c>
      <c r="DP102">
        <v>8.6999999999999993</v>
      </c>
      <c r="DQ102">
        <v>7.4</v>
      </c>
      <c r="DR102">
        <v>7.6</v>
      </c>
      <c r="DS102">
        <v>0</v>
      </c>
      <c r="DT102">
        <v>0</v>
      </c>
      <c r="DU102">
        <v>0</v>
      </c>
      <c r="DV102">
        <v>0</v>
      </c>
      <c r="DW102">
        <v>0</v>
      </c>
      <c r="DX102">
        <v>0</v>
      </c>
      <c r="DY102">
        <v>0</v>
      </c>
      <c r="DZ102">
        <v>0</v>
      </c>
      <c r="EA102">
        <v>0</v>
      </c>
      <c r="EB102">
        <v>0</v>
      </c>
      <c r="EC102">
        <v>6.5</v>
      </c>
      <c r="ED102">
        <v>7.25</v>
      </c>
      <c r="EE102">
        <v>6.75</v>
      </c>
      <c r="EF102"/>
      <c r="EG102"/>
      <c r="EH102"/>
      <c r="EI102"/>
      <c r="EJ102">
        <v>5</v>
      </c>
      <c r="EK102"/>
      <c r="EL102"/>
      <c r="EM102"/>
      <c r="EN102"/>
      <c r="EO102"/>
      <c r="EP102"/>
      <c r="EQ102"/>
      <c r="ER102"/>
      <c r="ES102"/>
      <c r="ET102"/>
      <c r="EU102"/>
      <c r="EV102"/>
      <c r="EW102"/>
      <c r="EX102"/>
      <c r="EY102"/>
      <c r="EZ102"/>
      <c r="FA102"/>
      <c r="FB102"/>
      <c r="FC102"/>
      <c r="FD102"/>
    </row>
    <row r="103" spans="1:160" x14ac:dyDescent="0.25">
      <c r="A103" s="1" t="str">
        <f t="shared" si="1"/>
        <v>094208006813</v>
      </c>
      <c r="B103" t="s">
        <v>1932</v>
      </c>
      <c r="C103" t="s">
        <v>1933</v>
      </c>
      <c r="D103" t="s">
        <v>1934</v>
      </c>
      <c r="E103" t="s">
        <v>280</v>
      </c>
      <c r="F103" t="s">
        <v>452</v>
      </c>
      <c r="G103" t="s">
        <v>1935</v>
      </c>
      <c r="H103" t="s">
        <v>1936</v>
      </c>
      <c r="I103" t="s">
        <v>1937</v>
      </c>
      <c r="J103" t="s">
        <v>1938</v>
      </c>
      <c r="K103" t="s">
        <v>321</v>
      </c>
      <c r="L103"/>
      <c r="M103" t="s">
        <v>287</v>
      </c>
      <c r="N103" t="s">
        <v>288</v>
      </c>
      <c r="O103"/>
      <c r="P103" t="s">
        <v>289</v>
      </c>
      <c r="Q103" t="s">
        <v>1939</v>
      </c>
      <c r="R103" t="s">
        <v>287</v>
      </c>
      <c r="S103" t="s">
        <v>287</v>
      </c>
      <c r="T103" t="s">
        <v>287</v>
      </c>
      <c r="U103"/>
      <c r="V103"/>
      <c r="W103"/>
      <c r="X103"/>
      <c r="Y103"/>
      <c r="Z103"/>
      <c r="AA103" t="s">
        <v>287</v>
      </c>
      <c r="AB103"/>
      <c r="AC103"/>
      <c r="AD103"/>
      <c r="AE103"/>
      <c r="AF103" t="s">
        <v>383</v>
      </c>
      <c r="AG103" t="s">
        <v>1940</v>
      </c>
      <c r="AH103" t="s">
        <v>1941</v>
      </c>
      <c r="AI103" t="s">
        <v>383</v>
      </c>
      <c r="AJ103" t="s">
        <v>1940</v>
      </c>
      <c r="AK103" t="s">
        <v>1941</v>
      </c>
      <c r="AL103" t="s">
        <v>383</v>
      </c>
      <c r="AM103" t="s">
        <v>1942</v>
      </c>
      <c r="AN103" t="s">
        <v>1943</v>
      </c>
      <c r="AO103" t="s">
        <v>299</v>
      </c>
      <c r="AP103" t="s">
        <v>348</v>
      </c>
      <c r="AQ103" t="s">
        <v>1725</v>
      </c>
      <c r="AR103" t="s">
        <v>1458</v>
      </c>
      <c r="AS103" t="s">
        <v>691</v>
      </c>
      <c r="AT103" t="s">
        <v>893</v>
      </c>
      <c r="AU103" t="s">
        <v>354</v>
      </c>
      <c r="AV103"/>
      <c r="AW103" t="s">
        <v>526</v>
      </c>
      <c r="AX103" t="s">
        <v>527</v>
      </c>
      <c r="AY103" t="s">
        <v>351</v>
      </c>
      <c r="AZ103" t="s">
        <v>352</v>
      </c>
      <c r="BA103"/>
      <c r="BB103"/>
      <c r="BC103" t="s">
        <v>312</v>
      </c>
      <c r="BD103" t="s">
        <v>353</v>
      </c>
      <c r="BE103"/>
      <c r="BF103" t="s">
        <v>314</v>
      </c>
      <c r="BG103"/>
      <c r="BH103"/>
      <c r="BI103"/>
      <c r="BJ103"/>
      <c r="BK103"/>
      <c r="BL103"/>
      <c r="BM103" t="s">
        <v>305</v>
      </c>
      <c r="BN103" t="s">
        <v>354</v>
      </c>
      <c r="BO103" t="s">
        <v>1944</v>
      </c>
      <c r="BP103"/>
      <c r="BQ103"/>
      <c r="BR103">
        <v>7.7</v>
      </c>
      <c r="BS103">
        <v>7</v>
      </c>
      <c r="BT103">
        <v>5</v>
      </c>
      <c r="BU103">
        <v>9.1999999999999993</v>
      </c>
      <c r="BV103">
        <v>8.6</v>
      </c>
      <c r="BW103">
        <v>0</v>
      </c>
      <c r="BX103">
        <v>0</v>
      </c>
      <c r="BY103">
        <v>5.6</v>
      </c>
      <c r="BZ103">
        <v>7.3</v>
      </c>
      <c r="CA103">
        <v>8.1999999999999993</v>
      </c>
      <c r="CB103">
        <v>0</v>
      </c>
      <c r="CC103">
        <v>8.6999999999999993</v>
      </c>
      <c r="CD103">
        <v>0</v>
      </c>
      <c r="CE103">
        <v>0</v>
      </c>
      <c r="CF103">
        <v>0</v>
      </c>
      <c r="CG103">
        <v>0</v>
      </c>
      <c r="CH103">
        <v>0</v>
      </c>
      <c r="CI103">
        <v>0</v>
      </c>
      <c r="CJ103">
        <v>0</v>
      </c>
      <c r="CK103">
        <v>0</v>
      </c>
      <c r="CL103">
        <v>0</v>
      </c>
      <c r="CM103">
        <v>7.5</v>
      </c>
      <c r="CN103">
        <v>7.1</v>
      </c>
      <c r="CO103">
        <v>5.5</v>
      </c>
      <c r="CP103">
        <v>9.6999999999999993</v>
      </c>
      <c r="CQ103">
        <v>8.4</v>
      </c>
      <c r="CR103">
        <v>0</v>
      </c>
      <c r="CS103">
        <v>0</v>
      </c>
      <c r="CT103">
        <v>7.4</v>
      </c>
      <c r="CU103">
        <v>8.8000000000000007</v>
      </c>
      <c r="CV103">
        <v>8.1999999999999993</v>
      </c>
      <c r="CW103">
        <v>0</v>
      </c>
      <c r="CX103">
        <v>8.1999999999999993</v>
      </c>
      <c r="CY103">
        <v>0</v>
      </c>
      <c r="CZ103">
        <v>0</v>
      </c>
      <c r="DA103">
        <v>0</v>
      </c>
      <c r="DB103">
        <v>0</v>
      </c>
      <c r="DC103">
        <v>0</v>
      </c>
      <c r="DD103">
        <v>0</v>
      </c>
      <c r="DE103">
        <v>0</v>
      </c>
      <c r="DF103">
        <v>0</v>
      </c>
      <c r="DG103">
        <v>0</v>
      </c>
      <c r="DH103">
        <v>9.1999999999999993</v>
      </c>
      <c r="DI103">
        <v>8.8000000000000007</v>
      </c>
      <c r="DJ103">
        <v>7.2</v>
      </c>
      <c r="DK103">
        <v>9.6999999999999993</v>
      </c>
      <c r="DL103">
        <v>8.8000000000000007</v>
      </c>
      <c r="DM103">
        <v>0</v>
      </c>
      <c r="DN103">
        <v>0</v>
      </c>
      <c r="DO103">
        <v>9.1</v>
      </c>
      <c r="DP103">
        <v>8.6999999999999993</v>
      </c>
      <c r="DQ103">
        <v>8.5</v>
      </c>
      <c r="DR103">
        <v>0</v>
      </c>
      <c r="DS103">
        <v>9.3000000000000007</v>
      </c>
      <c r="DT103">
        <v>0</v>
      </c>
      <c r="DU103">
        <v>0</v>
      </c>
      <c r="DV103">
        <v>0</v>
      </c>
      <c r="DW103">
        <v>0</v>
      </c>
      <c r="DX103">
        <v>0</v>
      </c>
      <c r="DY103">
        <v>0</v>
      </c>
      <c r="DZ103">
        <v>0</v>
      </c>
      <c r="EA103">
        <v>0</v>
      </c>
      <c r="EB103">
        <v>0</v>
      </c>
      <c r="EC103">
        <v>5.25</v>
      </c>
      <c r="ED103">
        <v>6</v>
      </c>
      <c r="EE103"/>
      <c r="EF103"/>
      <c r="EG103">
        <v>6.1</v>
      </c>
      <c r="EH103"/>
      <c r="EI103"/>
      <c r="EJ103">
        <v>2.85</v>
      </c>
      <c r="EK103"/>
      <c r="EL103"/>
      <c r="EM103"/>
      <c r="EN103"/>
      <c r="EO103"/>
      <c r="EP103"/>
      <c r="EQ103"/>
      <c r="ER103"/>
      <c r="ES103"/>
      <c r="ET103"/>
      <c r="EU103"/>
      <c r="EV103"/>
      <c r="EW103"/>
      <c r="EX103"/>
      <c r="EY103"/>
      <c r="EZ103"/>
      <c r="FA103"/>
      <c r="FB103"/>
      <c r="FC103"/>
      <c r="FD103"/>
    </row>
    <row r="104" spans="1:160" x14ac:dyDescent="0.25">
      <c r="A104" s="1" t="str">
        <f t="shared" si="1"/>
        <v>068208007545</v>
      </c>
      <c r="B104" t="s">
        <v>1947</v>
      </c>
      <c r="C104" t="s">
        <v>1948</v>
      </c>
      <c r="D104" t="s">
        <v>1949</v>
      </c>
      <c r="E104" t="s">
        <v>280</v>
      </c>
      <c r="F104" t="s">
        <v>1950</v>
      </c>
      <c r="G104" t="s">
        <v>1951</v>
      </c>
      <c r="H104" t="s">
        <v>1952</v>
      </c>
      <c r="I104" t="s">
        <v>104</v>
      </c>
      <c r="J104" t="s">
        <v>1953</v>
      </c>
      <c r="K104" t="s">
        <v>321</v>
      </c>
      <c r="L104"/>
      <c r="M104" t="s">
        <v>287</v>
      </c>
      <c r="N104" t="s">
        <v>288</v>
      </c>
      <c r="O104"/>
      <c r="P104" t="s">
        <v>289</v>
      </c>
      <c r="Q104" t="s">
        <v>1954</v>
      </c>
      <c r="R104" t="s">
        <v>742</v>
      </c>
      <c r="S104" t="s">
        <v>289</v>
      </c>
      <c r="T104" t="s">
        <v>743</v>
      </c>
      <c r="U104"/>
      <c r="V104"/>
      <c r="W104"/>
      <c r="X104"/>
      <c r="Y104"/>
      <c r="Z104"/>
      <c r="AA104" t="s">
        <v>287</v>
      </c>
      <c r="AB104"/>
      <c r="AC104"/>
      <c r="AD104"/>
      <c r="AE104"/>
      <c r="AF104" t="s">
        <v>365</v>
      </c>
      <c r="AG104" t="s">
        <v>1955</v>
      </c>
      <c r="AH104" t="s">
        <v>1956</v>
      </c>
      <c r="AI104" t="s">
        <v>365</v>
      </c>
      <c r="AJ104" t="s">
        <v>1955</v>
      </c>
      <c r="AK104" t="s">
        <v>1956</v>
      </c>
      <c r="AL104" t="s">
        <v>365</v>
      </c>
      <c r="AM104" t="s">
        <v>1955</v>
      </c>
      <c r="AN104" t="s">
        <v>1956</v>
      </c>
      <c r="AO104" t="s">
        <v>299</v>
      </c>
      <c r="AP104" t="s">
        <v>348</v>
      </c>
      <c r="AQ104" t="s">
        <v>464</v>
      </c>
      <c r="AR104" t="s">
        <v>1957</v>
      </c>
      <c r="AS104" t="s">
        <v>991</v>
      </c>
      <c r="AT104" t="s">
        <v>302</v>
      </c>
      <c r="AU104" t="s">
        <v>354</v>
      </c>
      <c r="AV104"/>
      <c r="AW104" t="s">
        <v>330</v>
      </c>
      <c r="AX104" t="s">
        <v>331</v>
      </c>
      <c r="AY104" t="s">
        <v>545</v>
      </c>
      <c r="AZ104" t="s">
        <v>546</v>
      </c>
      <c r="BA104" t="s">
        <v>610</v>
      </c>
      <c r="BB104" t="s">
        <v>611</v>
      </c>
      <c r="BC104" t="s">
        <v>312</v>
      </c>
      <c r="BD104" t="s">
        <v>353</v>
      </c>
      <c r="BE104"/>
      <c r="BF104" t="s">
        <v>314</v>
      </c>
      <c r="BG104"/>
      <c r="BH104"/>
      <c r="BI104"/>
      <c r="BJ104"/>
      <c r="BK104"/>
      <c r="BL104"/>
      <c r="BM104" t="s">
        <v>305</v>
      </c>
      <c r="BN104" t="s">
        <v>354</v>
      </c>
      <c r="BO104" t="s">
        <v>1958</v>
      </c>
      <c r="BP104"/>
      <c r="BQ104"/>
      <c r="BR104">
        <v>9.4</v>
      </c>
      <c r="BS104">
        <v>8</v>
      </c>
      <c r="BT104">
        <v>9.4</v>
      </c>
      <c r="BU104">
        <v>9.4</v>
      </c>
      <c r="BV104">
        <v>8.4</v>
      </c>
      <c r="BW104">
        <v>0</v>
      </c>
      <c r="BX104">
        <v>0</v>
      </c>
      <c r="BY104">
        <v>9.5</v>
      </c>
      <c r="BZ104">
        <v>8.8000000000000007</v>
      </c>
      <c r="CA104">
        <v>9.1999999999999993</v>
      </c>
      <c r="CB104">
        <v>0</v>
      </c>
      <c r="CC104">
        <v>8.5</v>
      </c>
      <c r="CD104">
        <v>0</v>
      </c>
      <c r="CE104">
        <v>0</v>
      </c>
      <c r="CF104">
        <v>0</v>
      </c>
      <c r="CG104">
        <v>0</v>
      </c>
      <c r="CH104">
        <v>0</v>
      </c>
      <c r="CI104">
        <v>0</v>
      </c>
      <c r="CJ104">
        <v>0</v>
      </c>
      <c r="CK104">
        <v>0</v>
      </c>
      <c r="CL104">
        <v>0</v>
      </c>
      <c r="CM104">
        <v>9.1999999999999993</v>
      </c>
      <c r="CN104">
        <v>7.2</v>
      </c>
      <c r="CO104">
        <v>9.1</v>
      </c>
      <c r="CP104">
        <v>9.6999999999999993</v>
      </c>
      <c r="CQ104">
        <v>8.3000000000000007</v>
      </c>
      <c r="CR104">
        <v>0</v>
      </c>
      <c r="CS104">
        <v>0</v>
      </c>
      <c r="CT104">
        <v>9.6999999999999993</v>
      </c>
      <c r="CU104">
        <v>8.1999999999999993</v>
      </c>
      <c r="CV104">
        <v>9.1</v>
      </c>
      <c r="CW104">
        <v>0</v>
      </c>
      <c r="CX104">
        <v>9.1999999999999993</v>
      </c>
      <c r="CY104">
        <v>0</v>
      </c>
      <c r="CZ104">
        <v>0</v>
      </c>
      <c r="DA104">
        <v>0</v>
      </c>
      <c r="DB104">
        <v>0</v>
      </c>
      <c r="DC104">
        <v>0</v>
      </c>
      <c r="DD104">
        <v>0</v>
      </c>
      <c r="DE104">
        <v>0</v>
      </c>
      <c r="DF104">
        <v>0</v>
      </c>
      <c r="DG104">
        <v>0</v>
      </c>
      <c r="DH104">
        <v>9.4</v>
      </c>
      <c r="DI104">
        <v>6.8</v>
      </c>
      <c r="DJ104">
        <v>9.5</v>
      </c>
      <c r="DK104">
        <v>9.5</v>
      </c>
      <c r="DL104">
        <v>7.9</v>
      </c>
      <c r="DM104">
        <v>0</v>
      </c>
      <c r="DN104">
        <v>0</v>
      </c>
      <c r="DO104">
        <v>8.8000000000000007</v>
      </c>
      <c r="DP104">
        <v>7.2</v>
      </c>
      <c r="DQ104">
        <v>8.6</v>
      </c>
      <c r="DR104">
        <v>0</v>
      </c>
      <c r="DS104">
        <v>8.9</v>
      </c>
      <c r="DT104">
        <v>0</v>
      </c>
      <c r="DU104">
        <v>0</v>
      </c>
      <c r="DV104">
        <v>0</v>
      </c>
      <c r="DW104">
        <v>0</v>
      </c>
      <c r="DX104">
        <v>0</v>
      </c>
      <c r="DY104">
        <v>0</v>
      </c>
      <c r="DZ104">
        <v>0</v>
      </c>
      <c r="EA104">
        <v>0</v>
      </c>
      <c r="EB104">
        <v>0</v>
      </c>
      <c r="EC104">
        <v>9</v>
      </c>
      <c r="ED104">
        <v>7.25</v>
      </c>
      <c r="EE104">
        <v>8</v>
      </c>
      <c r="EF104"/>
      <c r="EG104"/>
      <c r="EH104"/>
      <c r="EI104"/>
      <c r="EJ104">
        <v>9</v>
      </c>
      <c r="EK104"/>
      <c r="EL104"/>
      <c r="EM104"/>
      <c r="EN104"/>
      <c r="EO104"/>
      <c r="EP104"/>
      <c r="EQ104"/>
      <c r="ER104"/>
      <c r="ES104"/>
      <c r="ET104"/>
      <c r="EU104"/>
      <c r="EV104"/>
      <c r="EW104"/>
      <c r="EX104"/>
      <c r="EY104"/>
      <c r="EZ104"/>
      <c r="FA104"/>
      <c r="FB104"/>
      <c r="FC104"/>
      <c r="FD104"/>
    </row>
    <row r="105" spans="1:160" x14ac:dyDescent="0.25">
      <c r="A105" s="1" t="str">
        <f t="shared" si="1"/>
        <v>089308016017</v>
      </c>
      <c r="B105" t="s">
        <v>1959</v>
      </c>
      <c r="C105" t="s">
        <v>1960</v>
      </c>
      <c r="D105" t="s">
        <v>1961</v>
      </c>
      <c r="E105" t="s">
        <v>278</v>
      </c>
      <c r="F105" t="s">
        <v>617</v>
      </c>
      <c r="G105" t="s">
        <v>1962</v>
      </c>
      <c r="H105" t="s">
        <v>1963</v>
      </c>
      <c r="I105" t="s">
        <v>1964</v>
      </c>
      <c r="J105" t="s">
        <v>1965</v>
      </c>
      <c r="K105" t="s">
        <v>516</v>
      </c>
      <c r="L105"/>
      <c r="M105" t="s">
        <v>287</v>
      </c>
      <c r="N105" t="s">
        <v>288</v>
      </c>
      <c r="O105"/>
      <c r="P105" t="s">
        <v>289</v>
      </c>
      <c r="Q105" t="s">
        <v>1966</v>
      </c>
      <c r="R105" t="s">
        <v>287</v>
      </c>
      <c r="S105" t="s">
        <v>287</v>
      </c>
      <c r="T105" t="s">
        <v>287</v>
      </c>
      <c r="U105"/>
      <c r="V105"/>
      <c r="W105"/>
      <c r="X105"/>
      <c r="Y105"/>
      <c r="Z105"/>
      <c r="AA105" t="s">
        <v>287</v>
      </c>
      <c r="AB105"/>
      <c r="AC105"/>
      <c r="AD105"/>
      <c r="AE105"/>
      <c r="AF105" t="s">
        <v>401</v>
      </c>
      <c r="AG105" t="s">
        <v>1699</v>
      </c>
      <c r="AH105" t="s">
        <v>1739</v>
      </c>
      <c r="AI105" t="s">
        <v>401</v>
      </c>
      <c r="AJ105" t="s">
        <v>1699</v>
      </c>
      <c r="AK105" t="s">
        <v>1739</v>
      </c>
      <c r="AL105" t="s">
        <v>401</v>
      </c>
      <c r="AM105" t="s">
        <v>1699</v>
      </c>
      <c r="AN105" t="s">
        <v>1739</v>
      </c>
      <c r="AO105" t="s">
        <v>299</v>
      </c>
      <c r="AP105" t="s">
        <v>603</v>
      </c>
      <c r="AQ105" t="s">
        <v>1375</v>
      </c>
      <c r="AR105" t="s">
        <v>1967</v>
      </c>
      <c r="AS105" t="s">
        <v>1180</v>
      </c>
      <c r="AT105" t="s">
        <v>1120</v>
      </c>
      <c r="AU105" t="s">
        <v>354</v>
      </c>
      <c r="AV105"/>
      <c r="AW105" t="s">
        <v>330</v>
      </c>
      <c r="AX105" t="s">
        <v>331</v>
      </c>
      <c r="AY105" t="s">
        <v>562</v>
      </c>
      <c r="AZ105" t="s">
        <v>563</v>
      </c>
      <c r="BA105" t="s">
        <v>545</v>
      </c>
      <c r="BB105" t="s">
        <v>546</v>
      </c>
      <c r="BC105" t="s">
        <v>312</v>
      </c>
      <c r="BD105" t="s">
        <v>1339</v>
      </c>
      <c r="BE105" t="s">
        <v>1968</v>
      </c>
      <c r="BF105" t="s">
        <v>314</v>
      </c>
      <c r="BG105"/>
      <c r="BH105"/>
      <c r="BI105"/>
      <c r="BJ105"/>
      <c r="BK105"/>
      <c r="BL105"/>
      <c r="BM105" t="s">
        <v>305</v>
      </c>
      <c r="BN105" t="s">
        <v>354</v>
      </c>
      <c r="BO105" t="s">
        <v>1969</v>
      </c>
      <c r="BP105"/>
      <c r="BQ105"/>
      <c r="BR105">
        <v>6.9</v>
      </c>
      <c r="BS105">
        <v>8.1</v>
      </c>
      <c r="BT105">
        <v>7</v>
      </c>
      <c r="BU105">
        <v>8.8000000000000007</v>
      </c>
      <c r="BV105">
        <v>8</v>
      </c>
      <c r="BW105">
        <v>7.9</v>
      </c>
      <c r="BX105">
        <v>9.1</v>
      </c>
      <c r="BY105">
        <v>0</v>
      </c>
      <c r="BZ105">
        <v>0</v>
      </c>
      <c r="CA105">
        <v>8.1</v>
      </c>
      <c r="CB105">
        <v>9</v>
      </c>
      <c r="CC105">
        <v>0</v>
      </c>
      <c r="CD105">
        <v>0</v>
      </c>
      <c r="CE105">
        <v>0</v>
      </c>
      <c r="CF105">
        <v>0</v>
      </c>
      <c r="CG105">
        <v>0</v>
      </c>
      <c r="CH105">
        <v>0</v>
      </c>
      <c r="CI105">
        <v>0</v>
      </c>
      <c r="CJ105">
        <v>0</v>
      </c>
      <c r="CK105">
        <v>0</v>
      </c>
      <c r="CL105">
        <v>0</v>
      </c>
      <c r="CM105">
        <v>7.5</v>
      </c>
      <c r="CN105">
        <v>8.6999999999999993</v>
      </c>
      <c r="CO105">
        <v>6.9</v>
      </c>
      <c r="CP105">
        <v>10</v>
      </c>
      <c r="CQ105">
        <v>8</v>
      </c>
      <c r="CR105">
        <v>8.6</v>
      </c>
      <c r="CS105">
        <v>9.1</v>
      </c>
      <c r="CT105">
        <v>0</v>
      </c>
      <c r="CU105">
        <v>0</v>
      </c>
      <c r="CV105">
        <v>8</v>
      </c>
      <c r="CW105">
        <v>8.8000000000000007</v>
      </c>
      <c r="CX105">
        <v>0</v>
      </c>
      <c r="CY105">
        <v>0</v>
      </c>
      <c r="CZ105">
        <v>0</v>
      </c>
      <c r="DA105">
        <v>0</v>
      </c>
      <c r="DB105">
        <v>0</v>
      </c>
      <c r="DC105">
        <v>0</v>
      </c>
      <c r="DD105">
        <v>0</v>
      </c>
      <c r="DE105">
        <v>0</v>
      </c>
      <c r="DF105">
        <v>0</v>
      </c>
      <c r="DG105">
        <v>0</v>
      </c>
      <c r="DH105">
        <v>8.3000000000000007</v>
      </c>
      <c r="DI105">
        <v>7.2</v>
      </c>
      <c r="DJ105">
        <v>6.5</v>
      </c>
      <c r="DK105">
        <v>9.5</v>
      </c>
      <c r="DL105">
        <v>9.6999999999999993</v>
      </c>
      <c r="DM105">
        <v>9.1999999999999993</v>
      </c>
      <c r="DN105">
        <v>9.1999999999999993</v>
      </c>
      <c r="DO105">
        <v>0</v>
      </c>
      <c r="DP105">
        <v>0</v>
      </c>
      <c r="DQ105">
        <v>8.1999999999999993</v>
      </c>
      <c r="DR105">
        <v>9.1</v>
      </c>
      <c r="DS105">
        <v>0</v>
      </c>
      <c r="DT105">
        <v>0</v>
      </c>
      <c r="DU105">
        <v>0</v>
      </c>
      <c r="DV105">
        <v>0</v>
      </c>
      <c r="DW105">
        <v>0</v>
      </c>
      <c r="DX105">
        <v>0</v>
      </c>
      <c r="DY105">
        <v>0</v>
      </c>
      <c r="DZ105">
        <v>0</v>
      </c>
      <c r="EA105">
        <v>0</v>
      </c>
      <c r="EB105">
        <v>0</v>
      </c>
      <c r="EC105">
        <v>3</v>
      </c>
      <c r="ED105">
        <v>6.5</v>
      </c>
      <c r="EE105"/>
      <c r="EF105"/>
      <c r="EG105">
        <v>6.6</v>
      </c>
      <c r="EH105"/>
      <c r="EI105">
        <v>5.25</v>
      </c>
      <c r="EJ105"/>
      <c r="EK105"/>
      <c r="EL105"/>
      <c r="EM105"/>
      <c r="EN105"/>
      <c r="EO105"/>
      <c r="EP105"/>
      <c r="EQ105"/>
      <c r="ER105"/>
      <c r="ES105"/>
      <c r="ET105"/>
      <c r="EU105"/>
      <c r="EV105"/>
      <c r="EW105"/>
      <c r="EX105"/>
      <c r="EY105"/>
      <c r="EZ105"/>
      <c r="FA105"/>
      <c r="FB105"/>
      <c r="FC105"/>
      <c r="FD105"/>
    </row>
    <row r="106" spans="1:160" x14ac:dyDescent="0.25">
      <c r="A106" s="1" t="str">
        <f t="shared" si="1"/>
        <v>038208002727</v>
      </c>
      <c r="B106" t="s">
        <v>1970</v>
      </c>
      <c r="C106" t="s">
        <v>1971</v>
      </c>
      <c r="D106" t="s">
        <v>1972</v>
      </c>
      <c r="E106" t="s">
        <v>280</v>
      </c>
      <c r="F106" t="s">
        <v>1973</v>
      </c>
      <c r="G106" t="s">
        <v>1974</v>
      </c>
      <c r="H106" t="s">
        <v>1975</v>
      </c>
      <c r="I106" t="s">
        <v>1976</v>
      </c>
      <c r="J106" t="s">
        <v>1977</v>
      </c>
      <c r="K106" t="s">
        <v>516</v>
      </c>
      <c r="L106"/>
      <c r="M106" t="s">
        <v>287</v>
      </c>
      <c r="N106" t="s">
        <v>288</v>
      </c>
      <c r="O106"/>
      <c r="P106" t="s">
        <v>289</v>
      </c>
      <c r="Q106" t="s">
        <v>1978</v>
      </c>
      <c r="R106" t="s">
        <v>287</v>
      </c>
      <c r="S106" t="s">
        <v>287</v>
      </c>
      <c r="T106" t="s">
        <v>287</v>
      </c>
      <c r="U106" t="s">
        <v>1979</v>
      </c>
      <c r="V106" t="s">
        <v>1980</v>
      </c>
      <c r="W106" t="s">
        <v>1981</v>
      </c>
      <c r="X106" t="s">
        <v>1982</v>
      </c>
      <c r="Y106" t="s">
        <v>1983</v>
      </c>
      <c r="Z106" t="s">
        <v>1984</v>
      </c>
      <c r="AA106" t="s">
        <v>287</v>
      </c>
      <c r="AB106"/>
      <c r="AC106"/>
      <c r="AD106"/>
      <c r="AE106"/>
      <c r="AF106" t="s">
        <v>365</v>
      </c>
      <c r="AG106" t="s">
        <v>1985</v>
      </c>
      <c r="AH106" t="s">
        <v>1986</v>
      </c>
      <c r="AI106" t="s">
        <v>365</v>
      </c>
      <c r="AJ106" t="s">
        <v>1985</v>
      </c>
      <c r="AK106" t="s">
        <v>1986</v>
      </c>
      <c r="AL106" t="s">
        <v>365</v>
      </c>
      <c r="AM106" t="s">
        <v>1985</v>
      </c>
      <c r="AN106" t="s">
        <v>1986</v>
      </c>
      <c r="AO106" t="s">
        <v>299</v>
      </c>
      <c r="AP106" t="s">
        <v>388</v>
      </c>
      <c r="AQ106" t="s">
        <v>969</v>
      </c>
      <c r="AR106" t="s">
        <v>1987</v>
      </c>
      <c r="AS106" t="s">
        <v>1988</v>
      </c>
      <c r="AT106" t="s">
        <v>969</v>
      </c>
      <c r="AU106" t="s">
        <v>305</v>
      </c>
      <c r="AV106"/>
      <c r="AW106" t="s">
        <v>610</v>
      </c>
      <c r="AX106" t="s">
        <v>611</v>
      </c>
      <c r="AY106" t="s">
        <v>330</v>
      </c>
      <c r="AZ106" t="s">
        <v>331</v>
      </c>
      <c r="BA106"/>
      <c r="BB106"/>
      <c r="BC106" t="s">
        <v>312</v>
      </c>
      <c r="BD106" t="s">
        <v>353</v>
      </c>
      <c r="BE106" t="s">
        <v>1989</v>
      </c>
      <c r="BF106" t="s">
        <v>314</v>
      </c>
      <c r="BG106"/>
      <c r="BH106"/>
      <c r="BI106"/>
      <c r="BJ106"/>
      <c r="BK106"/>
      <c r="BL106"/>
      <c r="BM106" t="s">
        <v>305</v>
      </c>
      <c r="BN106" t="s">
        <v>354</v>
      </c>
      <c r="BO106" t="s">
        <v>1990</v>
      </c>
      <c r="BP106" t="s">
        <v>1991</v>
      </c>
      <c r="BQ106"/>
      <c r="BR106">
        <v>5.0999999999999996</v>
      </c>
      <c r="BS106">
        <v>5.9</v>
      </c>
      <c r="BT106">
        <v>5.8</v>
      </c>
      <c r="BU106">
        <v>7.7</v>
      </c>
      <c r="BV106">
        <v>5.8</v>
      </c>
      <c r="BW106">
        <v>7.4</v>
      </c>
      <c r="BX106">
        <v>0</v>
      </c>
      <c r="BY106">
        <v>6.6</v>
      </c>
      <c r="BZ106">
        <v>0</v>
      </c>
      <c r="CA106">
        <v>0</v>
      </c>
      <c r="CB106">
        <v>6.7</v>
      </c>
      <c r="CC106">
        <v>6.2</v>
      </c>
      <c r="CD106">
        <v>0</v>
      </c>
      <c r="CE106">
        <v>0</v>
      </c>
      <c r="CF106">
        <v>0</v>
      </c>
      <c r="CG106">
        <v>0</v>
      </c>
      <c r="CH106">
        <v>0</v>
      </c>
      <c r="CI106">
        <v>0</v>
      </c>
      <c r="CJ106">
        <v>0</v>
      </c>
      <c r="CK106">
        <v>0</v>
      </c>
      <c r="CL106">
        <v>0</v>
      </c>
      <c r="CM106">
        <v>5.4</v>
      </c>
      <c r="CN106">
        <v>5.3</v>
      </c>
      <c r="CO106">
        <v>5.8</v>
      </c>
      <c r="CP106">
        <v>7.4</v>
      </c>
      <c r="CQ106">
        <v>6.6</v>
      </c>
      <c r="CR106">
        <v>7.6</v>
      </c>
      <c r="CS106">
        <v>0</v>
      </c>
      <c r="CT106">
        <v>5.5</v>
      </c>
      <c r="CU106">
        <v>0</v>
      </c>
      <c r="CV106">
        <v>0</v>
      </c>
      <c r="CW106">
        <v>6.9</v>
      </c>
      <c r="CX106">
        <v>6.8</v>
      </c>
      <c r="CY106">
        <v>0</v>
      </c>
      <c r="CZ106">
        <v>0</v>
      </c>
      <c r="DA106">
        <v>0</v>
      </c>
      <c r="DB106">
        <v>0</v>
      </c>
      <c r="DC106">
        <v>0</v>
      </c>
      <c r="DD106">
        <v>0</v>
      </c>
      <c r="DE106">
        <v>0</v>
      </c>
      <c r="DF106">
        <v>0</v>
      </c>
      <c r="DG106">
        <v>0</v>
      </c>
      <c r="DH106">
        <v>7.1</v>
      </c>
      <c r="DI106">
        <v>5.5</v>
      </c>
      <c r="DJ106">
        <v>6.4</v>
      </c>
      <c r="DK106">
        <v>7.6</v>
      </c>
      <c r="DL106">
        <v>7.4</v>
      </c>
      <c r="DM106">
        <v>7.7</v>
      </c>
      <c r="DN106">
        <v>0</v>
      </c>
      <c r="DO106">
        <v>6.4</v>
      </c>
      <c r="DP106">
        <v>0</v>
      </c>
      <c r="DQ106">
        <v>0</v>
      </c>
      <c r="DR106">
        <v>8.5</v>
      </c>
      <c r="DS106">
        <v>8.4</v>
      </c>
      <c r="DT106">
        <v>0</v>
      </c>
      <c r="DU106">
        <v>0</v>
      </c>
      <c r="DV106">
        <v>0</v>
      </c>
      <c r="DW106">
        <v>0</v>
      </c>
      <c r="DX106">
        <v>0</v>
      </c>
      <c r="DY106">
        <v>0</v>
      </c>
      <c r="DZ106">
        <v>0</v>
      </c>
      <c r="EA106">
        <v>0</v>
      </c>
      <c r="EB106">
        <v>0</v>
      </c>
      <c r="EC106">
        <v>6.25</v>
      </c>
      <c r="ED106">
        <v>6.25</v>
      </c>
      <c r="EE106">
        <v>3.75</v>
      </c>
      <c r="EF106"/>
      <c r="EG106">
        <v>6.35</v>
      </c>
      <c r="EH106"/>
      <c r="EI106"/>
      <c r="EJ106"/>
      <c r="EK106"/>
      <c r="EL106"/>
      <c r="EM106"/>
      <c r="EN106"/>
      <c r="EO106"/>
      <c r="EP106"/>
      <c r="EQ106"/>
      <c r="ER106"/>
      <c r="ES106"/>
      <c r="ET106"/>
      <c r="EU106"/>
      <c r="EV106"/>
      <c r="EW106"/>
      <c r="EX106"/>
      <c r="EY106"/>
      <c r="EZ106"/>
      <c r="FA106"/>
      <c r="FB106"/>
      <c r="FC106"/>
      <c r="FD106"/>
    </row>
    <row r="107" spans="1:160" x14ac:dyDescent="0.25">
      <c r="A107" s="1" t="str">
        <f t="shared" si="1"/>
        <v>066308009933</v>
      </c>
      <c r="B107" t="s">
        <v>1992</v>
      </c>
      <c r="C107" t="s">
        <v>460</v>
      </c>
      <c r="D107" t="s">
        <v>1993</v>
      </c>
      <c r="E107" t="s">
        <v>278</v>
      </c>
      <c r="F107" t="s">
        <v>1257</v>
      </c>
      <c r="G107" t="s">
        <v>1994</v>
      </c>
      <c r="H107" t="s">
        <v>1995</v>
      </c>
      <c r="I107" t="s">
        <v>107</v>
      </c>
      <c r="J107" t="s">
        <v>1996</v>
      </c>
      <c r="K107" t="s">
        <v>476</v>
      </c>
      <c r="L107"/>
      <c r="M107" t="s">
        <v>287</v>
      </c>
      <c r="N107" t="s">
        <v>288</v>
      </c>
      <c r="O107"/>
      <c r="P107" t="s">
        <v>289</v>
      </c>
      <c r="Q107" t="s">
        <v>1997</v>
      </c>
      <c r="R107" t="s">
        <v>287</v>
      </c>
      <c r="S107" t="s">
        <v>287</v>
      </c>
      <c r="T107" t="s">
        <v>287</v>
      </c>
      <c r="U107"/>
      <c r="V107"/>
      <c r="W107" t="s">
        <v>294</v>
      </c>
      <c r="X107" t="s">
        <v>1998</v>
      </c>
      <c r="Y107" t="s">
        <v>1999</v>
      </c>
      <c r="Z107" t="s">
        <v>2000</v>
      </c>
      <c r="AA107" t="s">
        <v>287</v>
      </c>
      <c r="AB107"/>
      <c r="AC107"/>
      <c r="AD107"/>
      <c r="AE107"/>
      <c r="AF107" t="s">
        <v>1303</v>
      </c>
      <c r="AG107" t="s">
        <v>2001</v>
      </c>
      <c r="AH107" t="s">
        <v>2002</v>
      </c>
      <c r="AI107" t="s">
        <v>1303</v>
      </c>
      <c r="AJ107" t="s">
        <v>2001</v>
      </c>
      <c r="AK107" t="s">
        <v>2002</v>
      </c>
      <c r="AL107" t="s">
        <v>1303</v>
      </c>
      <c r="AM107" t="s">
        <v>2001</v>
      </c>
      <c r="AN107" t="s">
        <v>2002</v>
      </c>
      <c r="AO107" t="s">
        <v>299</v>
      </c>
      <c r="AP107" t="s">
        <v>603</v>
      </c>
      <c r="AQ107" t="s">
        <v>1205</v>
      </c>
      <c r="AR107" t="s">
        <v>1706</v>
      </c>
      <c r="AS107" t="s">
        <v>807</v>
      </c>
      <c r="AT107" t="s">
        <v>1120</v>
      </c>
      <c r="AU107" t="s">
        <v>305</v>
      </c>
      <c r="AV107"/>
      <c r="AW107" t="s">
        <v>330</v>
      </c>
      <c r="AX107" t="s">
        <v>331</v>
      </c>
      <c r="AY107" t="s">
        <v>610</v>
      </c>
      <c r="AZ107" t="s">
        <v>611</v>
      </c>
      <c r="BA107"/>
      <c r="BB107"/>
      <c r="BC107" t="s">
        <v>669</v>
      </c>
      <c r="BD107" t="s">
        <v>353</v>
      </c>
      <c r="BE107"/>
      <c r="BF107" t="s">
        <v>314</v>
      </c>
      <c r="BG107"/>
      <c r="BH107"/>
      <c r="BI107"/>
      <c r="BJ107"/>
      <c r="BK107"/>
      <c r="BL107"/>
      <c r="BM107" t="s">
        <v>305</v>
      </c>
      <c r="BN107" t="s">
        <v>354</v>
      </c>
      <c r="BO107" t="s">
        <v>2003</v>
      </c>
      <c r="BP107" t="s">
        <v>2004</v>
      </c>
      <c r="BQ107"/>
      <c r="BR107">
        <v>8</v>
      </c>
      <c r="BS107">
        <v>8.1999999999999993</v>
      </c>
      <c r="BT107">
        <v>7.6</v>
      </c>
      <c r="BU107">
        <v>8.3000000000000007</v>
      </c>
      <c r="BV107">
        <v>8.5</v>
      </c>
      <c r="BW107">
        <v>0</v>
      </c>
      <c r="BX107">
        <v>0</v>
      </c>
      <c r="BY107">
        <v>8.8000000000000007</v>
      </c>
      <c r="BZ107">
        <v>8.1</v>
      </c>
      <c r="CA107">
        <v>8.3000000000000007</v>
      </c>
      <c r="CB107">
        <v>0</v>
      </c>
      <c r="CC107">
        <v>8.9</v>
      </c>
      <c r="CD107">
        <v>0</v>
      </c>
      <c r="CE107">
        <v>0</v>
      </c>
      <c r="CF107">
        <v>0</v>
      </c>
      <c r="CG107">
        <v>0</v>
      </c>
      <c r="CH107">
        <v>0</v>
      </c>
      <c r="CI107">
        <v>0</v>
      </c>
      <c r="CJ107">
        <v>0</v>
      </c>
      <c r="CK107">
        <v>0</v>
      </c>
      <c r="CL107">
        <v>0</v>
      </c>
      <c r="CM107">
        <v>8</v>
      </c>
      <c r="CN107">
        <v>7.1</v>
      </c>
      <c r="CO107">
        <v>8.6</v>
      </c>
      <c r="CP107">
        <v>7.8</v>
      </c>
      <c r="CQ107">
        <v>8.3000000000000007</v>
      </c>
      <c r="CR107">
        <v>0</v>
      </c>
      <c r="CS107">
        <v>0</v>
      </c>
      <c r="CT107">
        <v>8.6999999999999993</v>
      </c>
      <c r="CU107">
        <v>8.3000000000000007</v>
      </c>
      <c r="CV107">
        <v>8.4</v>
      </c>
      <c r="CW107">
        <v>0</v>
      </c>
      <c r="CX107">
        <v>8.3000000000000007</v>
      </c>
      <c r="CY107">
        <v>0</v>
      </c>
      <c r="CZ107">
        <v>0</v>
      </c>
      <c r="DA107">
        <v>0</v>
      </c>
      <c r="DB107">
        <v>0</v>
      </c>
      <c r="DC107">
        <v>0</v>
      </c>
      <c r="DD107">
        <v>0</v>
      </c>
      <c r="DE107">
        <v>0</v>
      </c>
      <c r="DF107">
        <v>0</v>
      </c>
      <c r="DG107">
        <v>0</v>
      </c>
      <c r="DH107">
        <v>8.5</v>
      </c>
      <c r="DI107">
        <v>7</v>
      </c>
      <c r="DJ107">
        <v>8.8000000000000007</v>
      </c>
      <c r="DK107">
        <v>9.1999999999999993</v>
      </c>
      <c r="DL107">
        <v>8.3000000000000007</v>
      </c>
      <c r="DM107">
        <v>0</v>
      </c>
      <c r="DN107">
        <v>0</v>
      </c>
      <c r="DO107">
        <v>9.1</v>
      </c>
      <c r="DP107">
        <v>8.3000000000000007</v>
      </c>
      <c r="DQ107">
        <v>8.8000000000000007</v>
      </c>
      <c r="DR107">
        <v>0</v>
      </c>
      <c r="DS107">
        <v>8.9</v>
      </c>
      <c r="DT107">
        <v>0</v>
      </c>
      <c r="DU107">
        <v>0</v>
      </c>
      <c r="DV107">
        <v>0</v>
      </c>
      <c r="DW107">
        <v>0</v>
      </c>
      <c r="DX107">
        <v>0</v>
      </c>
      <c r="DY107">
        <v>0</v>
      </c>
      <c r="DZ107">
        <v>0</v>
      </c>
      <c r="EA107">
        <v>0</v>
      </c>
      <c r="EB107">
        <v>0</v>
      </c>
      <c r="EC107">
        <v>7.5</v>
      </c>
      <c r="ED107">
        <v>6.5</v>
      </c>
      <c r="EE107">
        <v>4.5</v>
      </c>
      <c r="EF107"/>
      <c r="EG107"/>
      <c r="EH107"/>
      <c r="EI107"/>
      <c r="EJ107">
        <v>6.25</v>
      </c>
      <c r="EK107"/>
      <c r="EL107"/>
      <c r="EM107"/>
      <c r="EN107"/>
      <c r="EO107"/>
      <c r="EP107"/>
      <c r="EQ107"/>
      <c r="ER107"/>
      <c r="ES107"/>
      <c r="ET107"/>
      <c r="EU107"/>
      <c r="EV107"/>
      <c r="EW107"/>
      <c r="EX107"/>
      <c r="EY107"/>
      <c r="EZ107"/>
      <c r="FA107"/>
      <c r="FB107"/>
      <c r="FC107"/>
      <c r="FD107"/>
    </row>
    <row r="108" spans="1:160" x14ac:dyDescent="0.25">
      <c r="A108" s="1" t="str">
        <f t="shared" si="1"/>
        <v>038307007810</v>
      </c>
      <c r="B108" t="s">
        <v>2005</v>
      </c>
      <c r="C108" t="s">
        <v>2006</v>
      </c>
      <c r="D108" t="s">
        <v>2007</v>
      </c>
      <c r="E108" t="s">
        <v>278</v>
      </c>
      <c r="F108" t="s">
        <v>2008</v>
      </c>
      <c r="G108" t="s">
        <v>2009</v>
      </c>
      <c r="H108" t="s">
        <v>2010</v>
      </c>
      <c r="I108" t="s">
        <v>115</v>
      </c>
      <c r="J108" t="s">
        <v>2011</v>
      </c>
      <c r="K108" t="s">
        <v>321</v>
      </c>
      <c r="L108"/>
      <c r="M108" t="s">
        <v>287</v>
      </c>
      <c r="N108" t="s">
        <v>288</v>
      </c>
      <c r="O108"/>
      <c r="P108" t="s">
        <v>655</v>
      </c>
      <c r="Q108" t="s">
        <v>2012</v>
      </c>
      <c r="R108" t="s">
        <v>287</v>
      </c>
      <c r="S108" t="s">
        <v>287</v>
      </c>
      <c r="T108" t="s">
        <v>287</v>
      </c>
      <c r="U108"/>
      <c r="V108"/>
      <c r="W108"/>
      <c r="X108"/>
      <c r="Y108"/>
      <c r="Z108"/>
      <c r="AA108" t="s">
        <v>287</v>
      </c>
      <c r="AB108"/>
      <c r="AC108"/>
      <c r="AD108"/>
      <c r="AE108"/>
      <c r="AF108" t="s">
        <v>856</v>
      </c>
      <c r="AG108" t="s">
        <v>2013</v>
      </c>
      <c r="AH108" t="s">
        <v>2014</v>
      </c>
      <c r="AI108" t="s">
        <v>856</v>
      </c>
      <c r="AJ108" t="s">
        <v>2013</v>
      </c>
      <c r="AK108" t="s">
        <v>2014</v>
      </c>
      <c r="AL108" t="s">
        <v>856</v>
      </c>
      <c r="AM108" t="s">
        <v>2013</v>
      </c>
      <c r="AN108" t="s">
        <v>2014</v>
      </c>
      <c r="AO108" t="s">
        <v>299</v>
      </c>
      <c r="AP108" t="s">
        <v>348</v>
      </c>
      <c r="AQ108" t="s">
        <v>485</v>
      </c>
      <c r="AR108" t="s">
        <v>1694</v>
      </c>
      <c r="AS108" t="s">
        <v>628</v>
      </c>
      <c r="AT108" t="s">
        <v>485</v>
      </c>
      <c r="AU108" t="s">
        <v>354</v>
      </c>
      <c r="AV108"/>
      <c r="AW108" t="s">
        <v>545</v>
      </c>
      <c r="AX108" t="s">
        <v>546</v>
      </c>
      <c r="AY108" t="s">
        <v>372</v>
      </c>
      <c r="AZ108" t="s">
        <v>373</v>
      </c>
      <c r="BA108" t="s">
        <v>610</v>
      </c>
      <c r="BB108" t="s">
        <v>611</v>
      </c>
      <c r="BC108" t="s">
        <v>312</v>
      </c>
      <c r="BD108" t="s">
        <v>353</v>
      </c>
      <c r="BE108" t="s">
        <v>2015</v>
      </c>
      <c r="BF108" t="s">
        <v>314</v>
      </c>
      <c r="BG108"/>
      <c r="BH108"/>
      <c r="BI108"/>
      <c r="BJ108"/>
      <c r="BK108"/>
      <c r="BL108"/>
      <c r="BM108" t="s">
        <v>305</v>
      </c>
      <c r="BN108" t="s">
        <v>305</v>
      </c>
      <c r="BO108" t="s">
        <v>2016</v>
      </c>
      <c r="BP108"/>
      <c r="BQ108" t="s">
        <v>2017</v>
      </c>
      <c r="BR108">
        <v>7.8</v>
      </c>
      <c r="BS108">
        <v>7.7</v>
      </c>
      <c r="BT108">
        <v>8.1</v>
      </c>
      <c r="BU108">
        <v>8.5</v>
      </c>
      <c r="BV108">
        <v>8.3000000000000007</v>
      </c>
      <c r="BW108">
        <v>0</v>
      </c>
      <c r="BX108">
        <v>8.1</v>
      </c>
      <c r="BY108">
        <v>7.6</v>
      </c>
      <c r="BZ108">
        <v>0</v>
      </c>
      <c r="CA108">
        <v>8</v>
      </c>
      <c r="CB108">
        <v>9.5</v>
      </c>
      <c r="CC108">
        <v>0</v>
      </c>
      <c r="CD108">
        <v>0</v>
      </c>
      <c r="CE108">
        <v>0</v>
      </c>
      <c r="CF108">
        <v>0</v>
      </c>
      <c r="CG108">
        <v>0</v>
      </c>
      <c r="CH108">
        <v>0</v>
      </c>
      <c r="CI108">
        <v>0</v>
      </c>
      <c r="CJ108">
        <v>0</v>
      </c>
      <c r="CK108">
        <v>0</v>
      </c>
      <c r="CL108">
        <v>0</v>
      </c>
      <c r="CM108">
        <v>8.3000000000000007</v>
      </c>
      <c r="CN108">
        <v>8.4</v>
      </c>
      <c r="CO108">
        <v>9</v>
      </c>
      <c r="CP108">
        <v>9.4</v>
      </c>
      <c r="CQ108">
        <v>9.1</v>
      </c>
      <c r="CR108">
        <v>0</v>
      </c>
      <c r="CS108">
        <v>8.9</v>
      </c>
      <c r="CT108">
        <v>9.3000000000000007</v>
      </c>
      <c r="CU108">
        <v>0</v>
      </c>
      <c r="CV108">
        <v>7.6</v>
      </c>
      <c r="CW108">
        <v>8.5</v>
      </c>
      <c r="CX108">
        <v>0</v>
      </c>
      <c r="CY108">
        <v>0</v>
      </c>
      <c r="CZ108">
        <v>0</v>
      </c>
      <c r="DA108">
        <v>0</v>
      </c>
      <c r="DB108">
        <v>0</v>
      </c>
      <c r="DC108">
        <v>0</v>
      </c>
      <c r="DD108">
        <v>0</v>
      </c>
      <c r="DE108">
        <v>0</v>
      </c>
      <c r="DF108">
        <v>0</v>
      </c>
      <c r="DG108">
        <v>0</v>
      </c>
      <c r="DH108">
        <v>8.6</v>
      </c>
      <c r="DI108">
        <v>8.1</v>
      </c>
      <c r="DJ108">
        <v>8.6999999999999993</v>
      </c>
      <c r="DK108">
        <v>9.6999999999999993</v>
      </c>
      <c r="DL108">
        <v>8.6999999999999993</v>
      </c>
      <c r="DM108">
        <v>0</v>
      </c>
      <c r="DN108">
        <v>8.6999999999999993</v>
      </c>
      <c r="DO108">
        <v>9.3000000000000007</v>
      </c>
      <c r="DP108">
        <v>0</v>
      </c>
      <c r="DQ108">
        <v>8.1</v>
      </c>
      <c r="DR108">
        <v>8.8000000000000007</v>
      </c>
      <c r="DS108">
        <v>0</v>
      </c>
      <c r="DT108">
        <v>0</v>
      </c>
      <c r="DU108">
        <v>0</v>
      </c>
      <c r="DV108">
        <v>0</v>
      </c>
      <c r="DW108">
        <v>0</v>
      </c>
      <c r="DX108">
        <v>0</v>
      </c>
      <c r="DY108">
        <v>0</v>
      </c>
      <c r="DZ108">
        <v>0</v>
      </c>
      <c r="EA108">
        <v>0</v>
      </c>
      <c r="EB108">
        <v>0</v>
      </c>
      <c r="EC108">
        <v>6.75</v>
      </c>
      <c r="ED108">
        <v>6.25</v>
      </c>
      <c r="EE108">
        <v>4.25</v>
      </c>
      <c r="EF108"/>
      <c r="EG108"/>
      <c r="EH108"/>
      <c r="EI108"/>
      <c r="EJ108">
        <v>7.25</v>
      </c>
      <c r="EK108"/>
      <c r="EL108"/>
      <c r="EM108"/>
      <c r="EN108"/>
      <c r="EO108"/>
      <c r="EP108"/>
      <c r="EQ108"/>
      <c r="ER108"/>
      <c r="ES108"/>
      <c r="ET108"/>
      <c r="EU108"/>
      <c r="EV108"/>
      <c r="EW108">
        <v>86</v>
      </c>
      <c r="EX108"/>
      <c r="EY108">
        <v>83.5</v>
      </c>
      <c r="EZ108"/>
      <c r="FA108"/>
      <c r="FB108"/>
      <c r="FC108"/>
      <c r="FD108"/>
    </row>
    <row r="109" spans="1:160" x14ac:dyDescent="0.25">
      <c r="A109" s="1" t="str">
        <f t="shared" si="1"/>
        <v>058307004501</v>
      </c>
      <c r="B109" t="s">
        <v>2018</v>
      </c>
      <c r="C109" t="s">
        <v>439</v>
      </c>
      <c r="D109" t="s">
        <v>2019</v>
      </c>
      <c r="E109" t="s">
        <v>278</v>
      </c>
      <c r="F109" t="s">
        <v>2020</v>
      </c>
      <c r="G109" t="s">
        <v>2021</v>
      </c>
      <c r="H109" t="s">
        <v>2022</v>
      </c>
      <c r="I109" t="s">
        <v>111</v>
      </c>
      <c r="J109" t="s">
        <v>2023</v>
      </c>
      <c r="K109" t="s">
        <v>516</v>
      </c>
      <c r="L109"/>
      <c r="M109" t="s">
        <v>287</v>
      </c>
      <c r="N109" t="s">
        <v>288</v>
      </c>
      <c r="O109"/>
      <c r="P109" t="s">
        <v>655</v>
      </c>
      <c r="Q109" t="s">
        <v>2024</v>
      </c>
      <c r="R109" t="s">
        <v>287</v>
      </c>
      <c r="S109" t="s">
        <v>287</v>
      </c>
      <c r="T109" t="s">
        <v>287</v>
      </c>
      <c r="U109"/>
      <c r="V109"/>
      <c r="W109"/>
      <c r="X109"/>
      <c r="Y109"/>
      <c r="Z109"/>
      <c r="AA109" t="s">
        <v>287</v>
      </c>
      <c r="AB109"/>
      <c r="AC109"/>
      <c r="AD109"/>
      <c r="AE109"/>
      <c r="AF109" t="s">
        <v>706</v>
      </c>
      <c r="AG109" t="s">
        <v>1068</v>
      </c>
      <c r="AH109" t="s">
        <v>2025</v>
      </c>
      <c r="AI109" t="s">
        <v>706</v>
      </c>
      <c r="AJ109" t="s">
        <v>1068</v>
      </c>
      <c r="AK109" t="s">
        <v>2025</v>
      </c>
      <c r="AL109" t="s">
        <v>706</v>
      </c>
      <c r="AM109" t="s">
        <v>1068</v>
      </c>
      <c r="AN109" t="s">
        <v>2025</v>
      </c>
      <c r="AO109" t="s">
        <v>299</v>
      </c>
      <c r="AP109" t="s">
        <v>388</v>
      </c>
      <c r="AQ109" t="s">
        <v>604</v>
      </c>
      <c r="AR109" t="s">
        <v>1458</v>
      </c>
      <c r="AS109" t="s">
        <v>1629</v>
      </c>
      <c r="AT109" t="s">
        <v>1509</v>
      </c>
      <c r="AU109" t="s">
        <v>354</v>
      </c>
      <c r="AV109"/>
      <c r="AW109" t="s">
        <v>610</v>
      </c>
      <c r="AX109" t="s">
        <v>611</v>
      </c>
      <c r="AY109" t="s">
        <v>330</v>
      </c>
      <c r="AZ109" t="s">
        <v>331</v>
      </c>
      <c r="BA109" t="s">
        <v>444</v>
      </c>
      <c r="BB109" t="s">
        <v>445</v>
      </c>
      <c r="BC109" t="s">
        <v>312</v>
      </c>
      <c r="BD109" t="s">
        <v>353</v>
      </c>
      <c r="BE109" t="s">
        <v>1895</v>
      </c>
      <c r="BF109" t="s">
        <v>314</v>
      </c>
      <c r="BG109"/>
      <c r="BH109"/>
      <c r="BI109"/>
      <c r="BJ109"/>
      <c r="BK109"/>
      <c r="BL109"/>
      <c r="BM109" t="s">
        <v>305</v>
      </c>
      <c r="BN109" t="s">
        <v>354</v>
      </c>
      <c r="BO109" t="s">
        <v>2026</v>
      </c>
      <c r="BP109"/>
      <c r="BQ109"/>
      <c r="BR109">
        <v>7.7</v>
      </c>
      <c r="BS109">
        <v>7</v>
      </c>
      <c r="BT109">
        <v>4.8</v>
      </c>
      <c r="BU109">
        <v>8.3000000000000007</v>
      </c>
      <c r="BV109">
        <v>7.6</v>
      </c>
      <c r="BW109">
        <v>9.1</v>
      </c>
      <c r="BX109">
        <v>0</v>
      </c>
      <c r="BY109">
        <v>6.5</v>
      </c>
      <c r="BZ109">
        <v>0</v>
      </c>
      <c r="CA109">
        <v>7.9</v>
      </c>
      <c r="CB109">
        <v>0</v>
      </c>
      <c r="CC109">
        <v>8.4</v>
      </c>
      <c r="CD109">
        <v>0</v>
      </c>
      <c r="CE109">
        <v>0</v>
      </c>
      <c r="CF109">
        <v>0</v>
      </c>
      <c r="CG109">
        <v>0</v>
      </c>
      <c r="CH109">
        <v>0</v>
      </c>
      <c r="CI109">
        <v>0</v>
      </c>
      <c r="CJ109">
        <v>0</v>
      </c>
      <c r="CK109">
        <v>0</v>
      </c>
      <c r="CL109">
        <v>0</v>
      </c>
      <c r="CM109">
        <v>7.2</v>
      </c>
      <c r="CN109">
        <v>7.6</v>
      </c>
      <c r="CO109">
        <v>5.2</v>
      </c>
      <c r="CP109">
        <v>8.1</v>
      </c>
      <c r="CQ109">
        <v>8.4</v>
      </c>
      <c r="CR109">
        <v>9</v>
      </c>
      <c r="CS109">
        <v>0</v>
      </c>
      <c r="CT109">
        <v>6.3</v>
      </c>
      <c r="CU109">
        <v>0</v>
      </c>
      <c r="CV109">
        <v>8.1</v>
      </c>
      <c r="CW109">
        <v>0</v>
      </c>
      <c r="CX109">
        <v>9.5</v>
      </c>
      <c r="CY109">
        <v>0</v>
      </c>
      <c r="CZ109">
        <v>0</v>
      </c>
      <c r="DA109">
        <v>0</v>
      </c>
      <c r="DB109">
        <v>0</v>
      </c>
      <c r="DC109">
        <v>0</v>
      </c>
      <c r="DD109">
        <v>0</v>
      </c>
      <c r="DE109">
        <v>0</v>
      </c>
      <c r="DF109">
        <v>0</v>
      </c>
      <c r="DG109">
        <v>0</v>
      </c>
      <c r="DH109">
        <v>6.3</v>
      </c>
      <c r="DI109">
        <v>8.4</v>
      </c>
      <c r="DJ109">
        <v>6.2</v>
      </c>
      <c r="DK109">
        <v>8.4</v>
      </c>
      <c r="DL109">
        <v>7.7</v>
      </c>
      <c r="DM109">
        <v>8</v>
      </c>
      <c r="DN109">
        <v>0</v>
      </c>
      <c r="DO109">
        <v>6.5</v>
      </c>
      <c r="DP109">
        <v>0</v>
      </c>
      <c r="DQ109">
        <v>7.7</v>
      </c>
      <c r="DR109">
        <v>0</v>
      </c>
      <c r="DS109">
        <v>9</v>
      </c>
      <c r="DT109">
        <v>0</v>
      </c>
      <c r="DU109">
        <v>0</v>
      </c>
      <c r="DV109">
        <v>0</v>
      </c>
      <c r="DW109">
        <v>0</v>
      </c>
      <c r="DX109">
        <v>0</v>
      </c>
      <c r="DY109">
        <v>0</v>
      </c>
      <c r="DZ109">
        <v>0</v>
      </c>
      <c r="EA109">
        <v>0</v>
      </c>
      <c r="EB109">
        <v>0</v>
      </c>
      <c r="EC109">
        <v>7</v>
      </c>
      <c r="ED109"/>
      <c r="EE109">
        <v>4.75</v>
      </c>
      <c r="EF109"/>
      <c r="EG109"/>
      <c r="EH109"/>
      <c r="EI109"/>
      <c r="EJ109">
        <v>5.35</v>
      </c>
      <c r="EK109"/>
      <c r="EL109"/>
      <c r="EM109"/>
      <c r="EN109"/>
      <c r="EO109"/>
      <c r="EP109"/>
      <c r="EQ109"/>
      <c r="ER109"/>
      <c r="ES109"/>
      <c r="ET109"/>
      <c r="EU109"/>
      <c r="EV109"/>
      <c r="EW109"/>
      <c r="EX109"/>
      <c r="EY109"/>
      <c r="EZ109"/>
      <c r="FA109"/>
      <c r="FB109"/>
      <c r="FC109"/>
      <c r="FD109"/>
    </row>
    <row r="110" spans="1:160" x14ac:dyDescent="0.25">
      <c r="A110" s="1" t="str">
        <f t="shared" si="1"/>
        <v>033308007672</v>
      </c>
      <c r="B110" t="s">
        <v>2027</v>
      </c>
      <c r="C110" t="s">
        <v>2028</v>
      </c>
      <c r="D110" t="s">
        <v>2029</v>
      </c>
      <c r="E110" t="s">
        <v>278</v>
      </c>
      <c r="F110" t="s">
        <v>2030</v>
      </c>
      <c r="G110" t="s">
        <v>2031</v>
      </c>
      <c r="H110" t="s">
        <v>2032</v>
      </c>
      <c r="I110" t="s">
        <v>118</v>
      </c>
      <c r="J110" t="s">
        <v>2033</v>
      </c>
      <c r="K110" t="s">
        <v>516</v>
      </c>
      <c r="L110"/>
      <c r="M110" t="s">
        <v>287</v>
      </c>
      <c r="N110" t="s">
        <v>288</v>
      </c>
      <c r="O110"/>
      <c r="P110" t="s">
        <v>289</v>
      </c>
      <c r="Q110" t="s">
        <v>2034</v>
      </c>
      <c r="R110" t="s">
        <v>287</v>
      </c>
      <c r="S110" t="s">
        <v>287</v>
      </c>
      <c r="T110" t="s">
        <v>287</v>
      </c>
      <c r="U110"/>
      <c r="V110"/>
      <c r="W110"/>
      <c r="X110"/>
      <c r="Y110"/>
      <c r="Z110"/>
      <c r="AA110" t="s">
        <v>287</v>
      </c>
      <c r="AB110"/>
      <c r="AC110"/>
      <c r="AD110"/>
      <c r="AE110"/>
      <c r="AF110" t="s">
        <v>2035</v>
      </c>
      <c r="AG110" t="s">
        <v>1861</v>
      </c>
      <c r="AH110" t="s">
        <v>2036</v>
      </c>
      <c r="AI110" t="s">
        <v>2035</v>
      </c>
      <c r="AJ110" t="s">
        <v>1861</v>
      </c>
      <c r="AK110" t="s">
        <v>2036</v>
      </c>
      <c r="AL110" t="s">
        <v>2035</v>
      </c>
      <c r="AM110" t="s">
        <v>1861</v>
      </c>
      <c r="AN110" t="s">
        <v>2036</v>
      </c>
      <c r="AO110" t="s">
        <v>299</v>
      </c>
      <c r="AP110" t="s">
        <v>603</v>
      </c>
      <c r="AQ110" t="s">
        <v>712</v>
      </c>
      <c r="AR110" t="s">
        <v>505</v>
      </c>
      <c r="AS110" t="s">
        <v>1642</v>
      </c>
      <c r="AT110" t="s">
        <v>2037</v>
      </c>
      <c r="AU110" t="s">
        <v>354</v>
      </c>
      <c r="AV110"/>
      <c r="AW110" t="s">
        <v>332</v>
      </c>
      <c r="AX110" t="s">
        <v>333</v>
      </c>
      <c r="AY110"/>
      <c r="AZ110"/>
      <c r="BA110"/>
      <c r="BB110"/>
      <c r="BC110" t="s">
        <v>669</v>
      </c>
      <c r="BD110" t="s">
        <v>353</v>
      </c>
      <c r="BE110"/>
      <c r="BF110" t="s">
        <v>314</v>
      </c>
      <c r="BG110"/>
      <c r="BH110"/>
      <c r="BI110"/>
      <c r="BJ110"/>
      <c r="BK110"/>
      <c r="BL110"/>
      <c r="BM110" t="s">
        <v>305</v>
      </c>
      <c r="BN110" t="s">
        <v>354</v>
      </c>
      <c r="BO110" t="s">
        <v>2038</v>
      </c>
      <c r="BP110"/>
      <c r="BQ110"/>
      <c r="BR110">
        <v>8.9</v>
      </c>
      <c r="BS110">
        <v>7.6</v>
      </c>
      <c r="BT110">
        <v>9.4</v>
      </c>
      <c r="BU110">
        <v>9</v>
      </c>
      <c r="BV110">
        <v>8.6</v>
      </c>
      <c r="BW110">
        <v>8.9</v>
      </c>
      <c r="BX110">
        <v>8.4</v>
      </c>
      <c r="BY110">
        <v>7.7</v>
      </c>
      <c r="BZ110">
        <v>0</v>
      </c>
      <c r="CA110">
        <v>0</v>
      </c>
      <c r="CB110">
        <v>0</v>
      </c>
      <c r="CC110">
        <v>8.8000000000000007</v>
      </c>
      <c r="CD110">
        <v>0</v>
      </c>
      <c r="CE110">
        <v>0</v>
      </c>
      <c r="CF110">
        <v>0</v>
      </c>
      <c r="CG110">
        <v>0</v>
      </c>
      <c r="CH110">
        <v>0</v>
      </c>
      <c r="CI110">
        <v>0</v>
      </c>
      <c r="CJ110">
        <v>0</v>
      </c>
      <c r="CK110">
        <v>0</v>
      </c>
      <c r="CL110">
        <v>0</v>
      </c>
      <c r="CM110">
        <v>8.5</v>
      </c>
      <c r="CN110">
        <v>7.9</v>
      </c>
      <c r="CO110">
        <v>9.5</v>
      </c>
      <c r="CP110">
        <v>9.3000000000000007</v>
      </c>
      <c r="CQ110">
        <v>8.1999999999999993</v>
      </c>
      <c r="CR110">
        <v>8.8000000000000007</v>
      </c>
      <c r="CS110">
        <v>9.1999999999999993</v>
      </c>
      <c r="CT110">
        <v>6.7</v>
      </c>
      <c r="CU110">
        <v>0</v>
      </c>
      <c r="CV110">
        <v>0</v>
      </c>
      <c r="CW110">
        <v>0</v>
      </c>
      <c r="CX110">
        <v>8.6</v>
      </c>
      <c r="CY110">
        <v>0</v>
      </c>
      <c r="CZ110">
        <v>0</v>
      </c>
      <c r="DA110">
        <v>0</v>
      </c>
      <c r="DB110">
        <v>0</v>
      </c>
      <c r="DC110">
        <v>0</v>
      </c>
      <c r="DD110">
        <v>0</v>
      </c>
      <c r="DE110">
        <v>0</v>
      </c>
      <c r="DF110">
        <v>0</v>
      </c>
      <c r="DG110">
        <v>0</v>
      </c>
      <c r="DH110">
        <v>8.9</v>
      </c>
      <c r="DI110">
        <v>7.7</v>
      </c>
      <c r="DJ110">
        <v>9.6</v>
      </c>
      <c r="DK110">
        <v>9</v>
      </c>
      <c r="DL110">
        <v>8.9</v>
      </c>
      <c r="DM110">
        <v>8.4</v>
      </c>
      <c r="DN110">
        <v>8.6</v>
      </c>
      <c r="DO110">
        <v>8</v>
      </c>
      <c r="DP110">
        <v>0</v>
      </c>
      <c r="DQ110">
        <v>0</v>
      </c>
      <c r="DR110">
        <v>0</v>
      </c>
      <c r="DS110">
        <v>8.8000000000000007</v>
      </c>
      <c r="DT110">
        <v>0</v>
      </c>
      <c r="DU110">
        <v>0</v>
      </c>
      <c r="DV110">
        <v>0</v>
      </c>
      <c r="DW110">
        <v>0</v>
      </c>
      <c r="DX110">
        <v>0</v>
      </c>
      <c r="DY110">
        <v>0</v>
      </c>
      <c r="DZ110">
        <v>0</v>
      </c>
      <c r="EA110">
        <v>0</v>
      </c>
      <c r="EB110">
        <v>0</v>
      </c>
      <c r="EC110">
        <v>7.75</v>
      </c>
      <c r="ED110">
        <v>8.25</v>
      </c>
      <c r="EE110">
        <v>7.5</v>
      </c>
      <c r="EF110"/>
      <c r="EG110"/>
      <c r="EH110"/>
      <c r="EI110">
        <v>5.75</v>
      </c>
      <c r="EJ110"/>
      <c r="EK110"/>
      <c r="EL110"/>
      <c r="EM110"/>
      <c r="EN110"/>
      <c r="EO110"/>
      <c r="EP110"/>
      <c r="EQ110"/>
      <c r="ER110"/>
      <c r="ES110"/>
      <c r="ET110"/>
      <c r="EU110"/>
      <c r="EV110"/>
      <c r="EW110"/>
      <c r="EX110"/>
      <c r="EY110"/>
      <c r="EZ110"/>
      <c r="FA110"/>
      <c r="FB110"/>
      <c r="FC110"/>
      <c r="FD110"/>
    </row>
    <row r="111" spans="1:160" x14ac:dyDescent="0.25">
      <c r="A111" s="1" t="str">
        <f t="shared" si="1"/>
        <v>084308001622</v>
      </c>
      <c r="B111" t="s">
        <v>2039</v>
      </c>
      <c r="C111" t="s">
        <v>1068</v>
      </c>
      <c r="D111" t="s">
        <v>2040</v>
      </c>
      <c r="E111" t="s">
        <v>278</v>
      </c>
      <c r="F111" t="s">
        <v>2041</v>
      </c>
      <c r="G111" t="s">
        <v>2042</v>
      </c>
      <c r="H111" t="s">
        <v>2043</v>
      </c>
      <c r="I111" t="s">
        <v>75</v>
      </c>
      <c r="J111" t="s">
        <v>2044</v>
      </c>
      <c r="K111" t="s">
        <v>476</v>
      </c>
      <c r="L111"/>
      <c r="M111" t="s">
        <v>287</v>
      </c>
      <c r="N111" t="s">
        <v>288</v>
      </c>
      <c r="O111"/>
      <c r="P111" t="s">
        <v>289</v>
      </c>
      <c r="Q111" t="s">
        <v>2045</v>
      </c>
      <c r="R111" t="s">
        <v>287</v>
      </c>
      <c r="S111" t="s">
        <v>287</v>
      </c>
      <c r="T111" t="s">
        <v>287</v>
      </c>
      <c r="U111" t="s">
        <v>2046</v>
      </c>
      <c r="V111" t="s">
        <v>2047</v>
      </c>
      <c r="W111" t="s">
        <v>2048</v>
      </c>
      <c r="X111" t="s">
        <v>2049</v>
      </c>
      <c r="Y111" t="s">
        <v>2050</v>
      </c>
      <c r="Z111" t="s">
        <v>2051</v>
      </c>
      <c r="AA111" t="s">
        <v>287</v>
      </c>
      <c r="AB111"/>
      <c r="AC111"/>
      <c r="AD111"/>
      <c r="AE111"/>
      <c r="AF111" t="s">
        <v>856</v>
      </c>
      <c r="AG111" t="s">
        <v>1355</v>
      </c>
      <c r="AH111" t="s">
        <v>2052</v>
      </c>
      <c r="AI111" t="s">
        <v>856</v>
      </c>
      <c r="AJ111" t="s">
        <v>1355</v>
      </c>
      <c r="AK111" t="s">
        <v>2052</v>
      </c>
      <c r="AL111" t="s">
        <v>856</v>
      </c>
      <c r="AM111" t="s">
        <v>1355</v>
      </c>
      <c r="AN111" t="s">
        <v>2052</v>
      </c>
      <c r="AO111" t="s">
        <v>299</v>
      </c>
      <c r="AP111" t="s">
        <v>603</v>
      </c>
      <c r="AQ111" t="s">
        <v>873</v>
      </c>
      <c r="AR111" t="s">
        <v>873</v>
      </c>
      <c r="AS111" t="s">
        <v>1120</v>
      </c>
      <c r="AT111" t="s">
        <v>463</v>
      </c>
      <c r="AU111" t="s">
        <v>305</v>
      </c>
      <c r="AV111"/>
      <c r="AW111" t="s">
        <v>349</v>
      </c>
      <c r="AX111" t="s">
        <v>350</v>
      </c>
      <c r="AY111"/>
      <c r="AZ111"/>
      <c r="BA111"/>
      <c r="BB111"/>
      <c r="BC111" t="s">
        <v>312</v>
      </c>
      <c r="BD111" t="s">
        <v>353</v>
      </c>
      <c r="BE111" t="s">
        <v>2053</v>
      </c>
      <c r="BF111" t="s">
        <v>314</v>
      </c>
      <c r="BG111"/>
      <c r="BH111"/>
      <c r="BI111"/>
      <c r="BJ111"/>
      <c r="BK111"/>
      <c r="BL111"/>
      <c r="BM111" t="s">
        <v>305</v>
      </c>
      <c r="BN111" t="s">
        <v>354</v>
      </c>
      <c r="BO111" t="s">
        <v>2054</v>
      </c>
      <c r="BP111" t="s">
        <v>2055</v>
      </c>
      <c r="BQ111"/>
      <c r="BR111">
        <v>6.6</v>
      </c>
      <c r="BS111">
        <v>6.5</v>
      </c>
      <c r="BT111">
        <v>7.2</v>
      </c>
      <c r="BU111">
        <v>9</v>
      </c>
      <c r="BV111">
        <v>8.6999999999999993</v>
      </c>
      <c r="BW111">
        <v>0</v>
      </c>
      <c r="BX111">
        <v>8</v>
      </c>
      <c r="BY111">
        <v>0</v>
      </c>
      <c r="BZ111">
        <v>8.1</v>
      </c>
      <c r="CA111">
        <v>8.6999999999999993</v>
      </c>
      <c r="CB111">
        <v>9</v>
      </c>
      <c r="CC111">
        <v>0</v>
      </c>
      <c r="CD111">
        <v>0</v>
      </c>
      <c r="CE111">
        <v>0</v>
      </c>
      <c r="CF111">
        <v>0</v>
      </c>
      <c r="CG111">
        <v>0</v>
      </c>
      <c r="CH111">
        <v>0</v>
      </c>
      <c r="CI111">
        <v>0</v>
      </c>
      <c r="CJ111">
        <v>0</v>
      </c>
      <c r="CK111">
        <v>0</v>
      </c>
      <c r="CL111">
        <v>0</v>
      </c>
      <c r="CM111">
        <v>8.1999999999999993</v>
      </c>
      <c r="CN111">
        <v>7</v>
      </c>
      <c r="CO111">
        <v>7.4</v>
      </c>
      <c r="CP111">
        <v>9.1999999999999993</v>
      </c>
      <c r="CQ111">
        <v>9.4</v>
      </c>
      <c r="CR111">
        <v>0</v>
      </c>
      <c r="CS111">
        <v>9</v>
      </c>
      <c r="CT111">
        <v>0</v>
      </c>
      <c r="CU111">
        <v>8.6999999999999993</v>
      </c>
      <c r="CV111">
        <v>8.9</v>
      </c>
      <c r="CW111">
        <v>9.1</v>
      </c>
      <c r="CX111">
        <v>0</v>
      </c>
      <c r="CY111">
        <v>0</v>
      </c>
      <c r="CZ111">
        <v>0</v>
      </c>
      <c r="DA111">
        <v>0</v>
      </c>
      <c r="DB111">
        <v>0</v>
      </c>
      <c r="DC111">
        <v>0</v>
      </c>
      <c r="DD111">
        <v>0</v>
      </c>
      <c r="DE111">
        <v>0</v>
      </c>
      <c r="DF111">
        <v>0</v>
      </c>
      <c r="DG111">
        <v>0</v>
      </c>
      <c r="DH111">
        <v>9.4</v>
      </c>
      <c r="DI111">
        <v>7.3</v>
      </c>
      <c r="DJ111">
        <v>6.5</v>
      </c>
      <c r="DK111">
        <v>9.3000000000000007</v>
      </c>
      <c r="DL111">
        <v>9.6</v>
      </c>
      <c r="DM111">
        <v>0</v>
      </c>
      <c r="DN111">
        <v>8.3000000000000007</v>
      </c>
      <c r="DO111">
        <v>0</v>
      </c>
      <c r="DP111">
        <v>8</v>
      </c>
      <c r="DQ111">
        <v>8.4</v>
      </c>
      <c r="DR111">
        <v>9.1999999999999993</v>
      </c>
      <c r="DS111">
        <v>0</v>
      </c>
      <c r="DT111">
        <v>0</v>
      </c>
      <c r="DU111">
        <v>0</v>
      </c>
      <c r="DV111">
        <v>0</v>
      </c>
      <c r="DW111">
        <v>0</v>
      </c>
      <c r="DX111">
        <v>0</v>
      </c>
      <c r="DY111">
        <v>0</v>
      </c>
      <c r="DZ111">
        <v>0</v>
      </c>
      <c r="EA111">
        <v>0</v>
      </c>
      <c r="EB111">
        <v>0</v>
      </c>
      <c r="EC111">
        <v>7.5</v>
      </c>
      <c r="ED111">
        <v>6.5</v>
      </c>
      <c r="EE111"/>
      <c r="EF111"/>
      <c r="EG111"/>
      <c r="EH111"/>
      <c r="EI111"/>
      <c r="EJ111"/>
      <c r="EK111">
        <v>7.5</v>
      </c>
      <c r="EL111">
        <v>6.75</v>
      </c>
      <c r="EM111"/>
      <c r="EN111"/>
      <c r="EO111"/>
      <c r="EP111"/>
      <c r="EQ111"/>
      <c r="ER111"/>
      <c r="ES111"/>
      <c r="ET111"/>
      <c r="EU111"/>
      <c r="EV111"/>
      <c r="EW111"/>
      <c r="EX111"/>
      <c r="EY111"/>
      <c r="EZ111"/>
      <c r="FA111"/>
      <c r="FB111"/>
      <c r="FC111"/>
      <c r="FD111"/>
    </row>
    <row r="112" spans="1:160" x14ac:dyDescent="0.25">
      <c r="A112" s="1" t="str">
        <f t="shared" si="1"/>
        <v>087308002819</v>
      </c>
      <c r="B112" t="s">
        <v>2057</v>
      </c>
      <c r="C112" t="s">
        <v>2058</v>
      </c>
      <c r="D112" t="s">
        <v>2059</v>
      </c>
      <c r="E112" t="s">
        <v>278</v>
      </c>
      <c r="F112" t="s">
        <v>718</v>
      </c>
      <c r="G112" t="s">
        <v>2060</v>
      </c>
      <c r="H112" t="s">
        <v>2061</v>
      </c>
      <c r="I112" t="s">
        <v>2062</v>
      </c>
      <c r="J112" t="s">
        <v>2063</v>
      </c>
      <c r="K112" t="s">
        <v>516</v>
      </c>
      <c r="L112"/>
      <c r="M112" t="s">
        <v>287</v>
      </c>
      <c r="N112" t="s">
        <v>288</v>
      </c>
      <c r="O112"/>
      <c r="P112" t="s">
        <v>289</v>
      </c>
      <c r="Q112"/>
      <c r="R112" t="s">
        <v>287</v>
      </c>
      <c r="S112" t="s">
        <v>287</v>
      </c>
      <c r="T112" t="s">
        <v>287</v>
      </c>
      <c r="U112"/>
      <c r="V112"/>
      <c r="W112"/>
      <c r="X112"/>
      <c r="Y112"/>
      <c r="Z112"/>
      <c r="AA112" t="s">
        <v>287</v>
      </c>
      <c r="AB112"/>
      <c r="AC112"/>
      <c r="AD112"/>
      <c r="AE112"/>
      <c r="AF112" t="s">
        <v>323</v>
      </c>
      <c r="AG112" t="s">
        <v>2064</v>
      </c>
      <c r="AH112" t="s">
        <v>2065</v>
      </c>
      <c r="AI112" t="s">
        <v>323</v>
      </c>
      <c r="AJ112" t="s">
        <v>2064</v>
      </c>
      <c r="AK112" t="s">
        <v>2065</v>
      </c>
      <c r="AL112" t="s">
        <v>323</v>
      </c>
      <c r="AM112" t="s">
        <v>2064</v>
      </c>
      <c r="AN112" t="s">
        <v>2065</v>
      </c>
      <c r="AO112" t="s">
        <v>299</v>
      </c>
      <c r="AP112" t="s">
        <v>388</v>
      </c>
      <c r="AQ112" t="s">
        <v>389</v>
      </c>
      <c r="AR112" t="s">
        <v>1987</v>
      </c>
      <c r="AS112" t="s">
        <v>2066</v>
      </c>
      <c r="AT112" t="s">
        <v>2067</v>
      </c>
      <c r="AU112" t="s">
        <v>354</v>
      </c>
      <c r="AV112"/>
      <c r="AW112" t="s">
        <v>332</v>
      </c>
      <c r="AX112" t="s">
        <v>333</v>
      </c>
      <c r="AY112" t="s">
        <v>562</v>
      </c>
      <c r="AZ112" t="s">
        <v>563</v>
      </c>
      <c r="BA112" t="s">
        <v>610</v>
      </c>
      <c r="BB112" t="s">
        <v>611</v>
      </c>
      <c r="BC112" t="s">
        <v>669</v>
      </c>
      <c r="BD112" t="s">
        <v>353</v>
      </c>
      <c r="BE112" t="s">
        <v>2068</v>
      </c>
      <c r="BF112" t="s">
        <v>314</v>
      </c>
      <c r="BG112"/>
      <c r="BH112"/>
      <c r="BI112"/>
      <c r="BJ112"/>
      <c r="BK112"/>
      <c r="BL112"/>
      <c r="BM112" t="s">
        <v>305</v>
      </c>
      <c r="BN112" t="s">
        <v>354</v>
      </c>
      <c r="BO112" t="s">
        <v>2069</v>
      </c>
      <c r="BP112"/>
      <c r="BQ112"/>
      <c r="BR112">
        <v>4.0999999999999996</v>
      </c>
      <c r="BS112">
        <v>7.6</v>
      </c>
      <c r="BT112">
        <v>6</v>
      </c>
      <c r="BU112">
        <v>7.5</v>
      </c>
      <c r="BV112">
        <v>6.9</v>
      </c>
      <c r="BW112">
        <v>6.5</v>
      </c>
      <c r="BX112">
        <v>5.9</v>
      </c>
      <c r="BY112">
        <v>4.5</v>
      </c>
      <c r="BZ112">
        <v>0</v>
      </c>
      <c r="CA112">
        <v>0</v>
      </c>
      <c r="CB112">
        <v>0</v>
      </c>
      <c r="CC112">
        <v>8.1999999999999993</v>
      </c>
      <c r="CD112">
        <v>0</v>
      </c>
      <c r="CE112">
        <v>0</v>
      </c>
      <c r="CF112">
        <v>0</v>
      </c>
      <c r="CG112">
        <v>0</v>
      </c>
      <c r="CH112">
        <v>0</v>
      </c>
      <c r="CI112">
        <v>0</v>
      </c>
      <c r="CJ112">
        <v>0</v>
      </c>
      <c r="CK112">
        <v>0</v>
      </c>
      <c r="CL112">
        <v>0</v>
      </c>
      <c r="CM112">
        <v>5.0999999999999996</v>
      </c>
      <c r="CN112">
        <v>7.1</v>
      </c>
      <c r="CO112">
        <v>4.0999999999999996</v>
      </c>
      <c r="CP112">
        <v>6.4</v>
      </c>
      <c r="CQ112">
        <v>7.1</v>
      </c>
      <c r="CR112">
        <v>7.3</v>
      </c>
      <c r="CS112">
        <v>6.4</v>
      </c>
      <c r="CT112">
        <v>4.9000000000000004</v>
      </c>
      <c r="CU112">
        <v>0</v>
      </c>
      <c r="CV112">
        <v>0</v>
      </c>
      <c r="CW112">
        <v>0</v>
      </c>
      <c r="CX112">
        <v>8.1</v>
      </c>
      <c r="CY112">
        <v>0</v>
      </c>
      <c r="CZ112">
        <v>0</v>
      </c>
      <c r="DA112">
        <v>0</v>
      </c>
      <c r="DB112">
        <v>0</v>
      </c>
      <c r="DC112">
        <v>0</v>
      </c>
      <c r="DD112">
        <v>0</v>
      </c>
      <c r="DE112">
        <v>0</v>
      </c>
      <c r="DF112">
        <v>0</v>
      </c>
      <c r="DG112">
        <v>0</v>
      </c>
      <c r="DH112">
        <v>7.2</v>
      </c>
      <c r="DI112">
        <v>7.5</v>
      </c>
      <c r="DJ112">
        <v>7.4</v>
      </c>
      <c r="DK112">
        <v>9.6</v>
      </c>
      <c r="DL112">
        <v>7</v>
      </c>
      <c r="DM112">
        <v>6.8</v>
      </c>
      <c r="DN112">
        <v>7.1</v>
      </c>
      <c r="DO112">
        <v>7.3</v>
      </c>
      <c r="DP112">
        <v>0</v>
      </c>
      <c r="DQ112">
        <v>0</v>
      </c>
      <c r="DR112">
        <v>0</v>
      </c>
      <c r="DS112">
        <v>8.9</v>
      </c>
      <c r="DT112">
        <v>0</v>
      </c>
      <c r="DU112">
        <v>0</v>
      </c>
      <c r="DV112">
        <v>0</v>
      </c>
      <c r="DW112">
        <v>0</v>
      </c>
      <c r="DX112">
        <v>0</v>
      </c>
      <c r="DY112">
        <v>0</v>
      </c>
      <c r="DZ112">
        <v>0</v>
      </c>
      <c r="EA112">
        <v>0</v>
      </c>
      <c r="EB112">
        <v>0</v>
      </c>
      <c r="EC112">
        <v>1.8</v>
      </c>
      <c r="ED112">
        <v>7.25</v>
      </c>
      <c r="EE112">
        <v>0</v>
      </c>
      <c r="EF112"/>
      <c r="EG112">
        <v>7.25</v>
      </c>
      <c r="EH112"/>
      <c r="EI112">
        <v>4</v>
      </c>
      <c r="EJ112">
        <v>0</v>
      </c>
      <c r="EK112">
        <v>0</v>
      </c>
      <c r="EL112">
        <v>0</v>
      </c>
      <c r="EM112"/>
      <c r="EN112">
        <v>0</v>
      </c>
      <c r="EO112"/>
      <c r="EP112"/>
      <c r="EQ112"/>
      <c r="ER112"/>
      <c r="ES112"/>
      <c r="ET112"/>
      <c r="EU112"/>
      <c r="EV112"/>
      <c r="EW112"/>
      <c r="EX112"/>
      <c r="EY112"/>
      <c r="EZ112"/>
      <c r="FA112"/>
      <c r="FB112"/>
      <c r="FC112"/>
      <c r="FD112"/>
    </row>
    <row r="113" spans="1:160" x14ac:dyDescent="0.25">
      <c r="A113" s="1" t="str">
        <f t="shared" si="1"/>
        <v>066208001338</v>
      </c>
      <c r="B113" t="s">
        <v>2074</v>
      </c>
      <c r="C113" t="s">
        <v>2075</v>
      </c>
      <c r="D113" t="s">
        <v>2076</v>
      </c>
      <c r="E113" t="s">
        <v>280</v>
      </c>
      <c r="F113" t="s">
        <v>2077</v>
      </c>
      <c r="G113" t="s">
        <v>2078</v>
      </c>
      <c r="H113" t="s">
        <v>2079</v>
      </c>
      <c r="I113" t="s">
        <v>109</v>
      </c>
      <c r="J113" t="s">
        <v>2080</v>
      </c>
      <c r="K113" t="s">
        <v>516</v>
      </c>
      <c r="L113"/>
      <c r="M113" t="s">
        <v>287</v>
      </c>
      <c r="N113" t="s">
        <v>288</v>
      </c>
      <c r="O113"/>
      <c r="P113" t="s">
        <v>289</v>
      </c>
      <c r="Q113" t="s">
        <v>2081</v>
      </c>
      <c r="R113" t="s">
        <v>742</v>
      </c>
      <c r="S113" t="s">
        <v>289</v>
      </c>
      <c r="T113" t="s">
        <v>2082</v>
      </c>
      <c r="U113"/>
      <c r="V113"/>
      <c r="W113"/>
      <c r="X113"/>
      <c r="Y113"/>
      <c r="Z113"/>
      <c r="AA113" t="s">
        <v>287</v>
      </c>
      <c r="AB113"/>
      <c r="AC113"/>
      <c r="AD113"/>
      <c r="AE113"/>
      <c r="AF113" t="s">
        <v>1303</v>
      </c>
      <c r="AG113" t="s">
        <v>2083</v>
      </c>
      <c r="AH113" t="s">
        <v>2084</v>
      </c>
      <c r="AI113" t="s">
        <v>1303</v>
      </c>
      <c r="AJ113" t="s">
        <v>2083</v>
      </c>
      <c r="AK113" t="s">
        <v>2084</v>
      </c>
      <c r="AL113" t="s">
        <v>1303</v>
      </c>
      <c r="AM113" t="s">
        <v>2083</v>
      </c>
      <c r="AN113" t="s">
        <v>2084</v>
      </c>
      <c r="AO113" t="s">
        <v>299</v>
      </c>
      <c r="AP113" t="s">
        <v>300</v>
      </c>
      <c r="AQ113" t="s">
        <v>1928</v>
      </c>
      <c r="AR113" t="s">
        <v>931</v>
      </c>
      <c r="AS113" t="s">
        <v>1562</v>
      </c>
      <c r="AT113" t="s">
        <v>1120</v>
      </c>
      <c r="AU113" t="s">
        <v>354</v>
      </c>
      <c r="AV113"/>
      <c r="AW113" t="s">
        <v>330</v>
      </c>
      <c r="AX113" t="s">
        <v>331</v>
      </c>
      <c r="AY113"/>
      <c r="AZ113"/>
      <c r="BA113"/>
      <c r="BB113"/>
      <c r="BC113" t="s">
        <v>312</v>
      </c>
      <c r="BD113" t="s">
        <v>353</v>
      </c>
      <c r="BE113"/>
      <c r="BF113" t="s">
        <v>314</v>
      </c>
      <c r="BG113"/>
      <c r="BH113"/>
      <c r="BI113"/>
      <c r="BJ113"/>
      <c r="BK113"/>
      <c r="BL113"/>
      <c r="BM113" t="s">
        <v>305</v>
      </c>
      <c r="BN113" t="s">
        <v>354</v>
      </c>
      <c r="BO113" t="s">
        <v>2085</v>
      </c>
      <c r="BP113"/>
      <c r="BQ113"/>
      <c r="BR113">
        <v>9.5</v>
      </c>
      <c r="BS113">
        <v>6.8</v>
      </c>
      <c r="BT113">
        <v>7.9</v>
      </c>
      <c r="BU113">
        <v>6.6</v>
      </c>
      <c r="BV113">
        <v>8.5</v>
      </c>
      <c r="BW113">
        <v>8.8000000000000007</v>
      </c>
      <c r="BX113">
        <v>0</v>
      </c>
      <c r="BY113">
        <v>8.4</v>
      </c>
      <c r="BZ113">
        <v>7.9</v>
      </c>
      <c r="CA113">
        <v>0</v>
      </c>
      <c r="CB113">
        <v>0</v>
      </c>
      <c r="CC113">
        <v>8.8000000000000007</v>
      </c>
      <c r="CD113">
        <v>0</v>
      </c>
      <c r="CE113">
        <v>0</v>
      </c>
      <c r="CF113">
        <v>0</v>
      </c>
      <c r="CG113">
        <v>0</v>
      </c>
      <c r="CH113">
        <v>0</v>
      </c>
      <c r="CI113">
        <v>0</v>
      </c>
      <c r="CJ113">
        <v>0</v>
      </c>
      <c r="CK113">
        <v>0</v>
      </c>
      <c r="CL113">
        <v>0</v>
      </c>
      <c r="CM113">
        <v>9.1999999999999993</v>
      </c>
      <c r="CN113">
        <v>6.9</v>
      </c>
      <c r="CO113">
        <v>8.4</v>
      </c>
      <c r="CP113">
        <v>7.2</v>
      </c>
      <c r="CQ113">
        <v>8.1999999999999993</v>
      </c>
      <c r="CR113">
        <v>9.1999999999999993</v>
      </c>
      <c r="CS113">
        <v>0</v>
      </c>
      <c r="CT113">
        <v>8.9</v>
      </c>
      <c r="CU113">
        <v>8.1999999999999993</v>
      </c>
      <c r="CV113">
        <v>0</v>
      </c>
      <c r="CW113">
        <v>0</v>
      </c>
      <c r="CX113">
        <v>8.9</v>
      </c>
      <c r="CY113">
        <v>0</v>
      </c>
      <c r="CZ113">
        <v>0</v>
      </c>
      <c r="DA113">
        <v>0</v>
      </c>
      <c r="DB113">
        <v>0</v>
      </c>
      <c r="DC113">
        <v>0</v>
      </c>
      <c r="DD113">
        <v>0</v>
      </c>
      <c r="DE113">
        <v>0</v>
      </c>
      <c r="DF113">
        <v>0</v>
      </c>
      <c r="DG113">
        <v>0</v>
      </c>
      <c r="DH113">
        <v>8.8000000000000007</v>
      </c>
      <c r="DI113">
        <v>6.5</v>
      </c>
      <c r="DJ113">
        <v>9</v>
      </c>
      <c r="DK113">
        <v>8.6</v>
      </c>
      <c r="DL113">
        <v>8.1</v>
      </c>
      <c r="DM113">
        <v>9</v>
      </c>
      <c r="DN113">
        <v>0</v>
      </c>
      <c r="DO113">
        <v>9.3000000000000007</v>
      </c>
      <c r="DP113">
        <v>8.5</v>
      </c>
      <c r="DQ113">
        <v>0</v>
      </c>
      <c r="DR113">
        <v>0</v>
      </c>
      <c r="DS113">
        <v>9.1</v>
      </c>
      <c r="DT113">
        <v>0</v>
      </c>
      <c r="DU113">
        <v>0</v>
      </c>
      <c r="DV113">
        <v>0</v>
      </c>
      <c r="DW113">
        <v>0</v>
      </c>
      <c r="DX113">
        <v>0</v>
      </c>
      <c r="DY113">
        <v>0</v>
      </c>
      <c r="DZ113">
        <v>0</v>
      </c>
      <c r="EA113">
        <v>0</v>
      </c>
      <c r="EB113">
        <v>0</v>
      </c>
      <c r="EC113">
        <v>8.75</v>
      </c>
      <c r="ED113">
        <v>6.25</v>
      </c>
      <c r="EE113"/>
      <c r="EF113"/>
      <c r="EG113"/>
      <c r="EH113"/>
      <c r="EI113"/>
      <c r="EJ113">
        <v>7.75</v>
      </c>
      <c r="EK113">
        <v>7.5</v>
      </c>
      <c r="EL113"/>
      <c r="EM113"/>
      <c r="EN113"/>
      <c r="EO113"/>
      <c r="EP113"/>
      <c r="EQ113"/>
      <c r="ER113"/>
      <c r="ES113"/>
      <c r="ET113"/>
      <c r="EU113"/>
      <c r="EV113"/>
      <c r="EW113"/>
      <c r="EX113"/>
      <c r="EY113"/>
      <c r="EZ113"/>
      <c r="FA113"/>
      <c r="FB113"/>
      <c r="FC113"/>
      <c r="FD113"/>
    </row>
    <row r="114" spans="1:160" x14ac:dyDescent="0.25">
      <c r="A114" s="1" t="str">
        <f t="shared" si="1"/>
        <v>082207003641</v>
      </c>
      <c r="B114" t="s">
        <v>2086</v>
      </c>
      <c r="C114" t="s">
        <v>2087</v>
      </c>
      <c r="D114" t="s">
        <v>2088</v>
      </c>
      <c r="E114" t="s">
        <v>280</v>
      </c>
      <c r="F114" t="s">
        <v>2089</v>
      </c>
      <c r="G114" t="s">
        <v>2090</v>
      </c>
      <c r="H114" t="s">
        <v>2091</v>
      </c>
      <c r="I114" t="s">
        <v>2092</v>
      </c>
      <c r="J114" t="s">
        <v>2093</v>
      </c>
      <c r="K114" t="s">
        <v>321</v>
      </c>
      <c r="L114"/>
      <c r="M114" t="s">
        <v>287</v>
      </c>
      <c r="N114" t="s">
        <v>288</v>
      </c>
      <c r="O114"/>
      <c r="P114" t="s">
        <v>655</v>
      </c>
      <c r="Q114"/>
      <c r="R114" t="s">
        <v>287</v>
      </c>
      <c r="S114" t="s">
        <v>287</v>
      </c>
      <c r="T114" t="s">
        <v>287</v>
      </c>
      <c r="U114"/>
      <c r="V114"/>
      <c r="W114"/>
      <c r="X114"/>
      <c r="Y114"/>
      <c r="Z114"/>
      <c r="AA114" t="s">
        <v>287</v>
      </c>
      <c r="AB114"/>
      <c r="AC114"/>
      <c r="AD114"/>
      <c r="AE114"/>
      <c r="AF114" t="s">
        <v>323</v>
      </c>
      <c r="AG114" t="s">
        <v>1532</v>
      </c>
      <c r="AH114" t="s">
        <v>1533</v>
      </c>
      <c r="AI114" t="s">
        <v>323</v>
      </c>
      <c r="AJ114" t="s">
        <v>1532</v>
      </c>
      <c r="AK114" t="s">
        <v>1533</v>
      </c>
      <c r="AL114" t="s">
        <v>323</v>
      </c>
      <c r="AM114" t="s">
        <v>1532</v>
      </c>
      <c r="AN114" t="s">
        <v>1533</v>
      </c>
      <c r="AO114" t="s">
        <v>299</v>
      </c>
      <c r="AP114" t="s">
        <v>603</v>
      </c>
      <c r="AQ114" t="s">
        <v>1615</v>
      </c>
      <c r="AR114" t="s">
        <v>1150</v>
      </c>
      <c r="AS114" t="s">
        <v>2070</v>
      </c>
      <c r="AT114" t="s">
        <v>2094</v>
      </c>
      <c r="AU114" t="s">
        <v>354</v>
      </c>
      <c r="AV114"/>
      <c r="AW114" t="s">
        <v>308</v>
      </c>
      <c r="AX114" t="s">
        <v>309</v>
      </c>
      <c r="AY114" t="s">
        <v>562</v>
      </c>
      <c r="AZ114" t="s">
        <v>563</v>
      </c>
      <c r="BA114" t="s">
        <v>310</v>
      </c>
      <c r="BB114" t="s">
        <v>311</v>
      </c>
      <c r="BC114" t="s">
        <v>669</v>
      </c>
      <c r="BD114" t="s">
        <v>1339</v>
      </c>
      <c r="BE114" t="s">
        <v>2095</v>
      </c>
      <c r="BF114" t="s">
        <v>314</v>
      </c>
      <c r="BG114"/>
      <c r="BH114"/>
      <c r="BI114"/>
      <c r="BJ114"/>
      <c r="BK114"/>
      <c r="BL114"/>
      <c r="BM114" t="s">
        <v>354</v>
      </c>
      <c r="BN114" t="s">
        <v>354</v>
      </c>
      <c r="BO114"/>
      <c r="BP114"/>
      <c r="BQ114"/>
      <c r="BR114">
        <v>4.7</v>
      </c>
      <c r="BS114">
        <v>8.5</v>
      </c>
      <c r="BT114">
        <v>6.1</v>
      </c>
      <c r="BU114">
        <v>7.8</v>
      </c>
      <c r="BV114">
        <v>7.7</v>
      </c>
      <c r="BW114">
        <v>8.4</v>
      </c>
      <c r="BX114">
        <v>0</v>
      </c>
      <c r="BY114">
        <v>0</v>
      </c>
      <c r="BZ114">
        <v>0</v>
      </c>
      <c r="CA114">
        <v>0</v>
      </c>
      <c r="CB114">
        <v>0</v>
      </c>
      <c r="CC114">
        <v>0</v>
      </c>
      <c r="CD114">
        <v>10</v>
      </c>
      <c r="CE114">
        <v>0</v>
      </c>
      <c r="CF114">
        <v>0</v>
      </c>
      <c r="CG114">
        <v>0</v>
      </c>
      <c r="CH114">
        <v>0</v>
      </c>
      <c r="CI114">
        <v>0</v>
      </c>
      <c r="CJ114">
        <v>0</v>
      </c>
      <c r="CK114">
        <v>0</v>
      </c>
      <c r="CL114">
        <v>0</v>
      </c>
      <c r="CM114">
        <v>4.7</v>
      </c>
      <c r="CN114">
        <v>7.5</v>
      </c>
      <c r="CO114">
        <v>6</v>
      </c>
      <c r="CP114">
        <v>7.5</v>
      </c>
      <c r="CQ114">
        <v>7.3</v>
      </c>
      <c r="CR114">
        <v>8.6</v>
      </c>
      <c r="CS114">
        <v>0</v>
      </c>
      <c r="CT114">
        <v>0</v>
      </c>
      <c r="CU114">
        <v>0</v>
      </c>
      <c r="CV114">
        <v>0</v>
      </c>
      <c r="CW114">
        <v>0</v>
      </c>
      <c r="CX114">
        <v>0</v>
      </c>
      <c r="CY114">
        <v>10</v>
      </c>
      <c r="CZ114">
        <v>0</v>
      </c>
      <c r="DA114">
        <v>0</v>
      </c>
      <c r="DB114">
        <v>0</v>
      </c>
      <c r="DC114">
        <v>0</v>
      </c>
      <c r="DD114">
        <v>0</v>
      </c>
      <c r="DE114">
        <v>0</v>
      </c>
      <c r="DF114">
        <v>0</v>
      </c>
      <c r="DG114">
        <v>0</v>
      </c>
      <c r="DH114">
        <v>7.9</v>
      </c>
      <c r="DI114">
        <v>8.4</v>
      </c>
      <c r="DJ114">
        <v>7.5</v>
      </c>
      <c r="DK114">
        <v>8.9</v>
      </c>
      <c r="DL114">
        <v>9</v>
      </c>
      <c r="DM114">
        <v>8.9</v>
      </c>
      <c r="DN114">
        <v>0</v>
      </c>
      <c r="DO114">
        <v>0</v>
      </c>
      <c r="DP114">
        <v>0</v>
      </c>
      <c r="DQ114">
        <v>0</v>
      </c>
      <c r="DR114">
        <v>10</v>
      </c>
      <c r="DS114">
        <v>0</v>
      </c>
      <c r="DT114">
        <v>10</v>
      </c>
      <c r="DU114">
        <v>0</v>
      </c>
      <c r="DV114">
        <v>0</v>
      </c>
      <c r="DW114">
        <v>0</v>
      </c>
      <c r="DX114">
        <v>0</v>
      </c>
      <c r="DY114">
        <v>0</v>
      </c>
      <c r="DZ114">
        <v>0</v>
      </c>
      <c r="EA114">
        <v>0</v>
      </c>
      <c r="EB114">
        <v>0</v>
      </c>
      <c r="EC114"/>
      <c r="ED114"/>
      <c r="EE114"/>
      <c r="EF114"/>
      <c r="EG114"/>
      <c r="EH114"/>
      <c r="EI114"/>
      <c r="EJ114"/>
      <c r="EK114"/>
      <c r="EL114"/>
      <c r="EM114"/>
      <c r="EN114"/>
      <c r="EO114"/>
      <c r="EP114"/>
      <c r="EQ114"/>
      <c r="ER114"/>
      <c r="ES114"/>
      <c r="ET114"/>
      <c r="EU114"/>
      <c r="EV114"/>
      <c r="EW114"/>
      <c r="EX114"/>
      <c r="EY114"/>
      <c r="EZ114"/>
      <c r="FA114"/>
      <c r="FB114"/>
      <c r="FC114"/>
      <c r="FD114"/>
    </row>
    <row r="115" spans="1:160" x14ac:dyDescent="0.25">
      <c r="A115" s="1" t="str">
        <f t="shared" si="1"/>
        <v>089308002210</v>
      </c>
      <c r="B115" t="s">
        <v>2096</v>
      </c>
      <c r="C115" t="s">
        <v>1496</v>
      </c>
      <c r="D115" t="s">
        <v>2097</v>
      </c>
      <c r="E115" t="s">
        <v>278</v>
      </c>
      <c r="F115" t="s">
        <v>2098</v>
      </c>
      <c r="G115" t="s">
        <v>2099</v>
      </c>
      <c r="H115" t="s">
        <v>2100</v>
      </c>
      <c r="I115" t="s">
        <v>2101</v>
      </c>
      <c r="J115" t="s">
        <v>2102</v>
      </c>
      <c r="K115" t="s">
        <v>516</v>
      </c>
      <c r="L115"/>
      <c r="M115" t="s">
        <v>287</v>
      </c>
      <c r="N115" t="s">
        <v>288</v>
      </c>
      <c r="O115"/>
      <c r="P115" t="s">
        <v>289</v>
      </c>
      <c r="Q115" t="s">
        <v>2103</v>
      </c>
      <c r="R115" t="s">
        <v>287</v>
      </c>
      <c r="S115" t="s">
        <v>287</v>
      </c>
      <c r="T115" t="s">
        <v>287</v>
      </c>
      <c r="U115"/>
      <c r="V115"/>
      <c r="W115" t="s">
        <v>294</v>
      </c>
      <c r="X115" t="s">
        <v>2104</v>
      </c>
      <c r="Y115" t="s">
        <v>2105</v>
      </c>
      <c r="Z115" t="s">
        <v>2106</v>
      </c>
      <c r="AA115" t="s">
        <v>287</v>
      </c>
      <c r="AB115"/>
      <c r="AC115"/>
      <c r="AD115"/>
      <c r="AE115"/>
      <c r="AF115" t="s">
        <v>401</v>
      </c>
      <c r="AG115" t="s">
        <v>2107</v>
      </c>
      <c r="AH115" t="s">
        <v>2108</v>
      </c>
      <c r="AI115" t="s">
        <v>401</v>
      </c>
      <c r="AJ115" t="s">
        <v>2107</v>
      </c>
      <c r="AK115" t="s">
        <v>2108</v>
      </c>
      <c r="AL115" t="s">
        <v>401</v>
      </c>
      <c r="AM115" t="s">
        <v>2107</v>
      </c>
      <c r="AN115" t="s">
        <v>2108</v>
      </c>
      <c r="AO115" t="s">
        <v>299</v>
      </c>
      <c r="AP115" t="s">
        <v>348</v>
      </c>
      <c r="AQ115" t="s">
        <v>560</v>
      </c>
      <c r="AR115" t="s">
        <v>2109</v>
      </c>
      <c r="AS115" t="s">
        <v>1627</v>
      </c>
      <c r="AT115" t="s">
        <v>463</v>
      </c>
      <c r="AU115" t="s">
        <v>305</v>
      </c>
      <c r="AV115"/>
      <c r="AW115" t="s">
        <v>310</v>
      </c>
      <c r="AX115" t="s">
        <v>311</v>
      </c>
      <c r="AY115" t="s">
        <v>308</v>
      </c>
      <c r="AZ115" t="s">
        <v>309</v>
      </c>
      <c r="BA115" t="s">
        <v>608</v>
      </c>
      <c r="BB115" t="s">
        <v>609</v>
      </c>
      <c r="BC115" t="s">
        <v>669</v>
      </c>
      <c r="BD115" t="s">
        <v>353</v>
      </c>
      <c r="BE115"/>
      <c r="BF115" t="s">
        <v>314</v>
      </c>
      <c r="BG115"/>
      <c r="BH115"/>
      <c r="BI115"/>
      <c r="BJ115"/>
      <c r="BK115"/>
      <c r="BL115"/>
      <c r="BM115" t="s">
        <v>305</v>
      </c>
      <c r="BN115" t="s">
        <v>354</v>
      </c>
      <c r="BO115" t="s">
        <v>2110</v>
      </c>
      <c r="BP115" t="s">
        <v>2111</v>
      </c>
      <c r="BQ115"/>
      <c r="BR115">
        <v>8.5</v>
      </c>
      <c r="BS115">
        <v>7.7</v>
      </c>
      <c r="BT115">
        <v>0</v>
      </c>
      <c r="BU115">
        <v>0</v>
      </c>
      <c r="BV115">
        <v>7.8</v>
      </c>
      <c r="BW115">
        <v>8.3000000000000007</v>
      </c>
      <c r="BX115">
        <v>6.2</v>
      </c>
      <c r="BY115">
        <v>0</v>
      </c>
      <c r="BZ115">
        <v>0</v>
      </c>
      <c r="CA115">
        <v>8.4</v>
      </c>
      <c r="CB115">
        <v>8.8000000000000007</v>
      </c>
      <c r="CC115">
        <v>0</v>
      </c>
      <c r="CD115">
        <v>0</v>
      </c>
      <c r="CE115">
        <v>0</v>
      </c>
      <c r="CF115">
        <v>0</v>
      </c>
      <c r="CG115">
        <v>0</v>
      </c>
      <c r="CH115">
        <v>0</v>
      </c>
      <c r="CI115">
        <v>0</v>
      </c>
      <c r="CJ115">
        <v>0</v>
      </c>
      <c r="CK115">
        <v>0</v>
      </c>
      <c r="CL115">
        <v>0</v>
      </c>
      <c r="CM115">
        <v>8.5</v>
      </c>
      <c r="CN115">
        <v>7</v>
      </c>
      <c r="CO115">
        <v>0</v>
      </c>
      <c r="CP115">
        <v>0</v>
      </c>
      <c r="CQ115">
        <v>8</v>
      </c>
      <c r="CR115">
        <v>7.6</v>
      </c>
      <c r="CS115">
        <v>8.1</v>
      </c>
      <c r="CT115">
        <v>0</v>
      </c>
      <c r="CU115">
        <v>0</v>
      </c>
      <c r="CV115">
        <v>9.3000000000000007</v>
      </c>
      <c r="CW115">
        <v>8.5</v>
      </c>
      <c r="CX115">
        <v>0</v>
      </c>
      <c r="CY115">
        <v>0</v>
      </c>
      <c r="CZ115">
        <v>0</v>
      </c>
      <c r="DA115">
        <v>0</v>
      </c>
      <c r="DB115">
        <v>0</v>
      </c>
      <c r="DC115">
        <v>0</v>
      </c>
      <c r="DD115">
        <v>0</v>
      </c>
      <c r="DE115">
        <v>0</v>
      </c>
      <c r="DF115">
        <v>0</v>
      </c>
      <c r="DG115">
        <v>0</v>
      </c>
      <c r="DH115">
        <v>8.1</v>
      </c>
      <c r="DI115">
        <v>8.1999999999999993</v>
      </c>
      <c r="DJ115">
        <v>0</v>
      </c>
      <c r="DK115">
        <v>0</v>
      </c>
      <c r="DL115">
        <v>8.6</v>
      </c>
      <c r="DM115">
        <v>8.9</v>
      </c>
      <c r="DN115">
        <v>7.6</v>
      </c>
      <c r="DO115">
        <v>0</v>
      </c>
      <c r="DP115">
        <v>0</v>
      </c>
      <c r="DQ115">
        <v>8.1</v>
      </c>
      <c r="DR115">
        <v>9.6</v>
      </c>
      <c r="DS115">
        <v>0</v>
      </c>
      <c r="DT115">
        <v>0</v>
      </c>
      <c r="DU115">
        <v>0</v>
      </c>
      <c r="DV115">
        <v>0</v>
      </c>
      <c r="DW115">
        <v>0</v>
      </c>
      <c r="DX115">
        <v>0</v>
      </c>
      <c r="DY115">
        <v>0</v>
      </c>
      <c r="DZ115">
        <v>0</v>
      </c>
      <c r="EA115">
        <v>0</v>
      </c>
      <c r="EB115">
        <v>0</v>
      </c>
      <c r="EC115">
        <v>5.75</v>
      </c>
      <c r="ED115">
        <v>6.5</v>
      </c>
      <c r="EE115">
        <v>0</v>
      </c>
      <c r="EF115"/>
      <c r="EG115">
        <v>5.5</v>
      </c>
      <c r="EH115">
        <v>5.0999999999999996</v>
      </c>
      <c r="EI115">
        <v>0</v>
      </c>
      <c r="EJ115">
        <v>0</v>
      </c>
      <c r="EK115">
        <v>0</v>
      </c>
      <c r="EL115">
        <v>0</v>
      </c>
      <c r="EM115"/>
      <c r="EN115">
        <v>0</v>
      </c>
      <c r="EO115"/>
      <c r="EP115"/>
      <c r="EQ115"/>
      <c r="ER115"/>
      <c r="ES115"/>
      <c r="ET115"/>
      <c r="EU115"/>
      <c r="EV115"/>
      <c r="EW115"/>
      <c r="EX115"/>
      <c r="EY115"/>
      <c r="EZ115"/>
      <c r="FA115"/>
      <c r="FB115"/>
      <c r="FC115"/>
      <c r="FD115"/>
    </row>
    <row r="116" spans="1:160" x14ac:dyDescent="0.25">
      <c r="A116" s="1" t="str">
        <f t="shared" si="1"/>
        <v>089308015401</v>
      </c>
      <c r="B116" t="s">
        <v>2114</v>
      </c>
      <c r="C116" t="s">
        <v>2115</v>
      </c>
      <c r="D116" t="s">
        <v>2116</v>
      </c>
      <c r="E116" t="s">
        <v>278</v>
      </c>
      <c r="F116" t="s">
        <v>2117</v>
      </c>
      <c r="G116" t="s">
        <v>2118</v>
      </c>
      <c r="H116" t="s">
        <v>2119</v>
      </c>
      <c r="I116" t="s">
        <v>42</v>
      </c>
      <c r="J116" t="s">
        <v>2120</v>
      </c>
      <c r="K116" t="s">
        <v>321</v>
      </c>
      <c r="L116"/>
      <c r="M116" t="s">
        <v>287</v>
      </c>
      <c r="N116" t="s">
        <v>288</v>
      </c>
      <c r="O116"/>
      <c r="P116" t="s">
        <v>289</v>
      </c>
      <c r="Q116" t="s">
        <v>2121</v>
      </c>
      <c r="R116" t="s">
        <v>287</v>
      </c>
      <c r="S116" t="s">
        <v>287</v>
      </c>
      <c r="T116" t="s">
        <v>287</v>
      </c>
      <c r="U116"/>
      <c r="V116"/>
      <c r="W116" t="s">
        <v>294</v>
      </c>
      <c r="X116" t="s">
        <v>2122</v>
      </c>
      <c r="Y116" t="s">
        <v>2123</v>
      </c>
      <c r="Z116" t="s">
        <v>2124</v>
      </c>
      <c r="AA116" t="s">
        <v>287</v>
      </c>
      <c r="AB116"/>
      <c r="AC116"/>
      <c r="AD116"/>
      <c r="AE116"/>
      <c r="AF116" t="s">
        <v>401</v>
      </c>
      <c r="AG116" t="s">
        <v>1496</v>
      </c>
      <c r="AH116" t="s">
        <v>1805</v>
      </c>
      <c r="AI116" t="s">
        <v>401</v>
      </c>
      <c r="AJ116" t="s">
        <v>1496</v>
      </c>
      <c r="AK116" t="s">
        <v>1805</v>
      </c>
      <c r="AL116" t="s">
        <v>401</v>
      </c>
      <c r="AM116" t="s">
        <v>1496</v>
      </c>
      <c r="AN116" t="s">
        <v>1805</v>
      </c>
      <c r="AO116" t="s">
        <v>299</v>
      </c>
      <c r="AP116" t="s">
        <v>348</v>
      </c>
      <c r="AQ116" t="s">
        <v>1234</v>
      </c>
      <c r="AR116" t="s">
        <v>859</v>
      </c>
      <c r="AS116" t="s">
        <v>1561</v>
      </c>
      <c r="AT116" t="s">
        <v>1123</v>
      </c>
      <c r="AU116" t="s">
        <v>305</v>
      </c>
      <c r="AV116"/>
      <c r="AW116" t="s">
        <v>526</v>
      </c>
      <c r="AX116" t="s">
        <v>527</v>
      </c>
      <c r="AY116" t="s">
        <v>351</v>
      </c>
      <c r="AZ116" t="s">
        <v>352</v>
      </c>
      <c r="BA116" t="s">
        <v>306</v>
      </c>
      <c r="BB116" t="s">
        <v>307</v>
      </c>
      <c r="BC116" t="s">
        <v>312</v>
      </c>
      <c r="BD116" t="s">
        <v>353</v>
      </c>
      <c r="BE116"/>
      <c r="BF116" t="s">
        <v>314</v>
      </c>
      <c r="BG116"/>
      <c r="BH116"/>
      <c r="BI116"/>
      <c r="BJ116"/>
      <c r="BK116"/>
      <c r="BL116"/>
      <c r="BM116" t="s">
        <v>305</v>
      </c>
      <c r="BN116" t="s">
        <v>354</v>
      </c>
      <c r="BO116" t="s">
        <v>2125</v>
      </c>
      <c r="BP116" t="s">
        <v>2126</v>
      </c>
      <c r="BQ116"/>
      <c r="BR116">
        <v>7.9</v>
      </c>
      <c r="BS116">
        <v>6.1</v>
      </c>
      <c r="BT116">
        <v>7.7</v>
      </c>
      <c r="BU116">
        <v>8.9</v>
      </c>
      <c r="BV116">
        <v>7.2</v>
      </c>
      <c r="BW116">
        <v>0</v>
      </c>
      <c r="BX116">
        <v>0</v>
      </c>
      <c r="BY116">
        <v>7.7</v>
      </c>
      <c r="BZ116">
        <v>7.2</v>
      </c>
      <c r="CA116">
        <v>8.5</v>
      </c>
      <c r="CB116">
        <v>0</v>
      </c>
      <c r="CC116">
        <v>8</v>
      </c>
      <c r="CD116">
        <v>0</v>
      </c>
      <c r="CE116">
        <v>0</v>
      </c>
      <c r="CF116">
        <v>0</v>
      </c>
      <c r="CG116">
        <v>0</v>
      </c>
      <c r="CH116">
        <v>0</v>
      </c>
      <c r="CI116">
        <v>0</v>
      </c>
      <c r="CJ116">
        <v>0</v>
      </c>
      <c r="CK116">
        <v>0</v>
      </c>
      <c r="CL116">
        <v>0</v>
      </c>
      <c r="CM116">
        <v>7.3</v>
      </c>
      <c r="CN116">
        <v>7.2</v>
      </c>
      <c r="CO116">
        <v>7.9</v>
      </c>
      <c r="CP116">
        <v>9.1999999999999993</v>
      </c>
      <c r="CQ116">
        <v>8.3000000000000007</v>
      </c>
      <c r="CR116">
        <v>0</v>
      </c>
      <c r="CS116">
        <v>0</v>
      </c>
      <c r="CT116">
        <v>8.6999999999999993</v>
      </c>
      <c r="CU116">
        <v>8.4</v>
      </c>
      <c r="CV116">
        <v>9.1</v>
      </c>
      <c r="CW116">
        <v>0</v>
      </c>
      <c r="CX116">
        <v>7</v>
      </c>
      <c r="CY116">
        <v>0</v>
      </c>
      <c r="CZ116">
        <v>0</v>
      </c>
      <c r="DA116">
        <v>0</v>
      </c>
      <c r="DB116">
        <v>0</v>
      </c>
      <c r="DC116">
        <v>0</v>
      </c>
      <c r="DD116">
        <v>0</v>
      </c>
      <c r="DE116">
        <v>0</v>
      </c>
      <c r="DF116">
        <v>0</v>
      </c>
      <c r="DG116">
        <v>0</v>
      </c>
      <c r="DH116">
        <v>8.5</v>
      </c>
      <c r="DI116">
        <v>7.9</v>
      </c>
      <c r="DJ116">
        <v>7.5</v>
      </c>
      <c r="DK116">
        <v>9.1999999999999993</v>
      </c>
      <c r="DL116">
        <v>8.3000000000000007</v>
      </c>
      <c r="DM116">
        <v>0</v>
      </c>
      <c r="DN116">
        <v>0</v>
      </c>
      <c r="DO116">
        <v>9.1</v>
      </c>
      <c r="DP116">
        <v>8.9</v>
      </c>
      <c r="DQ116">
        <v>8.5</v>
      </c>
      <c r="DR116">
        <v>0</v>
      </c>
      <c r="DS116">
        <v>9.3000000000000007</v>
      </c>
      <c r="DT116">
        <v>0</v>
      </c>
      <c r="DU116">
        <v>0</v>
      </c>
      <c r="DV116">
        <v>0</v>
      </c>
      <c r="DW116">
        <v>0</v>
      </c>
      <c r="DX116">
        <v>0</v>
      </c>
      <c r="DY116">
        <v>0</v>
      </c>
      <c r="DZ116">
        <v>0</v>
      </c>
      <c r="EA116">
        <v>0</v>
      </c>
      <c r="EB116">
        <v>0</v>
      </c>
      <c r="EC116">
        <v>5</v>
      </c>
      <c r="ED116">
        <v>7.25</v>
      </c>
      <c r="EE116"/>
      <c r="EF116"/>
      <c r="EG116"/>
      <c r="EH116"/>
      <c r="EI116"/>
      <c r="EJ116">
        <v>5.25</v>
      </c>
      <c r="EK116">
        <v>6.5</v>
      </c>
      <c r="EL116"/>
      <c r="EM116"/>
      <c r="EN116"/>
      <c r="EO116"/>
      <c r="EP116"/>
      <c r="EQ116"/>
      <c r="ER116"/>
      <c r="ES116"/>
      <c r="ET116"/>
      <c r="EU116"/>
      <c r="EV116"/>
      <c r="EW116"/>
      <c r="EX116"/>
      <c r="EY116"/>
      <c r="EZ116"/>
      <c r="FA116"/>
      <c r="FB116"/>
      <c r="FC116"/>
      <c r="FD116"/>
    </row>
    <row r="117" spans="1:160" x14ac:dyDescent="0.25">
      <c r="A117" s="1" t="str">
        <f t="shared" si="1"/>
        <v>096208012431</v>
      </c>
      <c r="B117" t="s">
        <v>2127</v>
      </c>
      <c r="C117" t="s">
        <v>2128</v>
      </c>
      <c r="D117" t="s">
        <v>2129</v>
      </c>
      <c r="E117" t="s">
        <v>280</v>
      </c>
      <c r="F117" t="s">
        <v>2130</v>
      </c>
      <c r="G117" t="s">
        <v>2131</v>
      </c>
      <c r="H117" t="s">
        <v>2132</v>
      </c>
      <c r="I117" t="s">
        <v>22</v>
      </c>
      <c r="J117" t="s">
        <v>2133</v>
      </c>
      <c r="K117" t="s">
        <v>321</v>
      </c>
      <c r="L117"/>
      <c r="M117" t="s">
        <v>287</v>
      </c>
      <c r="N117" t="s">
        <v>288</v>
      </c>
      <c r="O117"/>
      <c r="P117" t="s">
        <v>289</v>
      </c>
      <c r="Q117" t="s">
        <v>2134</v>
      </c>
      <c r="R117" t="s">
        <v>2135</v>
      </c>
      <c r="S117" t="s">
        <v>2136</v>
      </c>
      <c r="T117" t="s">
        <v>743</v>
      </c>
      <c r="U117"/>
      <c r="V117"/>
      <c r="W117"/>
      <c r="X117"/>
      <c r="Y117"/>
      <c r="Z117"/>
      <c r="AA117" t="s">
        <v>287</v>
      </c>
      <c r="AB117"/>
      <c r="AC117"/>
      <c r="AD117"/>
      <c r="AE117"/>
      <c r="AF117" t="s">
        <v>663</v>
      </c>
      <c r="AG117" t="s">
        <v>2137</v>
      </c>
      <c r="AH117" t="s">
        <v>2138</v>
      </c>
      <c r="AI117" t="s">
        <v>663</v>
      </c>
      <c r="AJ117" t="s">
        <v>2137</v>
      </c>
      <c r="AK117" t="s">
        <v>2138</v>
      </c>
      <c r="AL117" t="s">
        <v>663</v>
      </c>
      <c r="AM117" t="s">
        <v>1861</v>
      </c>
      <c r="AN117" t="s">
        <v>2138</v>
      </c>
      <c r="AO117" t="s">
        <v>299</v>
      </c>
      <c r="AP117" t="s">
        <v>603</v>
      </c>
      <c r="AQ117" t="s">
        <v>1357</v>
      </c>
      <c r="AR117" t="s">
        <v>2037</v>
      </c>
      <c r="AS117" t="s">
        <v>2139</v>
      </c>
      <c r="AT117" t="s">
        <v>1357</v>
      </c>
      <c r="AU117" t="s">
        <v>354</v>
      </c>
      <c r="AV117"/>
      <c r="AW117" t="s">
        <v>562</v>
      </c>
      <c r="AX117" t="s">
        <v>563</v>
      </c>
      <c r="AY117"/>
      <c r="AZ117"/>
      <c r="BA117"/>
      <c r="BB117"/>
      <c r="BC117" t="s">
        <v>312</v>
      </c>
      <c r="BD117" t="s">
        <v>353</v>
      </c>
      <c r="BE117" t="s">
        <v>2140</v>
      </c>
      <c r="BF117" t="s">
        <v>314</v>
      </c>
      <c r="BG117"/>
      <c r="BH117"/>
      <c r="BI117"/>
      <c r="BJ117"/>
      <c r="BK117"/>
      <c r="BL117"/>
      <c r="BM117" t="s">
        <v>305</v>
      </c>
      <c r="BN117" t="s">
        <v>305</v>
      </c>
      <c r="BO117" t="s">
        <v>2141</v>
      </c>
      <c r="BP117"/>
      <c r="BQ117" t="s">
        <v>2142</v>
      </c>
      <c r="BR117">
        <v>8.3000000000000007</v>
      </c>
      <c r="BS117">
        <v>8.1</v>
      </c>
      <c r="BT117">
        <v>8.3000000000000007</v>
      </c>
      <c r="BU117">
        <v>9</v>
      </c>
      <c r="BV117">
        <v>8.9</v>
      </c>
      <c r="BW117">
        <v>9.1999999999999993</v>
      </c>
      <c r="BX117">
        <v>8.4</v>
      </c>
      <c r="BY117">
        <v>0</v>
      </c>
      <c r="BZ117">
        <v>0</v>
      </c>
      <c r="CA117">
        <v>0</v>
      </c>
      <c r="CB117">
        <v>8.6</v>
      </c>
      <c r="CC117">
        <v>9.1</v>
      </c>
      <c r="CD117">
        <v>0</v>
      </c>
      <c r="CE117">
        <v>0</v>
      </c>
      <c r="CF117">
        <v>0</v>
      </c>
      <c r="CG117">
        <v>0</v>
      </c>
      <c r="CH117">
        <v>0</v>
      </c>
      <c r="CI117">
        <v>0</v>
      </c>
      <c r="CJ117">
        <v>0</v>
      </c>
      <c r="CK117">
        <v>0</v>
      </c>
      <c r="CL117">
        <v>0</v>
      </c>
      <c r="CM117">
        <v>7.2</v>
      </c>
      <c r="CN117">
        <v>8.5</v>
      </c>
      <c r="CO117">
        <v>9</v>
      </c>
      <c r="CP117">
        <v>9.1999999999999993</v>
      </c>
      <c r="CQ117">
        <v>9.5</v>
      </c>
      <c r="CR117">
        <v>9.1999999999999993</v>
      </c>
      <c r="CS117">
        <v>8.1999999999999993</v>
      </c>
      <c r="CT117">
        <v>0</v>
      </c>
      <c r="CU117">
        <v>0</v>
      </c>
      <c r="CV117">
        <v>0</v>
      </c>
      <c r="CW117">
        <v>9.1</v>
      </c>
      <c r="CX117">
        <v>9</v>
      </c>
      <c r="CY117">
        <v>0</v>
      </c>
      <c r="CZ117">
        <v>0</v>
      </c>
      <c r="DA117">
        <v>0</v>
      </c>
      <c r="DB117">
        <v>0</v>
      </c>
      <c r="DC117">
        <v>0</v>
      </c>
      <c r="DD117">
        <v>0</v>
      </c>
      <c r="DE117">
        <v>0</v>
      </c>
      <c r="DF117">
        <v>0</v>
      </c>
      <c r="DG117">
        <v>0</v>
      </c>
      <c r="DH117">
        <v>9</v>
      </c>
      <c r="DI117">
        <v>8.6999999999999993</v>
      </c>
      <c r="DJ117">
        <v>9.1999999999999993</v>
      </c>
      <c r="DK117">
        <v>9.4</v>
      </c>
      <c r="DL117">
        <v>9.1999999999999993</v>
      </c>
      <c r="DM117">
        <v>8.6</v>
      </c>
      <c r="DN117">
        <v>7.8</v>
      </c>
      <c r="DO117">
        <v>0</v>
      </c>
      <c r="DP117">
        <v>0</v>
      </c>
      <c r="DQ117">
        <v>0</v>
      </c>
      <c r="DR117">
        <v>8.5</v>
      </c>
      <c r="DS117">
        <v>8.6</v>
      </c>
      <c r="DT117">
        <v>0</v>
      </c>
      <c r="DU117">
        <v>0</v>
      </c>
      <c r="DV117">
        <v>0</v>
      </c>
      <c r="DW117">
        <v>0</v>
      </c>
      <c r="DX117">
        <v>0</v>
      </c>
      <c r="DY117">
        <v>0</v>
      </c>
      <c r="DZ117">
        <v>0</v>
      </c>
      <c r="EA117">
        <v>0</v>
      </c>
      <c r="EB117">
        <v>0</v>
      </c>
      <c r="EC117">
        <v>8.25</v>
      </c>
      <c r="ED117">
        <v>8.5</v>
      </c>
      <c r="EE117">
        <v>6.25</v>
      </c>
      <c r="EF117"/>
      <c r="EG117">
        <v>7.35</v>
      </c>
      <c r="EH117"/>
      <c r="EI117"/>
      <c r="EJ117"/>
      <c r="EK117"/>
      <c r="EL117"/>
      <c r="EM117"/>
      <c r="EN117"/>
      <c r="EO117"/>
      <c r="EP117"/>
      <c r="EQ117"/>
      <c r="ER117"/>
      <c r="ES117"/>
      <c r="ET117"/>
      <c r="EU117"/>
      <c r="EV117"/>
      <c r="EW117">
        <v>103</v>
      </c>
      <c r="EX117">
        <v>122</v>
      </c>
      <c r="EY117">
        <v>120.5</v>
      </c>
      <c r="EZ117"/>
      <c r="FA117"/>
      <c r="FB117"/>
      <c r="FC117"/>
      <c r="FD117"/>
    </row>
    <row r="118" spans="1:160" x14ac:dyDescent="0.25">
      <c r="A118" s="1" t="str">
        <f t="shared" si="1"/>
        <v>082208007608</v>
      </c>
      <c r="B118" t="s">
        <v>2143</v>
      </c>
      <c r="C118" t="s">
        <v>1215</v>
      </c>
      <c r="D118" t="s">
        <v>2144</v>
      </c>
      <c r="E118" t="s">
        <v>280</v>
      </c>
      <c r="F118" t="s">
        <v>2145</v>
      </c>
      <c r="G118" t="s">
        <v>2146</v>
      </c>
      <c r="H118" t="s">
        <v>2147</v>
      </c>
      <c r="I118" t="s">
        <v>88</v>
      </c>
      <c r="J118" t="s">
        <v>2148</v>
      </c>
      <c r="K118" t="s">
        <v>321</v>
      </c>
      <c r="L118"/>
      <c r="M118" t="s">
        <v>287</v>
      </c>
      <c r="N118" t="s">
        <v>288</v>
      </c>
      <c r="O118"/>
      <c r="P118" t="s">
        <v>289</v>
      </c>
      <c r="Q118" t="s">
        <v>2149</v>
      </c>
      <c r="R118" t="s">
        <v>287</v>
      </c>
      <c r="S118" t="s">
        <v>287</v>
      </c>
      <c r="T118" t="s">
        <v>287</v>
      </c>
      <c r="U118"/>
      <c r="V118"/>
      <c r="W118"/>
      <c r="X118"/>
      <c r="Y118"/>
      <c r="Z118"/>
      <c r="AA118" t="s">
        <v>287</v>
      </c>
      <c r="AB118"/>
      <c r="AC118"/>
      <c r="AD118"/>
      <c r="AE118"/>
      <c r="AF118" t="s">
        <v>323</v>
      </c>
      <c r="AG118" t="s">
        <v>2150</v>
      </c>
      <c r="AH118" t="s">
        <v>2151</v>
      </c>
      <c r="AI118" t="s">
        <v>323</v>
      </c>
      <c r="AJ118" t="s">
        <v>2150</v>
      </c>
      <c r="AK118" t="s">
        <v>2151</v>
      </c>
      <c r="AL118" t="s">
        <v>323</v>
      </c>
      <c r="AM118" t="s">
        <v>2150</v>
      </c>
      <c r="AN118" t="s">
        <v>2151</v>
      </c>
      <c r="AO118" t="s">
        <v>299</v>
      </c>
      <c r="AP118" t="s">
        <v>348</v>
      </c>
      <c r="AQ118" t="s">
        <v>2072</v>
      </c>
      <c r="AR118" t="s">
        <v>931</v>
      </c>
      <c r="AS118" t="s">
        <v>916</v>
      </c>
      <c r="AT118" t="s">
        <v>2152</v>
      </c>
      <c r="AU118" t="s">
        <v>354</v>
      </c>
      <c r="AV118"/>
      <c r="AW118" t="s">
        <v>330</v>
      </c>
      <c r="AX118" t="s">
        <v>331</v>
      </c>
      <c r="AY118" t="s">
        <v>351</v>
      </c>
      <c r="AZ118" t="s">
        <v>352</v>
      </c>
      <c r="BA118" t="s">
        <v>526</v>
      </c>
      <c r="BB118" t="s">
        <v>527</v>
      </c>
      <c r="BC118" t="s">
        <v>312</v>
      </c>
      <c r="BD118" t="s">
        <v>353</v>
      </c>
      <c r="BE118"/>
      <c r="BF118" t="s">
        <v>314</v>
      </c>
      <c r="BG118"/>
      <c r="BH118"/>
      <c r="BI118"/>
      <c r="BJ118"/>
      <c r="BK118"/>
      <c r="BL118"/>
      <c r="BM118" t="s">
        <v>305</v>
      </c>
      <c r="BN118" t="s">
        <v>354</v>
      </c>
      <c r="BO118" t="s">
        <v>2153</v>
      </c>
      <c r="BP118"/>
      <c r="BQ118"/>
      <c r="BR118">
        <v>8.6</v>
      </c>
      <c r="BS118">
        <v>6.6</v>
      </c>
      <c r="BT118">
        <v>7.3</v>
      </c>
      <c r="BU118">
        <v>8.3000000000000007</v>
      </c>
      <c r="BV118">
        <v>9.1</v>
      </c>
      <c r="BW118">
        <v>0</v>
      </c>
      <c r="BX118">
        <v>0</v>
      </c>
      <c r="BY118">
        <v>7.5</v>
      </c>
      <c r="BZ118">
        <v>8.4</v>
      </c>
      <c r="CA118">
        <v>8.5</v>
      </c>
      <c r="CB118">
        <v>0</v>
      </c>
      <c r="CC118">
        <v>8.9</v>
      </c>
      <c r="CD118">
        <v>0</v>
      </c>
      <c r="CE118">
        <v>0</v>
      </c>
      <c r="CF118">
        <v>0</v>
      </c>
      <c r="CG118">
        <v>0</v>
      </c>
      <c r="CH118">
        <v>0</v>
      </c>
      <c r="CI118">
        <v>0</v>
      </c>
      <c r="CJ118">
        <v>0</v>
      </c>
      <c r="CK118">
        <v>0</v>
      </c>
      <c r="CL118">
        <v>0</v>
      </c>
      <c r="CM118">
        <v>9.3000000000000007</v>
      </c>
      <c r="CN118">
        <v>7.8</v>
      </c>
      <c r="CO118">
        <v>8.9</v>
      </c>
      <c r="CP118">
        <v>8.6999999999999993</v>
      </c>
      <c r="CQ118">
        <v>9.5</v>
      </c>
      <c r="CR118">
        <v>0</v>
      </c>
      <c r="CS118">
        <v>0</v>
      </c>
      <c r="CT118">
        <v>7.6</v>
      </c>
      <c r="CU118">
        <v>8.8000000000000007</v>
      </c>
      <c r="CV118">
        <v>9.4</v>
      </c>
      <c r="CW118">
        <v>0</v>
      </c>
      <c r="CX118">
        <v>9.4</v>
      </c>
      <c r="CY118">
        <v>0</v>
      </c>
      <c r="CZ118">
        <v>0</v>
      </c>
      <c r="DA118">
        <v>0</v>
      </c>
      <c r="DB118">
        <v>0</v>
      </c>
      <c r="DC118">
        <v>0</v>
      </c>
      <c r="DD118">
        <v>0</v>
      </c>
      <c r="DE118">
        <v>0</v>
      </c>
      <c r="DF118">
        <v>0</v>
      </c>
      <c r="DG118">
        <v>0</v>
      </c>
      <c r="DH118">
        <v>9.6999999999999993</v>
      </c>
      <c r="DI118">
        <v>7.4</v>
      </c>
      <c r="DJ118">
        <v>9</v>
      </c>
      <c r="DK118">
        <v>9.1999999999999993</v>
      </c>
      <c r="DL118">
        <v>9.3000000000000007</v>
      </c>
      <c r="DM118">
        <v>0</v>
      </c>
      <c r="DN118">
        <v>0</v>
      </c>
      <c r="DO118">
        <v>8.6999999999999993</v>
      </c>
      <c r="DP118">
        <v>9.6999999999999993</v>
      </c>
      <c r="DQ118">
        <v>9.5</v>
      </c>
      <c r="DR118">
        <v>0</v>
      </c>
      <c r="DS118">
        <v>9.6999999999999993</v>
      </c>
      <c r="DT118">
        <v>0</v>
      </c>
      <c r="DU118">
        <v>0</v>
      </c>
      <c r="DV118">
        <v>0</v>
      </c>
      <c r="DW118">
        <v>0</v>
      </c>
      <c r="DX118">
        <v>0</v>
      </c>
      <c r="DY118">
        <v>0</v>
      </c>
      <c r="DZ118">
        <v>0</v>
      </c>
      <c r="EA118">
        <v>0</v>
      </c>
      <c r="EB118">
        <v>0</v>
      </c>
      <c r="EC118">
        <v>4.25</v>
      </c>
      <c r="ED118">
        <v>7</v>
      </c>
      <c r="EE118"/>
      <c r="EF118"/>
      <c r="EG118"/>
      <c r="EH118"/>
      <c r="EI118"/>
      <c r="EJ118">
        <v>5.5</v>
      </c>
      <c r="EK118">
        <v>6.5</v>
      </c>
      <c r="EL118"/>
      <c r="EM118"/>
      <c r="EN118"/>
      <c r="EO118"/>
      <c r="EP118"/>
      <c r="EQ118"/>
      <c r="ER118"/>
      <c r="ES118"/>
      <c r="ET118"/>
      <c r="EU118"/>
      <c r="EV118"/>
      <c r="EW118"/>
      <c r="EX118"/>
      <c r="EY118"/>
      <c r="EZ118"/>
      <c r="FA118"/>
      <c r="FB118"/>
      <c r="FC118"/>
      <c r="FD118"/>
    </row>
    <row r="119" spans="1:160" x14ac:dyDescent="0.25">
      <c r="A119" s="1" t="str">
        <f t="shared" si="1"/>
        <v>093308002669</v>
      </c>
      <c r="B119" t="s">
        <v>2154</v>
      </c>
      <c r="C119" t="s">
        <v>402</v>
      </c>
      <c r="D119" t="s">
        <v>2155</v>
      </c>
      <c r="E119" t="s">
        <v>278</v>
      </c>
      <c r="F119" t="s">
        <v>2156</v>
      </c>
      <c r="G119" t="s">
        <v>2157</v>
      </c>
      <c r="H119" t="s">
        <v>2158</v>
      </c>
      <c r="I119" t="s">
        <v>30</v>
      </c>
      <c r="J119" t="s">
        <v>2159</v>
      </c>
      <c r="K119" t="s">
        <v>321</v>
      </c>
      <c r="L119"/>
      <c r="M119" t="s">
        <v>287</v>
      </c>
      <c r="N119" t="s">
        <v>288</v>
      </c>
      <c r="O119"/>
      <c r="P119" t="s">
        <v>289</v>
      </c>
      <c r="Q119" t="s">
        <v>2160</v>
      </c>
      <c r="R119" t="s">
        <v>287</v>
      </c>
      <c r="S119" t="s">
        <v>287</v>
      </c>
      <c r="T119" t="s">
        <v>287</v>
      </c>
      <c r="U119"/>
      <c r="V119"/>
      <c r="W119"/>
      <c r="X119"/>
      <c r="Y119"/>
      <c r="Z119"/>
      <c r="AA119" t="s">
        <v>287</v>
      </c>
      <c r="AB119"/>
      <c r="AC119"/>
      <c r="AD119"/>
      <c r="AE119"/>
      <c r="AF119" t="s">
        <v>383</v>
      </c>
      <c r="AG119" t="s">
        <v>2161</v>
      </c>
      <c r="AH119" t="s">
        <v>2162</v>
      </c>
      <c r="AI119" t="s">
        <v>383</v>
      </c>
      <c r="AJ119" t="s">
        <v>2161</v>
      </c>
      <c r="AK119" t="s">
        <v>2162</v>
      </c>
      <c r="AL119" t="s">
        <v>383</v>
      </c>
      <c r="AM119" t="s">
        <v>460</v>
      </c>
      <c r="AN119" t="s">
        <v>2163</v>
      </c>
      <c r="AO119" t="s">
        <v>299</v>
      </c>
      <c r="AP119" t="s">
        <v>348</v>
      </c>
      <c r="AQ119" t="s">
        <v>1548</v>
      </c>
      <c r="AR119" t="s">
        <v>559</v>
      </c>
      <c r="AS119" t="s">
        <v>1694</v>
      </c>
      <c r="AT119" t="s">
        <v>1407</v>
      </c>
      <c r="AU119" t="s">
        <v>354</v>
      </c>
      <c r="AV119"/>
      <c r="AW119" t="s">
        <v>372</v>
      </c>
      <c r="AX119" t="s">
        <v>373</v>
      </c>
      <c r="AY119" t="s">
        <v>306</v>
      </c>
      <c r="AZ119" t="s">
        <v>307</v>
      </c>
      <c r="BA119" t="s">
        <v>351</v>
      </c>
      <c r="BB119" t="s">
        <v>352</v>
      </c>
      <c r="BC119" t="s">
        <v>312</v>
      </c>
      <c r="BD119" t="s">
        <v>353</v>
      </c>
      <c r="BE119" t="s">
        <v>2164</v>
      </c>
      <c r="BF119" t="s">
        <v>314</v>
      </c>
      <c r="BG119"/>
      <c r="BH119"/>
      <c r="BI119"/>
      <c r="BJ119"/>
      <c r="BK119"/>
      <c r="BL119"/>
      <c r="BM119" t="s">
        <v>305</v>
      </c>
      <c r="BN119" t="s">
        <v>305</v>
      </c>
      <c r="BO119" t="s">
        <v>2165</v>
      </c>
      <c r="BP119"/>
      <c r="BQ119" t="s">
        <v>2166</v>
      </c>
      <c r="BR119">
        <v>6</v>
      </c>
      <c r="BS119">
        <v>6.4</v>
      </c>
      <c r="BT119">
        <v>5.9</v>
      </c>
      <c r="BU119">
        <v>8.9</v>
      </c>
      <c r="BV119">
        <v>7.7</v>
      </c>
      <c r="BW119">
        <v>7.4</v>
      </c>
      <c r="BX119">
        <v>8.5</v>
      </c>
      <c r="BY119">
        <v>0</v>
      </c>
      <c r="BZ119">
        <v>0</v>
      </c>
      <c r="CA119">
        <v>8.5</v>
      </c>
      <c r="CB119">
        <v>0</v>
      </c>
      <c r="CC119">
        <v>0</v>
      </c>
      <c r="CD119">
        <v>0</v>
      </c>
      <c r="CE119">
        <v>0</v>
      </c>
      <c r="CF119">
        <v>0</v>
      </c>
      <c r="CG119">
        <v>0</v>
      </c>
      <c r="CH119">
        <v>0</v>
      </c>
      <c r="CI119">
        <v>0</v>
      </c>
      <c r="CJ119">
        <v>0</v>
      </c>
      <c r="CK119">
        <v>0</v>
      </c>
      <c r="CL119">
        <v>0</v>
      </c>
      <c r="CM119">
        <v>8</v>
      </c>
      <c r="CN119">
        <v>8</v>
      </c>
      <c r="CO119">
        <v>6.7</v>
      </c>
      <c r="CP119">
        <v>9.4</v>
      </c>
      <c r="CQ119">
        <v>7.4</v>
      </c>
      <c r="CR119">
        <v>9.1</v>
      </c>
      <c r="CS119">
        <v>8.5</v>
      </c>
      <c r="CT119">
        <v>0</v>
      </c>
      <c r="CU119">
        <v>0</v>
      </c>
      <c r="CV119">
        <v>8.3000000000000007</v>
      </c>
      <c r="CW119">
        <v>0</v>
      </c>
      <c r="CX119">
        <v>0</v>
      </c>
      <c r="CY119">
        <v>0</v>
      </c>
      <c r="CZ119">
        <v>0</v>
      </c>
      <c r="DA119">
        <v>0</v>
      </c>
      <c r="DB119">
        <v>0</v>
      </c>
      <c r="DC119">
        <v>0</v>
      </c>
      <c r="DD119">
        <v>0</v>
      </c>
      <c r="DE119">
        <v>0</v>
      </c>
      <c r="DF119">
        <v>0</v>
      </c>
      <c r="DG119">
        <v>0</v>
      </c>
      <c r="DH119">
        <v>6.7</v>
      </c>
      <c r="DI119">
        <v>8</v>
      </c>
      <c r="DJ119">
        <v>7.2</v>
      </c>
      <c r="DK119">
        <v>9.6999999999999993</v>
      </c>
      <c r="DL119">
        <v>8.6</v>
      </c>
      <c r="DM119">
        <v>8.4</v>
      </c>
      <c r="DN119">
        <v>9.4</v>
      </c>
      <c r="DO119">
        <v>0</v>
      </c>
      <c r="DP119">
        <v>0</v>
      </c>
      <c r="DQ119">
        <v>8</v>
      </c>
      <c r="DR119">
        <v>0</v>
      </c>
      <c r="DS119">
        <v>0</v>
      </c>
      <c r="DT119">
        <v>0</v>
      </c>
      <c r="DU119">
        <v>0</v>
      </c>
      <c r="DV119">
        <v>0</v>
      </c>
      <c r="DW119">
        <v>0</v>
      </c>
      <c r="DX119">
        <v>0</v>
      </c>
      <c r="DY119">
        <v>0</v>
      </c>
      <c r="DZ119">
        <v>0</v>
      </c>
      <c r="EA119">
        <v>0</v>
      </c>
      <c r="EB119">
        <v>0</v>
      </c>
      <c r="EC119">
        <v>4.75</v>
      </c>
      <c r="ED119">
        <v>6.5</v>
      </c>
      <c r="EE119">
        <v>1.75</v>
      </c>
      <c r="EF119"/>
      <c r="EG119"/>
      <c r="EH119"/>
      <c r="EI119">
        <v>7</v>
      </c>
      <c r="EJ119"/>
      <c r="EK119"/>
      <c r="EL119"/>
      <c r="EM119"/>
      <c r="EN119"/>
      <c r="EO119"/>
      <c r="EP119"/>
      <c r="EQ119"/>
      <c r="ER119"/>
      <c r="ES119"/>
      <c r="ET119"/>
      <c r="EU119"/>
      <c r="EV119"/>
      <c r="EW119">
        <v>71.5</v>
      </c>
      <c r="EX119">
        <v>104.5</v>
      </c>
      <c r="EY119">
        <v>48.5</v>
      </c>
      <c r="EZ119"/>
      <c r="FA119">
        <v>105.5</v>
      </c>
      <c r="FB119"/>
      <c r="FC119"/>
      <c r="FD119"/>
    </row>
    <row r="120" spans="1:160" x14ac:dyDescent="0.25">
      <c r="A120" s="1" t="str">
        <f t="shared" si="1"/>
        <v>060308009190</v>
      </c>
      <c r="B120" t="s">
        <v>2167</v>
      </c>
      <c r="C120" t="s">
        <v>386</v>
      </c>
      <c r="D120" t="s">
        <v>2168</v>
      </c>
      <c r="E120" t="s">
        <v>278</v>
      </c>
      <c r="F120" t="s">
        <v>2169</v>
      </c>
      <c r="G120" t="s">
        <v>2170</v>
      </c>
      <c r="H120" t="s">
        <v>2171</v>
      </c>
      <c r="I120" t="s">
        <v>110</v>
      </c>
      <c r="J120" t="s">
        <v>2172</v>
      </c>
      <c r="K120" t="s">
        <v>321</v>
      </c>
      <c r="L120"/>
      <c r="M120" t="s">
        <v>287</v>
      </c>
      <c r="N120" t="s">
        <v>288</v>
      </c>
      <c r="O120"/>
      <c r="P120" t="s">
        <v>289</v>
      </c>
      <c r="Q120" t="s">
        <v>2173</v>
      </c>
      <c r="R120" t="s">
        <v>287</v>
      </c>
      <c r="S120" t="s">
        <v>287</v>
      </c>
      <c r="T120" t="s">
        <v>287</v>
      </c>
      <c r="U120"/>
      <c r="V120"/>
      <c r="W120"/>
      <c r="X120"/>
      <c r="Y120"/>
      <c r="Z120"/>
      <c r="AA120" t="s">
        <v>287</v>
      </c>
      <c r="AB120"/>
      <c r="AC120"/>
      <c r="AD120"/>
      <c r="AE120"/>
      <c r="AF120" t="s">
        <v>365</v>
      </c>
      <c r="AG120" t="s">
        <v>2174</v>
      </c>
      <c r="AH120" t="s">
        <v>2175</v>
      </c>
      <c r="AI120" t="s">
        <v>365</v>
      </c>
      <c r="AJ120" t="s">
        <v>2174</v>
      </c>
      <c r="AK120" t="s">
        <v>2175</v>
      </c>
      <c r="AL120" t="s">
        <v>365</v>
      </c>
      <c r="AM120" t="s">
        <v>2174</v>
      </c>
      <c r="AN120" t="s">
        <v>2175</v>
      </c>
      <c r="AO120" t="s">
        <v>299</v>
      </c>
      <c r="AP120" t="s">
        <v>348</v>
      </c>
      <c r="AQ120" t="s">
        <v>667</v>
      </c>
      <c r="AR120" t="s">
        <v>1375</v>
      </c>
      <c r="AS120" t="s">
        <v>2094</v>
      </c>
      <c r="AT120" t="s">
        <v>2176</v>
      </c>
      <c r="AU120" t="s">
        <v>354</v>
      </c>
      <c r="AV120"/>
      <c r="AW120" t="s">
        <v>444</v>
      </c>
      <c r="AX120" t="s">
        <v>445</v>
      </c>
      <c r="AY120"/>
      <c r="AZ120"/>
      <c r="BA120"/>
      <c r="BB120"/>
      <c r="BC120" t="s">
        <v>312</v>
      </c>
      <c r="BD120" t="s">
        <v>353</v>
      </c>
      <c r="BE120"/>
      <c r="BF120" t="s">
        <v>314</v>
      </c>
      <c r="BG120"/>
      <c r="BH120"/>
      <c r="BI120"/>
      <c r="BJ120"/>
      <c r="BK120"/>
      <c r="BL120"/>
      <c r="BM120" t="s">
        <v>305</v>
      </c>
      <c r="BN120" t="s">
        <v>354</v>
      </c>
      <c r="BO120" t="s">
        <v>2177</v>
      </c>
      <c r="BP120"/>
      <c r="BQ120"/>
      <c r="BR120">
        <v>8.6</v>
      </c>
      <c r="BS120">
        <v>6.9</v>
      </c>
      <c r="BT120">
        <v>8.3000000000000007</v>
      </c>
      <c r="BU120">
        <v>8</v>
      </c>
      <c r="BV120">
        <v>8.4</v>
      </c>
      <c r="BW120">
        <v>0</v>
      </c>
      <c r="BX120">
        <v>0</v>
      </c>
      <c r="BY120">
        <v>8.6999999999999993</v>
      </c>
      <c r="BZ120">
        <v>8.9</v>
      </c>
      <c r="CA120">
        <v>8.5</v>
      </c>
      <c r="CB120">
        <v>0</v>
      </c>
      <c r="CC120">
        <v>9.5</v>
      </c>
      <c r="CD120">
        <v>0</v>
      </c>
      <c r="CE120">
        <v>0</v>
      </c>
      <c r="CF120">
        <v>0</v>
      </c>
      <c r="CG120">
        <v>0</v>
      </c>
      <c r="CH120">
        <v>0</v>
      </c>
      <c r="CI120">
        <v>0</v>
      </c>
      <c r="CJ120">
        <v>0</v>
      </c>
      <c r="CK120">
        <v>0</v>
      </c>
      <c r="CL120">
        <v>0</v>
      </c>
      <c r="CM120">
        <v>9.5</v>
      </c>
      <c r="CN120">
        <v>7.6</v>
      </c>
      <c r="CO120">
        <v>9.1999999999999993</v>
      </c>
      <c r="CP120">
        <v>7.7</v>
      </c>
      <c r="CQ120">
        <v>9.1</v>
      </c>
      <c r="CR120">
        <v>0</v>
      </c>
      <c r="CS120">
        <v>0</v>
      </c>
      <c r="CT120">
        <v>8.1999999999999993</v>
      </c>
      <c r="CU120">
        <v>9.6</v>
      </c>
      <c r="CV120">
        <v>9</v>
      </c>
      <c r="CW120">
        <v>0</v>
      </c>
      <c r="CX120">
        <v>9.6</v>
      </c>
      <c r="CY120">
        <v>0</v>
      </c>
      <c r="CZ120">
        <v>0</v>
      </c>
      <c r="DA120">
        <v>0</v>
      </c>
      <c r="DB120">
        <v>0</v>
      </c>
      <c r="DC120">
        <v>0</v>
      </c>
      <c r="DD120">
        <v>0</v>
      </c>
      <c r="DE120">
        <v>0</v>
      </c>
      <c r="DF120">
        <v>0</v>
      </c>
      <c r="DG120">
        <v>0</v>
      </c>
      <c r="DH120">
        <v>9.8000000000000007</v>
      </c>
      <c r="DI120">
        <v>7.4</v>
      </c>
      <c r="DJ120">
        <v>9</v>
      </c>
      <c r="DK120">
        <v>7.5</v>
      </c>
      <c r="DL120">
        <v>9</v>
      </c>
      <c r="DM120">
        <v>0</v>
      </c>
      <c r="DN120">
        <v>0</v>
      </c>
      <c r="DO120">
        <v>9.6</v>
      </c>
      <c r="DP120">
        <v>9.1</v>
      </c>
      <c r="DQ120">
        <v>9.5</v>
      </c>
      <c r="DR120">
        <v>0</v>
      </c>
      <c r="DS120">
        <v>9.4</v>
      </c>
      <c r="DT120">
        <v>0</v>
      </c>
      <c r="DU120">
        <v>0</v>
      </c>
      <c r="DV120">
        <v>0</v>
      </c>
      <c r="DW120">
        <v>0</v>
      </c>
      <c r="DX120">
        <v>0</v>
      </c>
      <c r="DY120">
        <v>0</v>
      </c>
      <c r="DZ120">
        <v>0</v>
      </c>
      <c r="EA120">
        <v>0</v>
      </c>
      <c r="EB120">
        <v>0</v>
      </c>
      <c r="EC120">
        <v>7.5</v>
      </c>
      <c r="ED120">
        <v>7.25</v>
      </c>
      <c r="EE120"/>
      <c r="EF120"/>
      <c r="EG120"/>
      <c r="EH120"/>
      <c r="EI120"/>
      <c r="EJ120">
        <v>6.1</v>
      </c>
      <c r="EK120">
        <v>8.5</v>
      </c>
      <c r="EL120"/>
      <c r="EM120"/>
      <c r="EN120"/>
      <c r="EO120"/>
      <c r="EP120"/>
      <c r="EQ120"/>
      <c r="ER120"/>
      <c r="ES120"/>
      <c r="ET120"/>
      <c r="EU120"/>
      <c r="EV120"/>
      <c r="EW120"/>
      <c r="EX120"/>
      <c r="EY120"/>
      <c r="EZ120"/>
      <c r="FA120"/>
      <c r="FB120"/>
      <c r="FC120"/>
      <c r="FD120"/>
    </row>
    <row r="121" spans="1:160" x14ac:dyDescent="0.25">
      <c r="A121" s="1" t="str">
        <f t="shared" si="1"/>
        <v>075308018302</v>
      </c>
      <c r="B121" t="s">
        <v>2179</v>
      </c>
      <c r="C121" t="s">
        <v>2180</v>
      </c>
      <c r="D121" t="s">
        <v>2181</v>
      </c>
      <c r="E121" t="s">
        <v>278</v>
      </c>
      <c r="F121" t="s">
        <v>1527</v>
      </c>
      <c r="G121" t="s">
        <v>2182</v>
      </c>
      <c r="H121" t="s">
        <v>2183</v>
      </c>
      <c r="I121" t="s">
        <v>101</v>
      </c>
      <c r="J121" t="s">
        <v>2184</v>
      </c>
      <c r="K121" t="s">
        <v>321</v>
      </c>
      <c r="L121"/>
      <c r="M121" t="s">
        <v>287</v>
      </c>
      <c r="N121" t="s">
        <v>288</v>
      </c>
      <c r="O121"/>
      <c r="P121" t="s">
        <v>289</v>
      </c>
      <c r="Q121" t="s">
        <v>2185</v>
      </c>
      <c r="R121" t="s">
        <v>287</v>
      </c>
      <c r="S121" t="s">
        <v>287</v>
      </c>
      <c r="T121" t="s">
        <v>287</v>
      </c>
      <c r="U121" t="s">
        <v>2186</v>
      </c>
      <c r="V121" t="s">
        <v>2187</v>
      </c>
      <c r="W121" t="s">
        <v>2188</v>
      </c>
      <c r="X121"/>
      <c r="Y121"/>
      <c r="Z121" t="s">
        <v>294</v>
      </c>
      <c r="AA121" t="s">
        <v>287</v>
      </c>
      <c r="AB121"/>
      <c r="AC121"/>
      <c r="AD121"/>
      <c r="AE121"/>
      <c r="AF121" t="s">
        <v>856</v>
      </c>
      <c r="AG121" t="s">
        <v>2189</v>
      </c>
      <c r="AH121" t="s">
        <v>2190</v>
      </c>
      <c r="AI121" t="s">
        <v>856</v>
      </c>
      <c r="AJ121" t="s">
        <v>2189</v>
      </c>
      <c r="AK121" t="s">
        <v>2190</v>
      </c>
      <c r="AL121" t="s">
        <v>856</v>
      </c>
      <c r="AM121" t="s">
        <v>2189</v>
      </c>
      <c r="AN121" t="s">
        <v>2190</v>
      </c>
      <c r="AO121" t="s">
        <v>299</v>
      </c>
      <c r="AP121" t="s">
        <v>388</v>
      </c>
      <c r="AQ121" t="s">
        <v>2191</v>
      </c>
      <c r="AR121" t="s">
        <v>2192</v>
      </c>
      <c r="AS121" t="s">
        <v>1946</v>
      </c>
      <c r="AT121" t="s">
        <v>1693</v>
      </c>
      <c r="AU121" t="s">
        <v>305</v>
      </c>
      <c r="AV121"/>
      <c r="AW121" t="s">
        <v>372</v>
      </c>
      <c r="AX121" t="s">
        <v>373</v>
      </c>
      <c r="AY121" t="s">
        <v>608</v>
      </c>
      <c r="AZ121" t="s">
        <v>609</v>
      </c>
      <c r="BA121" t="s">
        <v>444</v>
      </c>
      <c r="BB121" t="s">
        <v>445</v>
      </c>
      <c r="BC121" t="s">
        <v>312</v>
      </c>
      <c r="BD121" t="s">
        <v>353</v>
      </c>
      <c r="BE121" t="s">
        <v>1695</v>
      </c>
      <c r="BF121" t="s">
        <v>314</v>
      </c>
      <c r="BG121"/>
      <c r="BH121"/>
      <c r="BI121"/>
      <c r="BJ121"/>
      <c r="BK121"/>
      <c r="BL121"/>
      <c r="BM121" t="s">
        <v>305</v>
      </c>
      <c r="BN121" t="s">
        <v>354</v>
      </c>
      <c r="BO121" t="s">
        <v>2193</v>
      </c>
      <c r="BP121" t="s">
        <v>2194</v>
      </c>
      <c r="BQ121"/>
      <c r="BR121">
        <v>6.3</v>
      </c>
      <c r="BS121">
        <v>7.4</v>
      </c>
      <c r="BT121">
        <v>5.0999999999999996</v>
      </c>
      <c r="BU121">
        <v>9.4</v>
      </c>
      <c r="BV121">
        <v>7.6</v>
      </c>
      <c r="BW121">
        <v>0</v>
      </c>
      <c r="BX121">
        <v>0</v>
      </c>
      <c r="BY121">
        <v>6.4</v>
      </c>
      <c r="BZ121">
        <v>6.5</v>
      </c>
      <c r="CA121">
        <v>7.6</v>
      </c>
      <c r="CB121">
        <v>0</v>
      </c>
      <c r="CC121">
        <v>7.3</v>
      </c>
      <c r="CD121">
        <v>0</v>
      </c>
      <c r="CE121">
        <v>0</v>
      </c>
      <c r="CF121">
        <v>0</v>
      </c>
      <c r="CG121">
        <v>0</v>
      </c>
      <c r="CH121">
        <v>0</v>
      </c>
      <c r="CI121">
        <v>0</v>
      </c>
      <c r="CJ121">
        <v>0</v>
      </c>
      <c r="CK121">
        <v>0</v>
      </c>
      <c r="CL121">
        <v>0</v>
      </c>
      <c r="CM121">
        <v>5</v>
      </c>
      <c r="CN121">
        <v>7.4</v>
      </c>
      <c r="CO121">
        <v>7.1</v>
      </c>
      <c r="CP121">
        <v>9.1</v>
      </c>
      <c r="CQ121">
        <v>7.8</v>
      </c>
      <c r="CR121">
        <v>0</v>
      </c>
      <c r="CS121">
        <v>0</v>
      </c>
      <c r="CT121">
        <v>6.7</v>
      </c>
      <c r="CU121">
        <v>6.5</v>
      </c>
      <c r="CV121">
        <v>7.7</v>
      </c>
      <c r="CW121">
        <v>0</v>
      </c>
      <c r="CX121">
        <v>8.3000000000000007</v>
      </c>
      <c r="CY121">
        <v>0</v>
      </c>
      <c r="CZ121">
        <v>0</v>
      </c>
      <c r="DA121">
        <v>0</v>
      </c>
      <c r="DB121">
        <v>0</v>
      </c>
      <c r="DC121">
        <v>0</v>
      </c>
      <c r="DD121">
        <v>0</v>
      </c>
      <c r="DE121">
        <v>0</v>
      </c>
      <c r="DF121">
        <v>0</v>
      </c>
      <c r="DG121">
        <v>0</v>
      </c>
      <c r="DH121">
        <v>5.5</v>
      </c>
      <c r="DI121">
        <v>7.3</v>
      </c>
      <c r="DJ121">
        <v>6</v>
      </c>
      <c r="DK121">
        <v>9.1</v>
      </c>
      <c r="DL121">
        <v>6.6</v>
      </c>
      <c r="DM121">
        <v>0</v>
      </c>
      <c r="DN121">
        <v>0</v>
      </c>
      <c r="DO121">
        <v>7.9</v>
      </c>
      <c r="DP121">
        <v>6.2</v>
      </c>
      <c r="DQ121">
        <v>6.6</v>
      </c>
      <c r="DR121">
        <v>0</v>
      </c>
      <c r="DS121">
        <v>9</v>
      </c>
      <c r="DT121">
        <v>0</v>
      </c>
      <c r="DU121">
        <v>0</v>
      </c>
      <c r="DV121">
        <v>0</v>
      </c>
      <c r="DW121">
        <v>0</v>
      </c>
      <c r="DX121">
        <v>0</v>
      </c>
      <c r="DY121">
        <v>0</v>
      </c>
      <c r="DZ121">
        <v>0</v>
      </c>
      <c r="EA121">
        <v>0</v>
      </c>
      <c r="EB121">
        <v>0</v>
      </c>
      <c r="EC121">
        <v>4</v>
      </c>
      <c r="ED121">
        <v>7</v>
      </c>
      <c r="EE121"/>
      <c r="EF121"/>
      <c r="EG121">
        <v>6.1</v>
      </c>
      <c r="EH121"/>
      <c r="EI121"/>
      <c r="EJ121">
        <v>4.3499999999999996</v>
      </c>
      <c r="EK121"/>
      <c r="EL121"/>
      <c r="EM121"/>
      <c r="EN121"/>
      <c r="EO121"/>
      <c r="EP121"/>
      <c r="EQ121"/>
      <c r="ER121"/>
      <c r="ES121"/>
      <c r="ET121"/>
      <c r="EU121"/>
      <c r="EV121"/>
      <c r="EW121"/>
      <c r="EX121"/>
      <c r="EY121"/>
      <c r="EZ121"/>
      <c r="FA121"/>
      <c r="FB121"/>
      <c r="FC121"/>
      <c r="FD121"/>
    </row>
    <row r="122" spans="1:160" x14ac:dyDescent="0.25">
      <c r="A122" s="1" t="str">
        <f t="shared" si="1"/>
        <v>091208017231</v>
      </c>
      <c r="B122" t="s">
        <v>2195</v>
      </c>
      <c r="C122" t="s">
        <v>2196</v>
      </c>
      <c r="D122" t="s">
        <v>2197</v>
      </c>
      <c r="E122" t="s">
        <v>280</v>
      </c>
      <c r="F122" t="s">
        <v>2198</v>
      </c>
      <c r="G122" t="s">
        <v>2199</v>
      </c>
      <c r="H122" t="s">
        <v>2200</v>
      </c>
      <c r="I122" t="s">
        <v>2201</v>
      </c>
      <c r="J122" t="s">
        <v>2202</v>
      </c>
      <c r="K122" t="s">
        <v>321</v>
      </c>
      <c r="L122"/>
      <c r="M122" t="s">
        <v>287</v>
      </c>
      <c r="N122" t="s">
        <v>288</v>
      </c>
      <c r="O122"/>
      <c r="P122" t="s">
        <v>289</v>
      </c>
      <c r="Q122"/>
      <c r="R122" t="s">
        <v>287</v>
      </c>
      <c r="S122" t="s">
        <v>287</v>
      </c>
      <c r="T122" t="s">
        <v>287</v>
      </c>
      <c r="U122"/>
      <c r="V122"/>
      <c r="W122"/>
      <c r="X122"/>
      <c r="Y122"/>
      <c r="Z122"/>
      <c r="AA122" t="s">
        <v>287</v>
      </c>
      <c r="AB122"/>
      <c r="AC122"/>
      <c r="AD122"/>
      <c r="AE122"/>
      <c r="AF122" t="s">
        <v>576</v>
      </c>
      <c r="AG122" t="s">
        <v>1231</v>
      </c>
      <c r="AH122" t="s">
        <v>2203</v>
      </c>
      <c r="AI122" t="s">
        <v>576</v>
      </c>
      <c r="AJ122" t="s">
        <v>1231</v>
      </c>
      <c r="AK122" t="s">
        <v>2203</v>
      </c>
      <c r="AL122" t="s">
        <v>576</v>
      </c>
      <c r="AM122" t="s">
        <v>1231</v>
      </c>
      <c r="AN122" t="s">
        <v>2203</v>
      </c>
      <c r="AO122" t="s">
        <v>299</v>
      </c>
      <c r="AP122" t="s">
        <v>603</v>
      </c>
      <c r="AQ122" t="s">
        <v>294</v>
      </c>
      <c r="AR122" t="s">
        <v>756</v>
      </c>
      <c r="AS122" t="s">
        <v>1928</v>
      </c>
      <c r="AT122" t="s">
        <v>504</v>
      </c>
      <c r="AU122" t="s">
        <v>354</v>
      </c>
      <c r="AV122"/>
      <c r="AW122" t="s">
        <v>562</v>
      </c>
      <c r="AX122" t="s">
        <v>563</v>
      </c>
      <c r="AY122" t="s">
        <v>545</v>
      </c>
      <c r="AZ122" t="s">
        <v>546</v>
      </c>
      <c r="BA122" t="s">
        <v>372</v>
      </c>
      <c r="BB122" t="s">
        <v>373</v>
      </c>
      <c r="BC122" t="s">
        <v>312</v>
      </c>
      <c r="BD122" t="s">
        <v>353</v>
      </c>
      <c r="BE122" t="s">
        <v>2204</v>
      </c>
      <c r="BF122" t="s">
        <v>314</v>
      </c>
      <c r="BG122"/>
      <c r="BH122"/>
      <c r="BI122"/>
      <c r="BJ122"/>
      <c r="BK122"/>
      <c r="BL122"/>
      <c r="BM122" t="s">
        <v>305</v>
      </c>
      <c r="BN122" t="s">
        <v>354</v>
      </c>
      <c r="BO122" t="s">
        <v>2205</v>
      </c>
      <c r="BP122"/>
      <c r="BQ122"/>
      <c r="BR122">
        <v>8.6</v>
      </c>
      <c r="BS122">
        <v>6.9</v>
      </c>
      <c r="BT122">
        <v>6.2</v>
      </c>
      <c r="BU122">
        <v>9.4</v>
      </c>
      <c r="BV122">
        <v>9.5</v>
      </c>
      <c r="BW122">
        <v>8.1999999999999993</v>
      </c>
      <c r="BX122">
        <v>8.3000000000000007</v>
      </c>
      <c r="BY122">
        <v>0</v>
      </c>
      <c r="BZ122">
        <v>0</v>
      </c>
      <c r="CA122">
        <v>0</v>
      </c>
      <c r="CB122">
        <v>8</v>
      </c>
      <c r="CC122">
        <v>7.7</v>
      </c>
      <c r="CD122">
        <v>0</v>
      </c>
      <c r="CE122">
        <v>0</v>
      </c>
      <c r="CF122">
        <v>0</v>
      </c>
      <c r="CG122">
        <v>0</v>
      </c>
      <c r="CH122">
        <v>0</v>
      </c>
      <c r="CI122">
        <v>0</v>
      </c>
      <c r="CJ122">
        <v>0</v>
      </c>
      <c r="CK122">
        <v>0</v>
      </c>
      <c r="CL122">
        <v>0</v>
      </c>
      <c r="CM122">
        <v>8.1999999999999993</v>
      </c>
      <c r="CN122">
        <v>6.6</v>
      </c>
      <c r="CO122">
        <v>6.6</v>
      </c>
      <c r="CP122">
        <v>9.1999999999999993</v>
      </c>
      <c r="CQ122">
        <v>9.4</v>
      </c>
      <c r="CR122">
        <v>8.4</v>
      </c>
      <c r="CS122">
        <v>9</v>
      </c>
      <c r="CT122">
        <v>0</v>
      </c>
      <c r="CU122">
        <v>0</v>
      </c>
      <c r="CV122">
        <v>0</v>
      </c>
      <c r="CW122">
        <v>8.1</v>
      </c>
      <c r="CX122">
        <v>8.3000000000000007</v>
      </c>
      <c r="CY122">
        <v>0</v>
      </c>
      <c r="CZ122">
        <v>0</v>
      </c>
      <c r="DA122">
        <v>0</v>
      </c>
      <c r="DB122">
        <v>0</v>
      </c>
      <c r="DC122">
        <v>0</v>
      </c>
      <c r="DD122">
        <v>0</v>
      </c>
      <c r="DE122">
        <v>0</v>
      </c>
      <c r="DF122">
        <v>0</v>
      </c>
      <c r="DG122">
        <v>0</v>
      </c>
      <c r="DH122">
        <v>8.4</v>
      </c>
      <c r="DI122">
        <v>7.1</v>
      </c>
      <c r="DJ122">
        <v>8.1999999999999993</v>
      </c>
      <c r="DK122">
        <v>10</v>
      </c>
      <c r="DL122">
        <v>9.6999999999999993</v>
      </c>
      <c r="DM122">
        <v>9.1</v>
      </c>
      <c r="DN122">
        <v>9</v>
      </c>
      <c r="DO122">
        <v>0</v>
      </c>
      <c r="DP122">
        <v>0</v>
      </c>
      <c r="DQ122">
        <v>0</v>
      </c>
      <c r="DR122">
        <v>8.5</v>
      </c>
      <c r="DS122">
        <v>8.1999999999999993</v>
      </c>
      <c r="DT122">
        <v>0</v>
      </c>
      <c r="DU122">
        <v>0</v>
      </c>
      <c r="DV122">
        <v>0</v>
      </c>
      <c r="DW122">
        <v>0</v>
      </c>
      <c r="DX122">
        <v>0</v>
      </c>
      <c r="DY122">
        <v>0</v>
      </c>
      <c r="DZ122">
        <v>0</v>
      </c>
      <c r="EA122">
        <v>0</v>
      </c>
      <c r="EB122">
        <v>0</v>
      </c>
      <c r="EC122">
        <v>5.25</v>
      </c>
      <c r="ED122">
        <v>6.75</v>
      </c>
      <c r="EE122"/>
      <c r="EF122"/>
      <c r="EG122">
        <v>8</v>
      </c>
      <c r="EH122"/>
      <c r="EI122">
        <v>7.75</v>
      </c>
      <c r="EJ122"/>
      <c r="EK122"/>
      <c r="EL122"/>
      <c r="EM122"/>
      <c r="EN122"/>
      <c r="EO122"/>
      <c r="EP122"/>
      <c r="EQ122"/>
      <c r="ER122"/>
      <c r="ES122"/>
      <c r="ET122"/>
      <c r="EU122"/>
      <c r="EV122"/>
      <c r="EW122"/>
      <c r="EX122"/>
      <c r="EY122"/>
      <c r="EZ122"/>
      <c r="FA122"/>
      <c r="FB122"/>
      <c r="FC122"/>
      <c r="FD122"/>
    </row>
    <row r="123" spans="1:160" x14ac:dyDescent="0.25">
      <c r="A123" s="1" t="str">
        <f t="shared" si="1"/>
        <v>049308000153</v>
      </c>
      <c r="B123" t="s">
        <v>2207</v>
      </c>
      <c r="C123" t="s">
        <v>2208</v>
      </c>
      <c r="D123" t="s">
        <v>2209</v>
      </c>
      <c r="E123" t="s">
        <v>278</v>
      </c>
      <c r="F123" t="s">
        <v>2210</v>
      </c>
      <c r="G123" t="s">
        <v>2211</v>
      </c>
      <c r="H123" t="s">
        <v>2212</v>
      </c>
      <c r="I123" t="s">
        <v>2213</v>
      </c>
      <c r="J123" t="s">
        <v>2214</v>
      </c>
      <c r="K123" t="s">
        <v>321</v>
      </c>
      <c r="L123"/>
      <c r="M123" t="s">
        <v>287</v>
      </c>
      <c r="N123" t="s">
        <v>288</v>
      </c>
      <c r="O123"/>
      <c r="P123" t="s">
        <v>289</v>
      </c>
      <c r="Q123"/>
      <c r="R123" t="s">
        <v>287</v>
      </c>
      <c r="S123" t="s">
        <v>287</v>
      </c>
      <c r="T123" t="s">
        <v>287</v>
      </c>
      <c r="U123"/>
      <c r="V123"/>
      <c r="W123"/>
      <c r="X123"/>
      <c r="Y123"/>
      <c r="Z123"/>
      <c r="AA123" t="s">
        <v>287</v>
      </c>
      <c r="AB123"/>
      <c r="AC123"/>
      <c r="AD123"/>
      <c r="AE123"/>
      <c r="AF123" t="s">
        <v>2215</v>
      </c>
      <c r="AG123" t="s">
        <v>2216</v>
      </c>
      <c r="AH123" t="s">
        <v>2217</v>
      </c>
      <c r="AI123" t="s">
        <v>2215</v>
      </c>
      <c r="AJ123" t="s">
        <v>2216</v>
      </c>
      <c r="AK123" t="s">
        <v>2217</v>
      </c>
      <c r="AL123" t="s">
        <v>2215</v>
      </c>
      <c r="AM123" t="s">
        <v>1612</v>
      </c>
      <c r="AN123" t="s">
        <v>2218</v>
      </c>
      <c r="AO123" t="s">
        <v>299</v>
      </c>
      <c r="AP123" t="s">
        <v>348</v>
      </c>
      <c r="AQ123" t="s">
        <v>1262</v>
      </c>
      <c r="AR123" t="s">
        <v>931</v>
      </c>
      <c r="AS123" t="s">
        <v>484</v>
      </c>
      <c r="AT123" t="s">
        <v>752</v>
      </c>
      <c r="AU123" t="s">
        <v>354</v>
      </c>
      <c r="AV123"/>
      <c r="AW123" t="s">
        <v>332</v>
      </c>
      <c r="AX123" t="s">
        <v>333</v>
      </c>
      <c r="AY123"/>
      <c r="AZ123"/>
      <c r="BA123"/>
      <c r="BB123"/>
      <c r="BC123" t="s">
        <v>669</v>
      </c>
      <c r="BD123" t="s">
        <v>353</v>
      </c>
      <c r="BE123" t="s">
        <v>2204</v>
      </c>
      <c r="BF123" t="s">
        <v>314</v>
      </c>
      <c r="BG123"/>
      <c r="BH123"/>
      <c r="BI123"/>
      <c r="BJ123"/>
      <c r="BK123"/>
      <c r="BL123"/>
      <c r="BM123" t="s">
        <v>305</v>
      </c>
      <c r="BN123" t="s">
        <v>354</v>
      </c>
      <c r="BO123" t="s">
        <v>2219</v>
      </c>
      <c r="BP123"/>
      <c r="BQ123"/>
      <c r="BR123">
        <v>8.4</v>
      </c>
      <c r="BS123">
        <v>6.6</v>
      </c>
      <c r="BT123">
        <v>7.8</v>
      </c>
      <c r="BU123">
        <v>9.1</v>
      </c>
      <c r="BV123">
        <v>8.6</v>
      </c>
      <c r="BW123">
        <v>0</v>
      </c>
      <c r="BX123">
        <v>0</v>
      </c>
      <c r="BY123">
        <v>8.4</v>
      </c>
      <c r="BZ123">
        <v>7.4</v>
      </c>
      <c r="CA123">
        <v>0</v>
      </c>
      <c r="CB123">
        <v>8.9</v>
      </c>
      <c r="CC123">
        <v>8</v>
      </c>
      <c r="CD123">
        <v>0</v>
      </c>
      <c r="CE123">
        <v>0</v>
      </c>
      <c r="CF123">
        <v>0</v>
      </c>
      <c r="CG123">
        <v>0</v>
      </c>
      <c r="CH123">
        <v>0</v>
      </c>
      <c r="CI123">
        <v>0</v>
      </c>
      <c r="CJ123">
        <v>0</v>
      </c>
      <c r="CK123">
        <v>0</v>
      </c>
      <c r="CL123">
        <v>0</v>
      </c>
      <c r="CM123">
        <v>8.8000000000000007</v>
      </c>
      <c r="CN123">
        <v>6.6</v>
      </c>
      <c r="CO123">
        <v>8</v>
      </c>
      <c r="CP123">
        <v>9</v>
      </c>
      <c r="CQ123">
        <v>8.5</v>
      </c>
      <c r="CR123">
        <v>0</v>
      </c>
      <c r="CS123">
        <v>0</v>
      </c>
      <c r="CT123">
        <v>8.4</v>
      </c>
      <c r="CU123">
        <v>8.1999999999999993</v>
      </c>
      <c r="CV123">
        <v>0</v>
      </c>
      <c r="CW123">
        <v>9.6</v>
      </c>
      <c r="CX123">
        <v>9.1999999999999993</v>
      </c>
      <c r="CY123">
        <v>0</v>
      </c>
      <c r="CZ123">
        <v>0</v>
      </c>
      <c r="DA123">
        <v>0</v>
      </c>
      <c r="DB123">
        <v>0</v>
      </c>
      <c r="DC123">
        <v>0</v>
      </c>
      <c r="DD123">
        <v>0</v>
      </c>
      <c r="DE123">
        <v>0</v>
      </c>
      <c r="DF123">
        <v>0</v>
      </c>
      <c r="DG123">
        <v>0</v>
      </c>
      <c r="DH123">
        <v>7.7</v>
      </c>
      <c r="DI123">
        <v>7.1</v>
      </c>
      <c r="DJ123">
        <v>7.9</v>
      </c>
      <c r="DK123">
        <v>9.1</v>
      </c>
      <c r="DL123">
        <v>8.6</v>
      </c>
      <c r="DM123">
        <v>0</v>
      </c>
      <c r="DN123">
        <v>0</v>
      </c>
      <c r="DO123">
        <v>8.8000000000000007</v>
      </c>
      <c r="DP123">
        <v>9</v>
      </c>
      <c r="DQ123">
        <v>0</v>
      </c>
      <c r="DR123">
        <v>8.3000000000000007</v>
      </c>
      <c r="DS123">
        <v>8.1</v>
      </c>
      <c r="DT123">
        <v>0</v>
      </c>
      <c r="DU123">
        <v>0</v>
      </c>
      <c r="DV123">
        <v>0</v>
      </c>
      <c r="DW123">
        <v>0</v>
      </c>
      <c r="DX123">
        <v>0</v>
      </c>
      <c r="DY123">
        <v>0</v>
      </c>
      <c r="DZ123">
        <v>0</v>
      </c>
      <c r="EA123">
        <v>0</v>
      </c>
      <c r="EB123">
        <v>0</v>
      </c>
      <c r="EC123">
        <v>6.75</v>
      </c>
      <c r="ED123">
        <v>5.75</v>
      </c>
      <c r="EE123"/>
      <c r="EF123"/>
      <c r="EG123"/>
      <c r="EH123"/>
      <c r="EI123"/>
      <c r="EJ123">
        <v>5</v>
      </c>
      <c r="EK123">
        <v>5.6</v>
      </c>
      <c r="EL123"/>
      <c r="EM123"/>
      <c r="EN123"/>
      <c r="EO123"/>
      <c r="EP123"/>
      <c r="EQ123"/>
      <c r="ER123"/>
      <c r="ES123"/>
      <c r="ET123"/>
      <c r="EU123"/>
      <c r="EV123"/>
      <c r="EW123"/>
      <c r="EX123"/>
      <c r="EY123"/>
      <c r="EZ123"/>
      <c r="FA123"/>
      <c r="FB123"/>
      <c r="FC123"/>
      <c r="FD123"/>
    </row>
    <row r="124" spans="1:160" x14ac:dyDescent="0.25">
      <c r="A124" s="1" t="str">
        <f t="shared" si="1"/>
        <v>086208001080</v>
      </c>
      <c r="B124" t="s">
        <v>2220</v>
      </c>
      <c r="C124" t="s">
        <v>2221</v>
      </c>
      <c r="D124" t="s">
        <v>2222</v>
      </c>
      <c r="E124" t="s">
        <v>280</v>
      </c>
      <c r="F124" t="s">
        <v>1775</v>
      </c>
      <c r="G124" t="s">
        <v>2223</v>
      </c>
      <c r="H124" t="s">
        <v>2224</v>
      </c>
      <c r="I124" t="s">
        <v>71</v>
      </c>
      <c r="J124" t="s">
        <v>2225</v>
      </c>
      <c r="K124" t="s">
        <v>516</v>
      </c>
      <c r="L124"/>
      <c r="M124" t="s">
        <v>287</v>
      </c>
      <c r="N124" t="s">
        <v>288</v>
      </c>
      <c r="O124"/>
      <c r="P124" t="s">
        <v>289</v>
      </c>
      <c r="Q124" t="s">
        <v>2226</v>
      </c>
      <c r="R124" t="s">
        <v>287</v>
      </c>
      <c r="S124" t="s">
        <v>287</v>
      </c>
      <c r="T124" t="s">
        <v>287</v>
      </c>
      <c r="U124"/>
      <c r="V124"/>
      <c r="W124"/>
      <c r="X124"/>
      <c r="Y124"/>
      <c r="Z124"/>
      <c r="AA124" t="s">
        <v>287</v>
      </c>
      <c r="AB124"/>
      <c r="AC124"/>
      <c r="AD124"/>
      <c r="AE124"/>
      <c r="AF124" t="s">
        <v>421</v>
      </c>
      <c r="AG124" t="s">
        <v>1572</v>
      </c>
      <c r="AH124" t="s">
        <v>1573</v>
      </c>
      <c r="AI124" t="s">
        <v>421</v>
      </c>
      <c r="AJ124" t="s">
        <v>1572</v>
      </c>
      <c r="AK124" t="s">
        <v>1573</v>
      </c>
      <c r="AL124" t="s">
        <v>421</v>
      </c>
      <c r="AM124" t="s">
        <v>1572</v>
      </c>
      <c r="AN124" t="s">
        <v>1573</v>
      </c>
      <c r="AO124" t="s">
        <v>299</v>
      </c>
      <c r="AP124" t="s">
        <v>348</v>
      </c>
      <c r="AQ124" t="s">
        <v>544</v>
      </c>
      <c r="AR124" t="s">
        <v>1133</v>
      </c>
      <c r="AS124" t="s">
        <v>579</v>
      </c>
      <c r="AT124" t="s">
        <v>1180</v>
      </c>
      <c r="AU124" t="s">
        <v>354</v>
      </c>
      <c r="AV124"/>
      <c r="AW124" t="s">
        <v>351</v>
      </c>
      <c r="AX124" t="s">
        <v>352</v>
      </c>
      <c r="AY124" t="s">
        <v>349</v>
      </c>
      <c r="AZ124" t="s">
        <v>350</v>
      </c>
      <c r="BA124" t="s">
        <v>526</v>
      </c>
      <c r="BB124" t="s">
        <v>527</v>
      </c>
      <c r="BC124" t="s">
        <v>669</v>
      </c>
      <c r="BD124" t="s">
        <v>353</v>
      </c>
      <c r="BE124"/>
      <c r="BF124" t="s">
        <v>314</v>
      </c>
      <c r="BG124"/>
      <c r="BH124"/>
      <c r="BI124"/>
      <c r="BJ124"/>
      <c r="BK124"/>
      <c r="BL124"/>
      <c r="BM124" t="s">
        <v>305</v>
      </c>
      <c r="BN124" t="s">
        <v>354</v>
      </c>
      <c r="BO124" t="s">
        <v>2227</v>
      </c>
      <c r="BP124"/>
      <c r="BQ124"/>
      <c r="BR124">
        <v>8.1</v>
      </c>
      <c r="BS124">
        <v>8.1999999999999993</v>
      </c>
      <c r="BT124">
        <v>7.6</v>
      </c>
      <c r="BU124">
        <v>9.6</v>
      </c>
      <c r="BV124">
        <v>8</v>
      </c>
      <c r="BW124">
        <v>0</v>
      </c>
      <c r="BX124">
        <v>0</v>
      </c>
      <c r="BY124">
        <v>8.6999999999999993</v>
      </c>
      <c r="BZ124">
        <v>9.3000000000000007</v>
      </c>
      <c r="CA124">
        <v>8.8000000000000007</v>
      </c>
      <c r="CB124">
        <v>0</v>
      </c>
      <c r="CC124">
        <v>9.1999999999999993</v>
      </c>
      <c r="CD124">
        <v>0</v>
      </c>
      <c r="CE124">
        <v>0</v>
      </c>
      <c r="CF124">
        <v>0</v>
      </c>
      <c r="CG124">
        <v>0</v>
      </c>
      <c r="CH124">
        <v>0</v>
      </c>
      <c r="CI124">
        <v>0</v>
      </c>
      <c r="CJ124">
        <v>0</v>
      </c>
      <c r="CK124">
        <v>0</v>
      </c>
      <c r="CL124">
        <v>0</v>
      </c>
      <c r="CM124">
        <v>7.7</v>
      </c>
      <c r="CN124">
        <v>7.7</v>
      </c>
      <c r="CO124">
        <v>8.5</v>
      </c>
      <c r="CP124">
        <v>8.6</v>
      </c>
      <c r="CQ124">
        <v>8.6</v>
      </c>
      <c r="CR124">
        <v>0</v>
      </c>
      <c r="CS124">
        <v>0</v>
      </c>
      <c r="CT124">
        <v>8.8000000000000007</v>
      </c>
      <c r="CU124">
        <v>9.1999999999999993</v>
      </c>
      <c r="CV124">
        <v>8.8000000000000007</v>
      </c>
      <c r="CW124">
        <v>0</v>
      </c>
      <c r="CX124">
        <v>9.5</v>
      </c>
      <c r="CY124">
        <v>0</v>
      </c>
      <c r="CZ124">
        <v>0</v>
      </c>
      <c r="DA124">
        <v>0</v>
      </c>
      <c r="DB124">
        <v>0</v>
      </c>
      <c r="DC124">
        <v>0</v>
      </c>
      <c r="DD124">
        <v>0</v>
      </c>
      <c r="DE124">
        <v>0</v>
      </c>
      <c r="DF124">
        <v>0</v>
      </c>
      <c r="DG124">
        <v>0</v>
      </c>
      <c r="DH124">
        <v>9</v>
      </c>
      <c r="DI124">
        <v>7.4</v>
      </c>
      <c r="DJ124">
        <v>7.6</v>
      </c>
      <c r="DK124">
        <v>9.1</v>
      </c>
      <c r="DL124">
        <v>8.3000000000000007</v>
      </c>
      <c r="DM124">
        <v>0</v>
      </c>
      <c r="DN124">
        <v>0</v>
      </c>
      <c r="DO124">
        <v>9.3000000000000007</v>
      </c>
      <c r="DP124">
        <v>9</v>
      </c>
      <c r="DQ124">
        <v>7.4</v>
      </c>
      <c r="DR124">
        <v>0</v>
      </c>
      <c r="DS124">
        <v>8.5</v>
      </c>
      <c r="DT124">
        <v>0</v>
      </c>
      <c r="DU124">
        <v>0</v>
      </c>
      <c r="DV124">
        <v>0</v>
      </c>
      <c r="DW124">
        <v>0</v>
      </c>
      <c r="DX124">
        <v>0</v>
      </c>
      <c r="DY124">
        <v>0</v>
      </c>
      <c r="DZ124">
        <v>0</v>
      </c>
      <c r="EA124">
        <v>0</v>
      </c>
      <c r="EB124">
        <v>0</v>
      </c>
      <c r="EC124">
        <v>8</v>
      </c>
      <c r="ED124">
        <v>5.25</v>
      </c>
      <c r="EE124"/>
      <c r="EF124"/>
      <c r="EG124"/>
      <c r="EH124"/>
      <c r="EI124"/>
      <c r="EJ124">
        <v>7.5</v>
      </c>
      <c r="EK124">
        <v>7.5</v>
      </c>
      <c r="EL124"/>
      <c r="EM124"/>
      <c r="EN124"/>
      <c r="EO124"/>
      <c r="EP124"/>
      <c r="EQ124"/>
      <c r="ER124"/>
      <c r="ES124"/>
      <c r="ET124"/>
      <c r="EU124"/>
      <c r="EV124"/>
      <c r="EW124"/>
      <c r="EX124"/>
      <c r="EY124"/>
      <c r="EZ124"/>
      <c r="FA124"/>
      <c r="FB124"/>
      <c r="FC124"/>
      <c r="FD124"/>
    </row>
    <row r="125" spans="1:160" x14ac:dyDescent="0.25">
      <c r="A125" s="1" t="str">
        <f t="shared" si="1"/>
        <v>083308002228</v>
      </c>
      <c r="B125" t="s">
        <v>2228</v>
      </c>
      <c r="C125" t="s">
        <v>2229</v>
      </c>
      <c r="D125" t="s">
        <v>2230</v>
      </c>
      <c r="E125" t="s">
        <v>278</v>
      </c>
      <c r="F125" t="s">
        <v>2178</v>
      </c>
      <c r="G125" t="s">
        <v>2231</v>
      </c>
      <c r="H125" t="s">
        <v>2232</v>
      </c>
      <c r="I125" t="s">
        <v>2233</v>
      </c>
      <c r="J125" t="s">
        <v>2234</v>
      </c>
      <c r="K125" t="s">
        <v>321</v>
      </c>
      <c r="L125"/>
      <c r="M125" t="s">
        <v>287</v>
      </c>
      <c r="N125" t="s">
        <v>288</v>
      </c>
      <c r="O125"/>
      <c r="P125" t="s">
        <v>289</v>
      </c>
      <c r="Q125" t="s">
        <v>2235</v>
      </c>
      <c r="R125" t="s">
        <v>287</v>
      </c>
      <c r="S125" t="s">
        <v>287</v>
      </c>
      <c r="T125" t="s">
        <v>287</v>
      </c>
      <c r="U125"/>
      <c r="V125"/>
      <c r="W125"/>
      <c r="X125"/>
      <c r="Y125"/>
      <c r="Z125"/>
      <c r="AA125" t="s">
        <v>287</v>
      </c>
      <c r="AB125"/>
      <c r="AC125"/>
      <c r="AD125"/>
      <c r="AE125"/>
      <c r="AF125" t="s">
        <v>421</v>
      </c>
      <c r="AG125" t="s">
        <v>2236</v>
      </c>
      <c r="AH125" t="s">
        <v>2237</v>
      </c>
      <c r="AI125" t="s">
        <v>421</v>
      </c>
      <c r="AJ125" t="s">
        <v>2236</v>
      </c>
      <c r="AK125" t="s">
        <v>2237</v>
      </c>
      <c r="AL125" t="s">
        <v>421</v>
      </c>
      <c r="AM125" t="s">
        <v>1699</v>
      </c>
      <c r="AN125" t="s">
        <v>2238</v>
      </c>
      <c r="AO125" t="s">
        <v>299</v>
      </c>
      <c r="AP125" t="s">
        <v>348</v>
      </c>
      <c r="AQ125" t="s">
        <v>969</v>
      </c>
      <c r="AR125" t="s">
        <v>1561</v>
      </c>
      <c r="AS125" t="s">
        <v>484</v>
      </c>
      <c r="AT125" t="s">
        <v>1498</v>
      </c>
      <c r="AU125" t="s">
        <v>354</v>
      </c>
      <c r="AV125"/>
      <c r="AW125" t="s">
        <v>349</v>
      </c>
      <c r="AX125" t="s">
        <v>350</v>
      </c>
      <c r="AY125" t="s">
        <v>330</v>
      </c>
      <c r="AZ125" t="s">
        <v>331</v>
      </c>
      <c r="BA125" t="s">
        <v>444</v>
      </c>
      <c r="BB125" t="s">
        <v>445</v>
      </c>
      <c r="BC125" t="s">
        <v>312</v>
      </c>
      <c r="BD125" t="s">
        <v>353</v>
      </c>
      <c r="BE125" t="s">
        <v>2927</v>
      </c>
      <c r="BF125" t="s">
        <v>314</v>
      </c>
      <c r="BG125"/>
      <c r="BH125"/>
      <c r="BI125"/>
      <c r="BJ125"/>
      <c r="BK125"/>
      <c r="BL125"/>
      <c r="BM125" t="s">
        <v>305</v>
      </c>
      <c r="BN125" t="s">
        <v>354</v>
      </c>
      <c r="BO125" t="s">
        <v>2239</v>
      </c>
      <c r="BP125"/>
      <c r="BQ125"/>
      <c r="BR125">
        <v>7.3</v>
      </c>
      <c r="BS125">
        <v>7.5</v>
      </c>
      <c r="BT125">
        <v>8.4</v>
      </c>
      <c r="BU125">
        <v>9.8000000000000007</v>
      </c>
      <c r="BV125">
        <v>7.8</v>
      </c>
      <c r="BW125">
        <v>0</v>
      </c>
      <c r="BX125">
        <v>0</v>
      </c>
      <c r="BY125">
        <v>7.7</v>
      </c>
      <c r="BZ125">
        <v>8.6</v>
      </c>
      <c r="CA125">
        <v>7.5</v>
      </c>
      <c r="CB125">
        <v>0</v>
      </c>
      <c r="CC125">
        <v>8.5</v>
      </c>
      <c r="CD125">
        <v>0</v>
      </c>
      <c r="CE125">
        <v>0</v>
      </c>
      <c r="CF125">
        <v>0</v>
      </c>
      <c r="CG125">
        <v>0</v>
      </c>
      <c r="CH125">
        <v>0</v>
      </c>
      <c r="CI125">
        <v>0</v>
      </c>
      <c r="CJ125">
        <v>0</v>
      </c>
      <c r="CK125">
        <v>0</v>
      </c>
      <c r="CL125">
        <v>0</v>
      </c>
      <c r="CM125">
        <v>7.6</v>
      </c>
      <c r="CN125">
        <v>8.1</v>
      </c>
      <c r="CO125">
        <v>9.1</v>
      </c>
      <c r="CP125">
        <v>9.9</v>
      </c>
      <c r="CQ125">
        <v>8.1</v>
      </c>
      <c r="CR125">
        <v>0</v>
      </c>
      <c r="CS125">
        <v>0</v>
      </c>
      <c r="CT125">
        <v>7.7</v>
      </c>
      <c r="CU125">
        <v>8.9</v>
      </c>
      <c r="CV125">
        <v>8</v>
      </c>
      <c r="CW125">
        <v>0</v>
      </c>
      <c r="CX125">
        <v>8.9</v>
      </c>
      <c r="CY125">
        <v>0</v>
      </c>
      <c r="CZ125">
        <v>0</v>
      </c>
      <c r="DA125">
        <v>0</v>
      </c>
      <c r="DB125">
        <v>0</v>
      </c>
      <c r="DC125">
        <v>0</v>
      </c>
      <c r="DD125">
        <v>0</v>
      </c>
      <c r="DE125">
        <v>0</v>
      </c>
      <c r="DF125">
        <v>0</v>
      </c>
      <c r="DG125">
        <v>0</v>
      </c>
      <c r="DH125">
        <v>9.1</v>
      </c>
      <c r="DI125">
        <v>7.6</v>
      </c>
      <c r="DJ125">
        <v>9.3000000000000007</v>
      </c>
      <c r="DK125">
        <v>9.4</v>
      </c>
      <c r="DL125">
        <v>8.8000000000000007</v>
      </c>
      <c r="DM125">
        <v>0</v>
      </c>
      <c r="DN125">
        <v>0</v>
      </c>
      <c r="DO125">
        <v>9.1999999999999993</v>
      </c>
      <c r="DP125">
        <v>9.3000000000000007</v>
      </c>
      <c r="DQ125">
        <v>8.3000000000000007</v>
      </c>
      <c r="DR125">
        <v>0</v>
      </c>
      <c r="DS125">
        <v>9.1</v>
      </c>
      <c r="DT125">
        <v>0</v>
      </c>
      <c r="DU125">
        <v>0</v>
      </c>
      <c r="DV125">
        <v>0</v>
      </c>
      <c r="DW125">
        <v>0</v>
      </c>
      <c r="DX125">
        <v>0</v>
      </c>
      <c r="DY125">
        <v>0</v>
      </c>
      <c r="DZ125">
        <v>0</v>
      </c>
      <c r="EA125">
        <v>0</v>
      </c>
      <c r="EB125">
        <v>0</v>
      </c>
      <c r="EC125">
        <v>5.25</v>
      </c>
      <c r="ED125">
        <v>4.75</v>
      </c>
      <c r="EE125">
        <v>0</v>
      </c>
      <c r="EF125"/>
      <c r="EG125">
        <v>0</v>
      </c>
      <c r="EH125"/>
      <c r="EI125">
        <v>0</v>
      </c>
      <c r="EJ125">
        <v>4.25</v>
      </c>
      <c r="EK125">
        <v>5</v>
      </c>
      <c r="EL125">
        <v>0</v>
      </c>
      <c r="EM125"/>
      <c r="EN125">
        <v>0</v>
      </c>
      <c r="EO125"/>
      <c r="EP125"/>
      <c r="EQ125"/>
      <c r="ER125"/>
      <c r="ES125"/>
      <c r="ET125"/>
      <c r="EU125"/>
      <c r="EV125"/>
      <c r="EW125"/>
      <c r="EX125"/>
      <c r="EY125"/>
      <c r="EZ125"/>
      <c r="FA125"/>
      <c r="FB125"/>
      <c r="FC125"/>
      <c r="FD125"/>
    </row>
    <row r="126" spans="1:160" x14ac:dyDescent="0.25">
      <c r="A126" s="1" t="str">
        <f t="shared" si="1"/>
        <v>070308001111</v>
      </c>
      <c r="B126" t="s">
        <v>2240</v>
      </c>
      <c r="C126" t="s">
        <v>2241</v>
      </c>
      <c r="D126" t="s">
        <v>2242</v>
      </c>
      <c r="E126" t="s">
        <v>278</v>
      </c>
      <c r="F126" t="s">
        <v>493</v>
      </c>
      <c r="G126" t="s">
        <v>2243</v>
      </c>
      <c r="H126" t="s">
        <v>2244</v>
      </c>
      <c r="I126" t="s">
        <v>2245</v>
      </c>
      <c r="J126" t="s">
        <v>2246</v>
      </c>
      <c r="K126" t="s">
        <v>321</v>
      </c>
      <c r="L126"/>
      <c r="M126" t="s">
        <v>287</v>
      </c>
      <c r="N126" t="s">
        <v>288</v>
      </c>
      <c r="O126"/>
      <c r="P126" t="s">
        <v>289</v>
      </c>
      <c r="Q126" t="s">
        <v>2247</v>
      </c>
      <c r="R126" t="s">
        <v>287</v>
      </c>
      <c r="S126" t="s">
        <v>287</v>
      </c>
      <c r="T126" t="s">
        <v>287</v>
      </c>
      <c r="U126"/>
      <c r="V126"/>
      <c r="W126"/>
      <c r="X126"/>
      <c r="Y126"/>
      <c r="Z126"/>
      <c r="AA126" t="s">
        <v>287</v>
      </c>
      <c r="AB126"/>
      <c r="AC126"/>
      <c r="AD126"/>
      <c r="AE126"/>
      <c r="AF126" t="s">
        <v>856</v>
      </c>
      <c r="AG126" t="s">
        <v>521</v>
      </c>
      <c r="AH126" t="s">
        <v>2248</v>
      </c>
      <c r="AI126" t="s">
        <v>856</v>
      </c>
      <c r="AJ126" t="s">
        <v>521</v>
      </c>
      <c r="AK126" t="s">
        <v>2248</v>
      </c>
      <c r="AL126" t="s">
        <v>856</v>
      </c>
      <c r="AM126" t="s">
        <v>521</v>
      </c>
      <c r="AN126" t="s">
        <v>2248</v>
      </c>
      <c r="AO126" t="s">
        <v>299</v>
      </c>
      <c r="AP126" t="s">
        <v>388</v>
      </c>
      <c r="AQ126" t="s">
        <v>1191</v>
      </c>
      <c r="AR126" t="s">
        <v>690</v>
      </c>
      <c r="AS126" t="s">
        <v>2249</v>
      </c>
      <c r="AT126" t="s">
        <v>860</v>
      </c>
      <c r="AU126" t="s">
        <v>354</v>
      </c>
      <c r="AV126"/>
      <c r="AW126" t="s">
        <v>608</v>
      </c>
      <c r="AX126" t="s">
        <v>609</v>
      </c>
      <c r="AY126" t="s">
        <v>330</v>
      </c>
      <c r="AZ126" t="s">
        <v>331</v>
      </c>
      <c r="BA126"/>
      <c r="BB126"/>
      <c r="BC126" t="s">
        <v>669</v>
      </c>
      <c r="BD126" t="s">
        <v>353</v>
      </c>
      <c r="BE126"/>
      <c r="BF126" t="s">
        <v>314</v>
      </c>
      <c r="BG126"/>
      <c r="BH126"/>
      <c r="BI126"/>
      <c r="BJ126"/>
      <c r="BK126"/>
      <c r="BL126"/>
      <c r="BM126" t="s">
        <v>305</v>
      </c>
      <c r="BN126" t="s">
        <v>354</v>
      </c>
      <c r="BO126" t="s">
        <v>2250</v>
      </c>
      <c r="BP126"/>
      <c r="BQ126"/>
      <c r="BR126">
        <v>6.9</v>
      </c>
      <c r="BS126">
        <v>6.8</v>
      </c>
      <c r="BT126">
        <v>7.5</v>
      </c>
      <c r="BU126">
        <v>8.8000000000000007</v>
      </c>
      <c r="BV126">
        <v>7.1</v>
      </c>
      <c r="BW126">
        <v>0</v>
      </c>
      <c r="BX126">
        <v>0</v>
      </c>
      <c r="BY126">
        <v>6.9</v>
      </c>
      <c r="BZ126">
        <v>7.7</v>
      </c>
      <c r="CA126">
        <v>7.2</v>
      </c>
      <c r="CB126">
        <v>8.1</v>
      </c>
      <c r="CC126">
        <v>0</v>
      </c>
      <c r="CD126">
        <v>0</v>
      </c>
      <c r="CE126">
        <v>0</v>
      </c>
      <c r="CF126">
        <v>0</v>
      </c>
      <c r="CG126">
        <v>0</v>
      </c>
      <c r="CH126">
        <v>0</v>
      </c>
      <c r="CI126">
        <v>0</v>
      </c>
      <c r="CJ126">
        <v>0</v>
      </c>
      <c r="CK126">
        <v>0</v>
      </c>
      <c r="CL126">
        <v>0</v>
      </c>
      <c r="CM126">
        <v>7.1</v>
      </c>
      <c r="CN126">
        <v>6.6</v>
      </c>
      <c r="CO126">
        <v>5.9</v>
      </c>
      <c r="CP126">
        <v>9.4</v>
      </c>
      <c r="CQ126">
        <v>7.3</v>
      </c>
      <c r="CR126">
        <v>0</v>
      </c>
      <c r="CS126">
        <v>0</v>
      </c>
      <c r="CT126">
        <v>6</v>
      </c>
      <c r="CU126">
        <v>6.6</v>
      </c>
      <c r="CV126">
        <v>6.1</v>
      </c>
      <c r="CW126">
        <v>8.9</v>
      </c>
      <c r="CX126">
        <v>0</v>
      </c>
      <c r="CY126">
        <v>0</v>
      </c>
      <c r="CZ126">
        <v>0</v>
      </c>
      <c r="DA126">
        <v>0</v>
      </c>
      <c r="DB126">
        <v>0</v>
      </c>
      <c r="DC126">
        <v>0</v>
      </c>
      <c r="DD126">
        <v>0</v>
      </c>
      <c r="DE126">
        <v>0</v>
      </c>
      <c r="DF126">
        <v>0</v>
      </c>
      <c r="DG126">
        <v>0</v>
      </c>
      <c r="DH126">
        <v>7.8</v>
      </c>
      <c r="DI126">
        <v>7.4</v>
      </c>
      <c r="DJ126">
        <v>6.9</v>
      </c>
      <c r="DK126">
        <v>9.5</v>
      </c>
      <c r="DL126">
        <v>7.3</v>
      </c>
      <c r="DM126">
        <v>0</v>
      </c>
      <c r="DN126">
        <v>0</v>
      </c>
      <c r="DO126">
        <v>7.2</v>
      </c>
      <c r="DP126">
        <v>6.9</v>
      </c>
      <c r="DQ126">
        <v>7.8</v>
      </c>
      <c r="DR126">
        <v>8.6999999999999993</v>
      </c>
      <c r="DS126">
        <v>0</v>
      </c>
      <c r="DT126">
        <v>0</v>
      </c>
      <c r="DU126">
        <v>0</v>
      </c>
      <c r="DV126">
        <v>0</v>
      </c>
      <c r="DW126">
        <v>0</v>
      </c>
      <c r="DX126">
        <v>0</v>
      </c>
      <c r="DY126">
        <v>0</v>
      </c>
      <c r="DZ126">
        <v>0</v>
      </c>
      <c r="EA126">
        <v>0</v>
      </c>
      <c r="EB126">
        <v>0</v>
      </c>
      <c r="EC126">
        <v>5.25</v>
      </c>
      <c r="ED126">
        <v>6.25</v>
      </c>
      <c r="EE126">
        <v>3.75</v>
      </c>
      <c r="EF126"/>
      <c r="EG126"/>
      <c r="EH126"/>
      <c r="EI126"/>
      <c r="EJ126">
        <v>3.75</v>
      </c>
      <c r="EK126"/>
      <c r="EL126"/>
      <c r="EM126"/>
      <c r="EN126"/>
      <c r="EO126"/>
      <c r="EP126"/>
      <c r="EQ126"/>
      <c r="ER126"/>
      <c r="ES126"/>
      <c r="ET126"/>
      <c r="EU126"/>
      <c r="EV126"/>
      <c r="EW126"/>
      <c r="EX126"/>
      <c r="EY126"/>
      <c r="EZ126"/>
      <c r="FA126"/>
      <c r="FB126"/>
      <c r="FC126"/>
      <c r="FD126"/>
    </row>
    <row r="127" spans="1:160" x14ac:dyDescent="0.25">
      <c r="A127" s="1" t="str">
        <f t="shared" si="1"/>
        <v>095308002234</v>
      </c>
      <c r="B127" t="s">
        <v>2252</v>
      </c>
      <c r="C127" t="s">
        <v>2253</v>
      </c>
      <c r="D127" t="s">
        <v>2254</v>
      </c>
      <c r="E127" t="s">
        <v>278</v>
      </c>
      <c r="F127" t="s">
        <v>2251</v>
      </c>
      <c r="G127" t="s">
        <v>2255</v>
      </c>
      <c r="H127" t="s">
        <v>2256</v>
      </c>
      <c r="I127" t="s">
        <v>2257</v>
      </c>
      <c r="J127" t="s">
        <v>2258</v>
      </c>
      <c r="K127" t="s">
        <v>476</v>
      </c>
      <c r="L127"/>
      <c r="M127" t="s">
        <v>287</v>
      </c>
      <c r="N127" t="s">
        <v>288</v>
      </c>
      <c r="O127"/>
      <c r="P127" t="s">
        <v>289</v>
      </c>
      <c r="Q127" t="s">
        <v>2259</v>
      </c>
      <c r="R127" t="s">
        <v>287</v>
      </c>
      <c r="S127" t="s">
        <v>287</v>
      </c>
      <c r="T127" t="s">
        <v>287</v>
      </c>
      <c r="U127"/>
      <c r="V127"/>
      <c r="W127"/>
      <c r="X127"/>
      <c r="Y127"/>
      <c r="Z127"/>
      <c r="AA127" t="s">
        <v>287</v>
      </c>
      <c r="AB127"/>
      <c r="AC127"/>
      <c r="AD127"/>
      <c r="AE127"/>
      <c r="AF127" t="s">
        <v>663</v>
      </c>
      <c r="AG127" t="s">
        <v>2260</v>
      </c>
      <c r="AH127" t="s">
        <v>2261</v>
      </c>
      <c r="AI127" t="s">
        <v>663</v>
      </c>
      <c r="AJ127" t="s">
        <v>2260</v>
      </c>
      <c r="AK127" t="s">
        <v>2261</v>
      </c>
      <c r="AL127" t="s">
        <v>663</v>
      </c>
      <c r="AM127" t="s">
        <v>2260</v>
      </c>
      <c r="AN127" t="s">
        <v>2261</v>
      </c>
      <c r="AO127" t="s">
        <v>299</v>
      </c>
      <c r="AP127" t="s">
        <v>388</v>
      </c>
      <c r="AQ127" t="s">
        <v>560</v>
      </c>
      <c r="AR127" t="s">
        <v>2262</v>
      </c>
      <c r="AS127" t="s">
        <v>2263</v>
      </c>
      <c r="AT127" t="s">
        <v>1535</v>
      </c>
      <c r="AU127" t="s">
        <v>354</v>
      </c>
      <c r="AV127"/>
      <c r="AW127" t="s">
        <v>444</v>
      </c>
      <c r="AX127" t="s">
        <v>445</v>
      </c>
      <c r="AY127" t="s">
        <v>308</v>
      </c>
      <c r="AZ127" t="s">
        <v>309</v>
      </c>
      <c r="BA127"/>
      <c r="BB127"/>
      <c r="BC127" t="s">
        <v>669</v>
      </c>
      <c r="BD127" t="s">
        <v>971</v>
      </c>
      <c r="BE127" t="s">
        <v>2204</v>
      </c>
      <c r="BF127" t="s">
        <v>314</v>
      </c>
      <c r="BG127"/>
      <c r="BH127"/>
      <c r="BI127"/>
      <c r="BJ127"/>
      <c r="BK127"/>
      <c r="BL127"/>
      <c r="BM127" t="s">
        <v>305</v>
      </c>
      <c r="BN127" t="s">
        <v>305</v>
      </c>
      <c r="BO127" t="s">
        <v>2264</v>
      </c>
      <c r="BP127"/>
      <c r="BQ127" t="s">
        <v>2265</v>
      </c>
      <c r="BR127">
        <v>6</v>
      </c>
      <c r="BS127">
        <v>7.2</v>
      </c>
      <c r="BT127">
        <v>5</v>
      </c>
      <c r="BU127">
        <v>7.9</v>
      </c>
      <c r="BV127">
        <v>7.5</v>
      </c>
      <c r="BW127">
        <v>6.6</v>
      </c>
      <c r="BX127">
        <v>6.3</v>
      </c>
      <c r="BY127">
        <v>0</v>
      </c>
      <c r="BZ127">
        <v>0</v>
      </c>
      <c r="CA127">
        <v>0</v>
      </c>
      <c r="CB127">
        <v>0</v>
      </c>
      <c r="CC127">
        <v>6.3</v>
      </c>
      <c r="CD127">
        <v>0</v>
      </c>
      <c r="CE127">
        <v>0</v>
      </c>
      <c r="CF127">
        <v>0</v>
      </c>
      <c r="CG127">
        <v>0</v>
      </c>
      <c r="CH127">
        <v>0</v>
      </c>
      <c r="CI127">
        <v>0</v>
      </c>
      <c r="CJ127">
        <v>0</v>
      </c>
      <c r="CK127">
        <v>0</v>
      </c>
      <c r="CL127">
        <v>0</v>
      </c>
      <c r="CM127">
        <v>4.5999999999999996</v>
      </c>
      <c r="CN127">
        <v>7</v>
      </c>
      <c r="CO127">
        <v>4.7</v>
      </c>
      <c r="CP127">
        <v>8.5</v>
      </c>
      <c r="CQ127">
        <v>7.2</v>
      </c>
      <c r="CR127">
        <v>7</v>
      </c>
      <c r="CS127">
        <v>6.7</v>
      </c>
      <c r="CT127">
        <v>0</v>
      </c>
      <c r="CU127">
        <v>0</v>
      </c>
      <c r="CV127">
        <v>0</v>
      </c>
      <c r="CW127">
        <v>0</v>
      </c>
      <c r="CX127">
        <v>6.9</v>
      </c>
      <c r="CY127">
        <v>0</v>
      </c>
      <c r="CZ127">
        <v>0</v>
      </c>
      <c r="DA127">
        <v>0</v>
      </c>
      <c r="DB127">
        <v>0</v>
      </c>
      <c r="DC127">
        <v>0</v>
      </c>
      <c r="DD127">
        <v>0</v>
      </c>
      <c r="DE127">
        <v>0</v>
      </c>
      <c r="DF127">
        <v>0</v>
      </c>
      <c r="DG127">
        <v>0</v>
      </c>
      <c r="DH127">
        <v>6.4</v>
      </c>
      <c r="DI127">
        <v>8.6</v>
      </c>
      <c r="DJ127">
        <v>7.3</v>
      </c>
      <c r="DK127">
        <v>8.4</v>
      </c>
      <c r="DL127">
        <v>8.8000000000000007</v>
      </c>
      <c r="DM127">
        <v>7.8</v>
      </c>
      <c r="DN127">
        <v>7.9</v>
      </c>
      <c r="DO127">
        <v>0</v>
      </c>
      <c r="DP127">
        <v>0</v>
      </c>
      <c r="DQ127">
        <v>0</v>
      </c>
      <c r="DR127">
        <v>0</v>
      </c>
      <c r="DS127">
        <v>8</v>
      </c>
      <c r="DT127">
        <v>0</v>
      </c>
      <c r="DU127">
        <v>0</v>
      </c>
      <c r="DV127">
        <v>0</v>
      </c>
      <c r="DW127">
        <v>0</v>
      </c>
      <c r="DX127">
        <v>0</v>
      </c>
      <c r="DY127">
        <v>0</v>
      </c>
      <c r="DZ127">
        <v>0</v>
      </c>
      <c r="EA127">
        <v>0</v>
      </c>
      <c r="EB127">
        <v>0</v>
      </c>
      <c r="EC127">
        <v>3.75</v>
      </c>
      <c r="ED127">
        <v>7.75</v>
      </c>
      <c r="EE127"/>
      <c r="EF127"/>
      <c r="EG127">
        <v>5.7</v>
      </c>
      <c r="EH127"/>
      <c r="EI127">
        <v>4.25</v>
      </c>
      <c r="EJ127"/>
      <c r="EK127"/>
      <c r="EL127"/>
      <c r="EM127"/>
      <c r="EN127"/>
      <c r="EO127"/>
      <c r="EP127"/>
      <c r="EQ127"/>
      <c r="ER127"/>
      <c r="ES127"/>
      <c r="ET127"/>
      <c r="EU127"/>
      <c r="EV127"/>
      <c r="EW127"/>
      <c r="EX127">
        <v>124.5</v>
      </c>
      <c r="EY127"/>
      <c r="EZ127">
        <v>95.5</v>
      </c>
      <c r="FA127">
        <v>83</v>
      </c>
      <c r="FB127"/>
      <c r="FC127"/>
      <c r="FD127"/>
    </row>
    <row r="128" spans="1:160" x14ac:dyDescent="0.25">
      <c r="A128" s="1" t="str">
        <f t="shared" si="1"/>
        <v>096207010549</v>
      </c>
      <c r="B128" t="s">
        <v>2266</v>
      </c>
      <c r="C128" t="s">
        <v>1768</v>
      </c>
      <c r="D128" t="s">
        <v>2267</v>
      </c>
      <c r="E128" t="s">
        <v>280</v>
      </c>
      <c r="F128" t="s">
        <v>2268</v>
      </c>
      <c r="G128" t="s">
        <v>2269</v>
      </c>
      <c r="H128" t="s">
        <v>2270</v>
      </c>
      <c r="I128" t="s">
        <v>2271</v>
      </c>
      <c r="J128" t="s">
        <v>2272</v>
      </c>
      <c r="K128" t="s">
        <v>476</v>
      </c>
      <c r="L128"/>
      <c r="M128" t="s">
        <v>287</v>
      </c>
      <c r="N128" t="s">
        <v>288</v>
      </c>
      <c r="O128"/>
      <c r="P128" t="s">
        <v>655</v>
      </c>
      <c r="Q128" t="s">
        <v>2273</v>
      </c>
      <c r="R128" t="s">
        <v>287</v>
      </c>
      <c r="S128" t="s">
        <v>287</v>
      </c>
      <c r="T128" t="s">
        <v>287</v>
      </c>
      <c r="U128"/>
      <c r="V128"/>
      <c r="W128"/>
      <c r="X128"/>
      <c r="Y128"/>
      <c r="Z128"/>
      <c r="AA128" t="s">
        <v>287</v>
      </c>
      <c r="AB128"/>
      <c r="AC128"/>
      <c r="AD128"/>
      <c r="AE128"/>
      <c r="AF128" t="s">
        <v>663</v>
      </c>
      <c r="AG128" t="s">
        <v>2274</v>
      </c>
      <c r="AH128" t="s">
        <v>2275</v>
      </c>
      <c r="AI128" t="s">
        <v>663</v>
      </c>
      <c r="AJ128" t="s">
        <v>2274</v>
      </c>
      <c r="AK128" t="s">
        <v>2275</v>
      </c>
      <c r="AL128" t="s">
        <v>663</v>
      </c>
      <c r="AM128" t="s">
        <v>2274</v>
      </c>
      <c r="AN128" t="s">
        <v>2275</v>
      </c>
      <c r="AO128" t="s">
        <v>299</v>
      </c>
      <c r="AP128" t="s">
        <v>603</v>
      </c>
      <c r="AQ128" t="s">
        <v>580</v>
      </c>
      <c r="AR128" t="s">
        <v>689</v>
      </c>
      <c r="AS128" t="s">
        <v>987</v>
      </c>
      <c r="AT128" t="s">
        <v>580</v>
      </c>
      <c r="AU128" t="s">
        <v>354</v>
      </c>
      <c r="AV128"/>
      <c r="AW128" t="s">
        <v>372</v>
      </c>
      <c r="AX128" t="s">
        <v>373</v>
      </c>
      <c r="AY128" t="s">
        <v>349</v>
      </c>
      <c r="AZ128" t="s">
        <v>350</v>
      </c>
      <c r="BA128" t="s">
        <v>610</v>
      </c>
      <c r="BB128" t="s">
        <v>611</v>
      </c>
      <c r="BC128" t="s">
        <v>669</v>
      </c>
      <c r="BD128" t="s">
        <v>353</v>
      </c>
      <c r="BE128"/>
      <c r="BF128" t="s">
        <v>314</v>
      </c>
      <c r="BG128"/>
      <c r="BH128"/>
      <c r="BI128"/>
      <c r="BJ128"/>
      <c r="BK128"/>
      <c r="BL128"/>
      <c r="BM128" t="s">
        <v>305</v>
      </c>
      <c r="BN128" t="s">
        <v>354</v>
      </c>
      <c r="BO128" t="s">
        <v>2276</v>
      </c>
      <c r="BP128"/>
      <c r="BQ128"/>
      <c r="BR128">
        <v>7.1</v>
      </c>
      <c r="BS128">
        <v>7.6</v>
      </c>
      <c r="BT128">
        <v>7</v>
      </c>
      <c r="BU128">
        <v>8.4</v>
      </c>
      <c r="BV128">
        <v>9</v>
      </c>
      <c r="BW128">
        <v>8.6</v>
      </c>
      <c r="BX128">
        <v>8.1</v>
      </c>
      <c r="BY128">
        <v>8.6999999999999993</v>
      </c>
      <c r="BZ128">
        <v>8.9</v>
      </c>
      <c r="CA128">
        <v>0</v>
      </c>
      <c r="CB128">
        <v>0</v>
      </c>
      <c r="CC128">
        <v>0</v>
      </c>
      <c r="CD128">
        <v>0</v>
      </c>
      <c r="CE128">
        <v>0</v>
      </c>
      <c r="CF128">
        <v>0</v>
      </c>
      <c r="CG128">
        <v>0</v>
      </c>
      <c r="CH128">
        <v>0</v>
      </c>
      <c r="CI128">
        <v>0</v>
      </c>
      <c r="CJ128">
        <v>0</v>
      </c>
      <c r="CK128">
        <v>0</v>
      </c>
      <c r="CL128">
        <v>0</v>
      </c>
      <c r="CM128">
        <v>6.5</v>
      </c>
      <c r="CN128">
        <v>7.6</v>
      </c>
      <c r="CO128">
        <v>8.3000000000000007</v>
      </c>
      <c r="CP128">
        <v>8.3000000000000007</v>
      </c>
      <c r="CQ128">
        <v>9.1999999999999993</v>
      </c>
      <c r="CR128">
        <v>0</v>
      </c>
      <c r="CS128">
        <v>0</v>
      </c>
      <c r="CT128">
        <v>9.4</v>
      </c>
      <c r="CU128">
        <v>9</v>
      </c>
      <c r="CV128">
        <v>8.6999999999999993</v>
      </c>
      <c r="CW128">
        <v>9.5</v>
      </c>
      <c r="CX128">
        <v>0</v>
      </c>
      <c r="CY128">
        <v>0</v>
      </c>
      <c r="CZ128">
        <v>0</v>
      </c>
      <c r="DA128">
        <v>0</v>
      </c>
      <c r="DB128">
        <v>0</v>
      </c>
      <c r="DC128">
        <v>0</v>
      </c>
      <c r="DD128">
        <v>0</v>
      </c>
      <c r="DE128">
        <v>0</v>
      </c>
      <c r="DF128">
        <v>0</v>
      </c>
      <c r="DG128">
        <v>0</v>
      </c>
      <c r="DH128">
        <v>9.3000000000000007</v>
      </c>
      <c r="DI128">
        <v>7.2</v>
      </c>
      <c r="DJ128">
        <v>8.1</v>
      </c>
      <c r="DK128">
        <v>9</v>
      </c>
      <c r="DL128">
        <v>8.6999999999999993</v>
      </c>
      <c r="DM128">
        <v>0</v>
      </c>
      <c r="DN128">
        <v>0</v>
      </c>
      <c r="DO128">
        <v>9.1999999999999993</v>
      </c>
      <c r="DP128">
        <v>8</v>
      </c>
      <c r="DQ128">
        <v>8.8000000000000007</v>
      </c>
      <c r="DR128">
        <v>9.5</v>
      </c>
      <c r="DS128">
        <v>0</v>
      </c>
      <c r="DT128">
        <v>0</v>
      </c>
      <c r="DU128">
        <v>0</v>
      </c>
      <c r="DV128">
        <v>0</v>
      </c>
      <c r="DW128">
        <v>0</v>
      </c>
      <c r="DX128">
        <v>0</v>
      </c>
      <c r="DY128">
        <v>0</v>
      </c>
      <c r="DZ128">
        <v>0</v>
      </c>
      <c r="EA128">
        <v>0</v>
      </c>
      <c r="EB128">
        <v>0</v>
      </c>
      <c r="EC128">
        <v>5.75</v>
      </c>
      <c r="ED128"/>
      <c r="EE128"/>
      <c r="EF128"/>
      <c r="EG128"/>
      <c r="EH128"/>
      <c r="EI128"/>
      <c r="EJ128"/>
      <c r="EK128">
        <v>7</v>
      </c>
      <c r="EL128">
        <v>6.1</v>
      </c>
      <c r="EM128"/>
      <c r="EN128"/>
      <c r="EO128"/>
      <c r="EP128"/>
      <c r="EQ128"/>
      <c r="ER128"/>
      <c r="ES128"/>
      <c r="ET128"/>
      <c r="EU128"/>
      <c r="EV128"/>
      <c r="EW128"/>
      <c r="EX128"/>
      <c r="EY128"/>
      <c r="EZ128"/>
      <c r="FA128"/>
      <c r="FB128"/>
      <c r="FC128"/>
      <c r="FD128"/>
    </row>
    <row r="129" spans="1:160" x14ac:dyDescent="0.25">
      <c r="A129" s="1" t="str">
        <f t="shared" si="1"/>
        <v>072208006775</v>
      </c>
      <c r="B129" t="s">
        <v>2277</v>
      </c>
      <c r="C129" t="s">
        <v>2278</v>
      </c>
      <c r="D129" t="s">
        <v>2279</v>
      </c>
      <c r="E129" t="s">
        <v>280</v>
      </c>
      <c r="F129" t="s">
        <v>1644</v>
      </c>
      <c r="G129" t="s">
        <v>2280</v>
      </c>
      <c r="H129" t="s">
        <v>2281</v>
      </c>
      <c r="I129" t="s">
        <v>2282</v>
      </c>
      <c r="J129" t="s">
        <v>2283</v>
      </c>
      <c r="K129" t="s">
        <v>321</v>
      </c>
      <c r="L129"/>
      <c r="M129" t="s">
        <v>287</v>
      </c>
      <c r="N129" t="s">
        <v>288</v>
      </c>
      <c r="O129"/>
      <c r="P129" t="s">
        <v>289</v>
      </c>
      <c r="Q129" t="s">
        <v>2284</v>
      </c>
      <c r="R129" t="s">
        <v>287</v>
      </c>
      <c r="S129" t="s">
        <v>287</v>
      </c>
      <c r="T129" t="s">
        <v>287</v>
      </c>
      <c r="U129"/>
      <c r="V129"/>
      <c r="W129"/>
      <c r="X129"/>
      <c r="Y129"/>
      <c r="Z129"/>
      <c r="AA129" t="s">
        <v>287</v>
      </c>
      <c r="AB129"/>
      <c r="AC129"/>
      <c r="AD129"/>
      <c r="AE129"/>
      <c r="AF129" t="s">
        <v>576</v>
      </c>
      <c r="AG129" t="s">
        <v>2285</v>
      </c>
      <c r="AH129" t="s">
        <v>2286</v>
      </c>
      <c r="AI129" t="s">
        <v>576</v>
      </c>
      <c r="AJ129" t="s">
        <v>2285</v>
      </c>
      <c r="AK129" t="s">
        <v>2286</v>
      </c>
      <c r="AL129" t="s">
        <v>576</v>
      </c>
      <c r="AM129" t="s">
        <v>2285</v>
      </c>
      <c r="AN129" t="s">
        <v>2286</v>
      </c>
      <c r="AO129" t="s">
        <v>299</v>
      </c>
      <c r="AP129" t="s">
        <v>603</v>
      </c>
      <c r="AQ129" t="s">
        <v>1387</v>
      </c>
      <c r="AR129" t="s">
        <v>2287</v>
      </c>
      <c r="AS129" t="s">
        <v>1831</v>
      </c>
      <c r="AT129" t="s">
        <v>807</v>
      </c>
      <c r="AU129" t="s">
        <v>354</v>
      </c>
      <c r="AV129"/>
      <c r="AW129" t="s">
        <v>308</v>
      </c>
      <c r="AX129" t="s">
        <v>309</v>
      </c>
      <c r="AY129" t="s">
        <v>310</v>
      </c>
      <c r="AZ129" t="s">
        <v>311</v>
      </c>
      <c r="BA129" t="s">
        <v>608</v>
      </c>
      <c r="BB129" t="s">
        <v>609</v>
      </c>
      <c r="BC129" t="s">
        <v>669</v>
      </c>
      <c r="BD129" t="s">
        <v>353</v>
      </c>
      <c r="BE129"/>
      <c r="BF129" t="s">
        <v>314</v>
      </c>
      <c r="BG129"/>
      <c r="BH129"/>
      <c r="BI129"/>
      <c r="BJ129"/>
      <c r="BK129"/>
      <c r="BL129"/>
      <c r="BM129" t="s">
        <v>305</v>
      </c>
      <c r="BN129" t="s">
        <v>354</v>
      </c>
      <c r="BO129" t="s">
        <v>2288</v>
      </c>
      <c r="BP129"/>
      <c r="BQ129"/>
      <c r="BR129">
        <v>5.5</v>
      </c>
      <c r="BS129">
        <v>6.8</v>
      </c>
      <c r="BT129">
        <v>5.6</v>
      </c>
      <c r="BU129">
        <v>6.8</v>
      </c>
      <c r="BV129">
        <v>6.6</v>
      </c>
      <c r="BW129">
        <v>8.5</v>
      </c>
      <c r="BX129">
        <v>7.8</v>
      </c>
      <c r="BY129">
        <v>0</v>
      </c>
      <c r="BZ129">
        <v>0</v>
      </c>
      <c r="CA129">
        <v>0</v>
      </c>
      <c r="CB129">
        <v>8.6</v>
      </c>
      <c r="CC129">
        <v>7.9</v>
      </c>
      <c r="CD129">
        <v>0</v>
      </c>
      <c r="CE129">
        <v>0</v>
      </c>
      <c r="CF129">
        <v>0</v>
      </c>
      <c r="CG129">
        <v>0</v>
      </c>
      <c r="CH129">
        <v>0</v>
      </c>
      <c r="CI129">
        <v>0</v>
      </c>
      <c r="CJ129">
        <v>0</v>
      </c>
      <c r="CK129">
        <v>0</v>
      </c>
      <c r="CL129">
        <v>0</v>
      </c>
      <c r="CM129">
        <v>5</v>
      </c>
      <c r="CN129">
        <v>7</v>
      </c>
      <c r="CO129">
        <v>6.2</v>
      </c>
      <c r="CP129">
        <v>8.6</v>
      </c>
      <c r="CQ129">
        <v>8.1999999999999993</v>
      </c>
      <c r="CR129">
        <v>8.1</v>
      </c>
      <c r="CS129">
        <v>7.8</v>
      </c>
      <c r="CT129">
        <v>0</v>
      </c>
      <c r="CU129">
        <v>0</v>
      </c>
      <c r="CV129">
        <v>0</v>
      </c>
      <c r="CW129">
        <v>8.3000000000000007</v>
      </c>
      <c r="CX129">
        <v>7.4</v>
      </c>
      <c r="CY129">
        <v>0</v>
      </c>
      <c r="CZ129">
        <v>0</v>
      </c>
      <c r="DA129">
        <v>0</v>
      </c>
      <c r="DB129">
        <v>0</v>
      </c>
      <c r="DC129">
        <v>0</v>
      </c>
      <c r="DD129">
        <v>0</v>
      </c>
      <c r="DE129">
        <v>0</v>
      </c>
      <c r="DF129">
        <v>0</v>
      </c>
      <c r="DG129">
        <v>0</v>
      </c>
      <c r="DH129">
        <v>7.2</v>
      </c>
      <c r="DI129">
        <v>7.3</v>
      </c>
      <c r="DJ129">
        <v>6.9</v>
      </c>
      <c r="DK129">
        <v>9.6</v>
      </c>
      <c r="DL129">
        <v>8.5</v>
      </c>
      <c r="DM129">
        <v>8.5</v>
      </c>
      <c r="DN129">
        <v>8.1999999999999993</v>
      </c>
      <c r="DO129">
        <v>0</v>
      </c>
      <c r="DP129">
        <v>0</v>
      </c>
      <c r="DQ129">
        <v>0</v>
      </c>
      <c r="DR129">
        <v>9.1</v>
      </c>
      <c r="DS129">
        <v>8.1999999999999993</v>
      </c>
      <c r="DT129">
        <v>0</v>
      </c>
      <c r="DU129">
        <v>0</v>
      </c>
      <c r="DV129">
        <v>0</v>
      </c>
      <c r="DW129">
        <v>0</v>
      </c>
      <c r="DX129">
        <v>0</v>
      </c>
      <c r="DY129">
        <v>0</v>
      </c>
      <c r="DZ129">
        <v>0</v>
      </c>
      <c r="EA129">
        <v>0</v>
      </c>
      <c r="EB129">
        <v>0</v>
      </c>
      <c r="EC129">
        <v>4.5</v>
      </c>
      <c r="ED129">
        <v>4.75</v>
      </c>
      <c r="EE129"/>
      <c r="EF129"/>
      <c r="EG129">
        <v>7.5</v>
      </c>
      <c r="EH129"/>
      <c r="EI129">
        <v>6.5</v>
      </c>
      <c r="EJ129"/>
      <c r="EK129"/>
      <c r="EL129"/>
      <c r="EM129"/>
      <c r="EN129"/>
      <c r="EO129"/>
      <c r="EP129"/>
      <c r="EQ129"/>
      <c r="ER129"/>
      <c r="ES129"/>
      <c r="ET129"/>
      <c r="EU129"/>
      <c r="EV129"/>
      <c r="EW129"/>
      <c r="EX129"/>
      <c r="EY129"/>
      <c r="EZ129"/>
      <c r="FA129"/>
      <c r="FB129"/>
      <c r="FC129"/>
      <c r="FD129"/>
    </row>
    <row r="130" spans="1:160" x14ac:dyDescent="0.25">
      <c r="A130" s="1" t="str">
        <f t="shared" si="1"/>
        <v>067308001789</v>
      </c>
      <c r="B130" t="s">
        <v>2289</v>
      </c>
      <c r="C130" t="s">
        <v>2290</v>
      </c>
      <c r="D130" t="s">
        <v>2291</v>
      </c>
      <c r="E130" t="s">
        <v>278</v>
      </c>
      <c r="F130" t="s">
        <v>318</v>
      </c>
      <c r="G130" t="s">
        <v>2292</v>
      </c>
      <c r="H130" t="s">
        <v>2293</v>
      </c>
      <c r="I130" t="s">
        <v>106</v>
      </c>
      <c r="J130" t="s">
        <v>2294</v>
      </c>
      <c r="K130" t="s">
        <v>476</v>
      </c>
      <c r="L130"/>
      <c r="M130" t="s">
        <v>287</v>
      </c>
      <c r="N130" t="s">
        <v>288</v>
      </c>
      <c r="O130"/>
      <c r="P130" t="s">
        <v>289</v>
      </c>
      <c r="Q130" t="s">
        <v>2295</v>
      </c>
      <c r="R130" t="s">
        <v>287</v>
      </c>
      <c r="S130" t="s">
        <v>287</v>
      </c>
      <c r="T130" t="s">
        <v>287</v>
      </c>
      <c r="U130" t="s">
        <v>2296</v>
      </c>
      <c r="V130" t="s">
        <v>2297</v>
      </c>
      <c r="W130" t="s">
        <v>2298</v>
      </c>
      <c r="X130" t="s">
        <v>2299</v>
      </c>
      <c r="Y130" t="s">
        <v>2300</v>
      </c>
      <c r="Z130" t="s">
        <v>2301</v>
      </c>
      <c r="AA130" t="s">
        <v>287</v>
      </c>
      <c r="AB130"/>
      <c r="AC130"/>
      <c r="AD130"/>
      <c r="AE130"/>
      <c r="AF130" t="s">
        <v>365</v>
      </c>
      <c r="AG130" t="s">
        <v>1098</v>
      </c>
      <c r="AH130" t="s">
        <v>2302</v>
      </c>
      <c r="AI130" t="s">
        <v>365</v>
      </c>
      <c r="AJ130" t="s">
        <v>1098</v>
      </c>
      <c r="AK130" t="s">
        <v>2302</v>
      </c>
      <c r="AL130" t="s">
        <v>365</v>
      </c>
      <c r="AM130" t="s">
        <v>1098</v>
      </c>
      <c r="AN130" t="s">
        <v>2302</v>
      </c>
      <c r="AO130" t="s">
        <v>299</v>
      </c>
      <c r="AP130" t="s">
        <v>603</v>
      </c>
      <c r="AQ130" t="s">
        <v>2303</v>
      </c>
      <c r="AR130" t="s">
        <v>807</v>
      </c>
      <c r="AS130" t="s">
        <v>970</v>
      </c>
      <c r="AT130" t="s">
        <v>579</v>
      </c>
      <c r="AU130" t="s">
        <v>305</v>
      </c>
      <c r="AV130"/>
      <c r="AW130" t="s">
        <v>608</v>
      </c>
      <c r="AX130" t="s">
        <v>609</v>
      </c>
      <c r="AY130" t="s">
        <v>330</v>
      </c>
      <c r="AZ130" t="s">
        <v>331</v>
      </c>
      <c r="BA130" t="s">
        <v>610</v>
      </c>
      <c r="BB130" t="s">
        <v>611</v>
      </c>
      <c r="BC130" t="s">
        <v>669</v>
      </c>
      <c r="BD130" t="s">
        <v>353</v>
      </c>
      <c r="BE130"/>
      <c r="BF130" t="s">
        <v>314</v>
      </c>
      <c r="BG130"/>
      <c r="BH130"/>
      <c r="BI130"/>
      <c r="BJ130"/>
      <c r="BK130"/>
      <c r="BL130"/>
      <c r="BM130" t="s">
        <v>305</v>
      </c>
      <c r="BN130" t="s">
        <v>354</v>
      </c>
      <c r="BO130" t="s">
        <v>2304</v>
      </c>
      <c r="BP130" t="s">
        <v>2305</v>
      </c>
      <c r="BQ130"/>
      <c r="BR130">
        <v>7.5</v>
      </c>
      <c r="BS130">
        <v>8.5</v>
      </c>
      <c r="BT130">
        <v>7.6</v>
      </c>
      <c r="BU130">
        <v>7.8</v>
      </c>
      <c r="BV130">
        <v>9.1</v>
      </c>
      <c r="BW130">
        <v>0</v>
      </c>
      <c r="BX130">
        <v>0</v>
      </c>
      <c r="BY130">
        <v>7.7</v>
      </c>
      <c r="BZ130">
        <v>8.3000000000000007</v>
      </c>
      <c r="CA130">
        <v>8.6</v>
      </c>
      <c r="CB130">
        <v>0</v>
      </c>
      <c r="CC130">
        <v>8.4</v>
      </c>
      <c r="CD130">
        <v>0</v>
      </c>
      <c r="CE130">
        <v>0</v>
      </c>
      <c r="CF130">
        <v>0</v>
      </c>
      <c r="CG130">
        <v>0</v>
      </c>
      <c r="CH130">
        <v>0</v>
      </c>
      <c r="CI130">
        <v>0</v>
      </c>
      <c r="CJ130">
        <v>0</v>
      </c>
      <c r="CK130">
        <v>0</v>
      </c>
      <c r="CL130">
        <v>0</v>
      </c>
      <c r="CM130">
        <v>7.8</v>
      </c>
      <c r="CN130">
        <v>8</v>
      </c>
      <c r="CO130">
        <v>7.2</v>
      </c>
      <c r="CP130">
        <v>8.3000000000000007</v>
      </c>
      <c r="CQ130">
        <v>9.1</v>
      </c>
      <c r="CR130">
        <v>0</v>
      </c>
      <c r="CS130">
        <v>0</v>
      </c>
      <c r="CT130">
        <v>7.6</v>
      </c>
      <c r="CU130">
        <v>8.4</v>
      </c>
      <c r="CV130">
        <v>8.9</v>
      </c>
      <c r="CW130">
        <v>0</v>
      </c>
      <c r="CX130">
        <v>8.9</v>
      </c>
      <c r="CY130">
        <v>0</v>
      </c>
      <c r="CZ130">
        <v>0</v>
      </c>
      <c r="DA130">
        <v>0</v>
      </c>
      <c r="DB130">
        <v>0</v>
      </c>
      <c r="DC130">
        <v>0</v>
      </c>
      <c r="DD130">
        <v>0</v>
      </c>
      <c r="DE130">
        <v>0</v>
      </c>
      <c r="DF130">
        <v>0</v>
      </c>
      <c r="DG130">
        <v>0</v>
      </c>
      <c r="DH130">
        <v>7.6</v>
      </c>
      <c r="DI130">
        <v>8.6999999999999993</v>
      </c>
      <c r="DJ130">
        <v>7.2</v>
      </c>
      <c r="DK130">
        <v>9.6999999999999993</v>
      </c>
      <c r="DL130">
        <v>8.8000000000000007</v>
      </c>
      <c r="DM130">
        <v>0</v>
      </c>
      <c r="DN130">
        <v>0</v>
      </c>
      <c r="DO130">
        <v>7.8</v>
      </c>
      <c r="DP130">
        <v>9.1</v>
      </c>
      <c r="DQ130">
        <v>9</v>
      </c>
      <c r="DR130">
        <v>0</v>
      </c>
      <c r="DS130">
        <v>9.5</v>
      </c>
      <c r="DT130">
        <v>0</v>
      </c>
      <c r="DU130">
        <v>0</v>
      </c>
      <c r="DV130">
        <v>0</v>
      </c>
      <c r="DW130">
        <v>0</v>
      </c>
      <c r="DX130">
        <v>0</v>
      </c>
      <c r="DY130">
        <v>0</v>
      </c>
      <c r="DZ130">
        <v>0</v>
      </c>
      <c r="EA130">
        <v>0</v>
      </c>
      <c r="EB130">
        <v>0</v>
      </c>
      <c r="EC130">
        <v>5.25</v>
      </c>
      <c r="ED130">
        <v>8</v>
      </c>
      <c r="EE130">
        <v>3.75</v>
      </c>
      <c r="EF130"/>
      <c r="EG130">
        <v>5.85</v>
      </c>
      <c r="EH130"/>
      <c r="EI130"/>
      <c r="EJ130"/>
      <c r="EK130"/>
      <c r="EL130"/>
      <c r="EM130"/>
      <c r="EN130"/>
      <c r="EO130"/>
      <c r="EP130"/>
      <c r="EQ130"/>
      <c r="ER130"/>
      <c r="ES130"/>
      <c r="ET130"/>
      <c r="EU130"/>
      <c r="EV130"/>
      <c r="EW130"/>
      <c r="EX130"/>
      <c r="EY130"/>
      <c r="EZ130"/>
      <c r="FA130"/>
      <c r="FB130"/>
      <c r="FC130"/>
      <c r="FD130"/>
    </row>
    <row r="131" spans="1:160" x14ac:dyDescent="0.25">
      <c r="A131" s="1" t="str">
        <f t="shared" si="1"/>
        <v>093208002267</v>
      </c>
      <c r="B131" t="s">
        <v>2306</v>
      </c>
      <c r="C131" t="s">
        <v>967</v>
      </c>
      <c r="D131" t="s">
        <v>2307</v>
      </c>
      <c r="E131" t="s">
        <v>280</v>
      </c>
      <c r="F131" t="s">
        <v>2308</v>
      </c>
      <c r="G131" t="s">
        <v>2309</v>
      </c>
      <c r="H131" t="s">
        <v>2310</v>
      </c>
      <c r="I131" t="s">
        <v>2311</v>
      </c>
      <c r="J131" t="s">
        <v>2312</v>
      </c>
      <c r="K131" t="s">
        <v>516</v>
      </c>
      <c r="L131"/>
      <c r="M131" t="s">
        <v>287</v>
      </c>
      <c r="N131" t="s">
        <v>288</v>
      </c>
      <c r="O131"/>
      <c r="P131" t="s">
        <v>289</v>
      </c>
      <c r="Q131" t="s">
        <v>2313</v>
      </c>
      <c r="R131" t="s">
        <v>287</v>
      </c>
      <c r="S131" t="s">
        <v>287</v>
      </c>
      <c r="T131" t="s">
        <v>287</v>
      </c>
      <c r="U131"/>
      <c r="V131"/>
      <c r="W131"/>
      <c r="X131"/>
      <c r="Y131"/>
      <c r="Z131"/>
      <c r="AA131" t="s">
        <v>287</v>
      </c>
      <c r="AB131"/>
      <c r="AC131"/>
      <c r="AD131"/>
      <c r="AE131"/>
      <c r="AF131" t="s">
        <v>383</v>
      </c>
      <c r="AG131" t="s">
        <v>386</v>
      </c>
      <c r="AH131" t="s">
        <v>387</v>
      </c>
      <c r="AI131" t="s">
        <v>383</v>
      </c>
      <c r="AJ131" t="s">
        <v>386</v>
      </c>
      <c r="AK131" t="s">
        <v>387</v>
      </c>
      <c r="AL131" t="s">
        <v>383</v>
      </c>
      <c r="AM131" t="s">
        <v>384</v>
      </c>
      <c r="AN131" t="s">
        <v>385</v>
      </c>
      <c r="AO131" t="s">
        <v>299</v>
      </c>
      <c r="AP131" t="s">
        <v>388</v>
      </c>
      <c r="AQ131" t="s">
        <v>2314</v>
      </c>
      <c r="AR131" t="s">
        <v>1894</v>
      </c>
      <c r="AS131" t="s">
        <v>2315</v>
      </c>
      <c r="AT131" t="s">
        <v>691</v>
      </c>
      <c r="AU131" t="s">
        <v>354</v>
      </c>
      <c r="AV131"/>
      <c r="AW131" t="s">
        <v>330</v>
      </c>
      <c r="AX131" t="s">
        <v>331</v>
      </c>
      <c r="AY131" t="s">
        <v>310</v>
      </c>
      <c r="AZ131" t="s">
        <v>311</v>
      </c>
      <c r="BA131" t="s">
        <v>308</v>
      </c>
      <c r="BB131" t="s">
        <v>309</v>
      </c>
      <c r="BC131" t="s">
        <v>312</v>
      </c>
      <c r="BD131" t="s">
        <v>353</v>
      </c>
      <c r="BE131" t="s">
        <v>2316</v>
      </c>
      <c r="BF131" t="s">
        <v>314</v>
      </c>
      <c r="BG131"/>
      <c r="BH131"/>
      <c r="BI131"/>
      <c r="BJ131"/>
      <c r="BK131"/>
      <c r="BL131"/>
      <c r="BM131" t="s">
        <v>305</v>
      </c>
      <c r="BN131" t="s">
        <v>354</v>
      </c>
      <c r="BO131" t="s">
        <v>2317</v>
      </c>
      <c r="BP131"/>
      <c r="BQ131"/>
      <c r="BR131">
        <v>7.3</v>
      </c>
      <c r="BS131">
        <v>6.9</v>
      </c>
      <c r="BT131">
        <v>7</v>
      </c>
      <c r="BU131">
        <v>7.6</v>
      </c>
      <c r="BV131">
        <v>7.7</v>
      </c>
      <c r="BW131">
        <v>0</v>
      </c>
      <c r="BX131">
        <v>7</v>
      </c>
      <c r="BY131">
        <v>6.5</v>
      </c>
      <c r="BZ131">
        <v>6.3</v>
      </c>
      <c r="CA131">
        <v>6.5</v>
      </c>
      <c r="CB131">
        <v>0</v>
      </c>
      <c r="CC131">
        <v>0</v>
      </c>
      <c r="CD131">
        <v>0</v>
      </c>
      <c r="CE131">
        <v>0</v>
      </c>
      <c r="CF131">
        <v>0</v>
      </c>
      <c r="CG131">
        <v>0</v>
      </c>
      <c r="CH131">
        <v>0</v>
      </c>
      <c r="CI131">
        <v>0</v>
      </c>
      <c r="CJ131">
        <v>0</v>
      </c>
      <c r="CK131">
        <v>0</v>
      </c>
      <c r="CL131">
        <v>0</v>
      </c>
      <c r="CM131">
        <v>7.4</v>
      </c>
      <c r="CN131">
        <v>6.3</v>
      </c>
      <c r="CO131">
        <v>6.4</v>
      </c>
      <c r="CP131">
        <v>9</v>
      </c>
      <c r="CQ131">
        <v>8.3000000000000007</v>
      </c>
      <c r="CR131">
        <v>0</v>
      </c>
      <c r="CS131">
        <v>6.4</v>
      </c>
      <c r="CT131">
        <v>6.5</v>
      </c>
      <c r="CU131">
        <v>6.3</v>
      </c>
      <c r="CV131">
        <v>6.3</v>
      </c>
      <c r="CW131">
        <v>0</v>
      </c>
      <c r="CX131">
        <v>0</v>
      </c>
      <c r="CY131">
        <v>0</v>
      </c>
      <c r="CZ131">
        <v>0</v>
      </c>
      <c r="DA131">
        <v>0</v>
      </c>
      <c r="DB131">
        <v>0</v>
      </c>
      <c r="DC131">
        <v>0</v>
      </c>
      <c r="DD131">
        <v>0</v>
      </c>
      <c r="DE131">
        <v>0</v>
      </c>
      <c r="DF131">
        <v>0</v>
      </c>
      <c r="DG131">
        <v>0</v>
      </c>
      <c r="DH131">
        <v>7.8</v>
      </c>
      <c r="DI131">
        <v>7.7</v>
      </c>
      <c r="DJ131">
        <v>7.3</v>
      </c>
      <c r="DK131">
        <v>8.9</v>
      </c>
      <c r="DL131">
        <v>8.1999999999999993</v>
      </c>
      <c r="DM131">
        <v>0</v>
      </c>
      <c r="DN131">
        <v>7.5</v>
      </c>
      <c r="DO131">
        <v>8</v>
      </c>
      <c r="DP131">
        <v>8.3000000000000007</v>
      </c>
      <c r="DQ131">
        <v>7.1</v>
      </c>
      <c r="DR131">
        <v>0</v>
      </c>
      <c r="DS131">
        <v>0</v>
      </c>
      <c r="DT131">
        <v>0</v>
      </c>
      <c r="DU131">
        <v>0</v>
      </c>
      <c r="DV131">
        <v>0</v>
      </c>
      <c r="DW131">
        <v>0</v>
      </c>
      <c r="DX131">
        <v>0</v>
      </c>
      <c r="DY131">
        <v>0</v>
      </c>
      <c r="DZ131">
        <v>0</v>
      </c>
      <c r="EA131">
        <v>0</v>
      </c>
      <c r="EB131">
        <v>0</v>
      </c>
      <c r="EC131">
        <v>4.25</v>
      </c>
      <c r="ED131">
        <v>6</v>
      </c>
      <c r="EE131"/>
      <c r="EF131"/>
      <c r="EG131"/>
      <c r="EH131"/>
      <c r="EI131"/>
      <c r="EJ131">
        <v>3.5</v>
      </c>
      <c r="EK131">
        <v>5</v>
      </c>
      <c r="EL131"/>
      <c r="EM131"/>
      <c r="EN131"/>
      <c r="EO131"/>
      <c r="EP131"/>
      <c r="EQ131"/>
      <c r="ER131"/>
      <c r="ES131"/>
      <c r="ET131"/>
      <c r="EU131"/>
      <c r="EV131"/>
      <c r="EW131"/>
      <c r="EX131"/>
      <c r="EY131"/>
      <c r="EZ131"/>
      <c r="FA131"/>
      <c r="FB131"/>
      <c r="FC131"/>
      <c r="FD131"/>
    </row>
    <row r="132" spans="1:160" x14ac:dyDescent="0.25">
      <c r="A132" s="1" t="str">
        <f t="shared" ref="A132:A195" si="2">I132</f>
        <v>070308000856</v>
      </c>
      <c r="B132" t="s">
        <v>2928</v>
      </c>
      <c r="C132" t="s">
        <v>2929</v>
      </c>
      <c r="D132" t="s">
        <v>2319</v>
      </c>
      <c r="E132" t="s">
        <v>278</v>
      </c>
      <c r="F132" t="s">
        <v>2320</v>
      </c>
      <c r="G132" t="s">
        <v>2321</v>
      </c>
      <c r="H132" t="s">
        <v>2768</v>
      </c>
      <c r="I132" t="s">
        <v>2322</v>
      </c>
      <c r="J132" t="s">
        <v>2930</v>
      </c>
      <c r="K132" t="s">
        <v>516</v>
      </c>
      <c r="L132"/>
      <c r="M132" t="s">
        <v>287</v>
      </c>
      <c r="N132" t="s">
        <v>288</v>
      </c>
      <c r="O132"/>
      <c r="P132" t="s">
        <v>289</v>
      </c>
      <c r="Q132" t="s">
        <v>2931</v>
      </c>
      <c r="R132" t="s">
        <v>287</v>
      </c>
      <c r="S132" t="s">
        <v>287</v>
      </c>
      <c r="T132" t="s">
        <v>287</v>
      </c>
      <c r="U132"/>
      <c r="V132"/>
      <c r="W132"/>
      <c r="X132"/>
      <c r="Y132"/>
      <c r="Z132"/>
      <c r="AA132" t="s">
        <v>287</v>
      </c>
      <c r="AB132"/>
      <c r="AC132"/>
      <c r="AD132"/>
      <c r="AE132"/>
      <c r="AF132" t="s">
        <v>856</v>
      </c>
      <c r="AG132" t="s">
        <v>2932</v>
      </c>
      <c r="AH132" t="s">
        <v>2933</v>
      </c>
      <c r="AI132" t="s">
        <v>856</v>
      </c>
      <c r="AJ132" t="s">
        <v>2932</v>
      </c>
      <c r="AK132" t="s">
        <v>2933</v>
      </c>
      <c r="AL132" t="s">
        <v>856</v>
      </c>
      <c r="AM132" t="s">
        <v>2932</v>
      </c>
      <c r="AN132" t="s">
        <v>2933</v>
      </c>
      <c r="AO132" t="s">
        <v>299</v>
      </c>
      <c r="AP132" t="s">
        <v>348</v>
      </c>
      <c r="AQ132" t="s">
        <v>1927</v>
      </c>
      <c r="AR132" t="s">
        <v>2071</v>
      </c>
      <c r="AS132" t="s">
        <v>1307</v>
      </c>
      <c r="AT132" t="s">
        <v>2094</v>
      </c>
      <c r="AU132" t="s">
        <v>354</v>
      </c>
      <c r="AV132"/>
      <c r="AW132" t="s">
        <v>545</v>
      </c>
      <c r="AX132" t="s">
        <v>546</v>
      </c>
      <c r="AY132"/>
      <c r="AZ132"/>
      <c r="BA132"/>
      <c r="BB132"/>
      <c r="BC132" t="s">
        <v>669</v>
      </c>
      <c r="BD132" t="s">
        <v>353</v>
      </c>
      <c r="BE132"/>
      <c r="BF132" t="s">
        <v>314</v>
      </c>
      <c r="BG132"/>
      <c r="BH132"/>
      <c r="BI132"/>
      <c r="BJ132"/>
      <c r="BK132"/>
      <c r="BL132"/>
      <c r="BM132" t="s">
        <v>305</v>
      </c>
      <c r="BN132" t="s">
        <v>354</v>
      </c>
      <c r="BO132" t="s">
        <v>2934</v>
      </c>
      <c r="BP132"/>
      <c r="BQ132"/>
      <c r="BR132">
        <v>8.4</v>
      </c>
      <c r="BS132">
        <v>7</v>
      </c>
      <c r="BT132">
        <v>6.6</v>
      </c>
      <c r="BU132">
        <v>8.1999999999999993</v>
      </c>
      <c r="BV132">
        <v>8.1</v>
      </c>
      <c r="BW132">
        <v>8.3000000000000007</v>
      </c>
      <c r="BX132">
        <v>7.3</v>
      </c>
      <c r="BY132">
        <v>8.1</v>
      </c>
      <c r="BZ132">
        <v>0</v>
      </c>
      <c r="CA132">
        <v>0</v>
      </c>
      <c r="CB132">
        <v>0</v>
      </c>
      <c r="CC132">
        <v>8.6</v>
      </c>
      <c r="CD132">
        <v>0</v>
      </c>
      <c r="CE132">
        <v>0</v>
      </c>
      <c r="CF132">
        <v>0</v>
      </c>
      <c r="CG132">
        <v>0</v>
      </c>
      <c r="CH132">
        <v>0</v>
      </c>
      <c r="CI132">
        <v>0</v>
      </c>
      <c r="CJ132">
        <v>0</v>
      </c>
      <c r="CK132">
        <v>0</v>
      </c>
      <c r="CL132">
        <v>0</v>
      </c>
      <c r="CM132">
        <v>8.5</v>
      </c>
      <c r="CN132">
        <v>6.5</v>
      </c>
      <c r="CO132">
        <v>7.8</v>
      </c>
      <c r="CP132">
        <v>8.6999999999999993</v>
      </c>
      <c r="CQ132">
        <v>8.6999999999999993</v>
      </c>
      <c r="CR132">
        <v>9.3000000000000007</v>
      </c>
      <c r="CS132">
        <v>9.1999999999999993</v>
      </c>
      <c r="CT132">
        <v>8.6</v>
      </c>
      <c r="CU132">
        <v>0</v>
      </c>
      <c r="CV132">
        <v>0</v>
      </c>
      <c r="CW132">
        <v>0</v>
      </c>
      <c r="CX132">
        <v>9.5</v>
      </c>
      <c r="CY132">
        <v>0</v>
      </c>
      <c r="CZ132">
        <v>0</v>
      </c>
      <c r="DA132">
        <v>0</v>
      </c>
      <c r="DB132">
        <v>0</v>
      </c>
      <c r="DC132">
        <v>0</v>
      </c>
      <c r="DD132">
        <v>0</v>
      </c>
      <c r="DE132">
        <v>0</v>
      </c>
      <c r="DF132">
        <v>0</v>
      </c>
      <c r="DG132">
        <v>0</v>
      </c>
      <c r="DH132">
        <v>9.1999999999999993</v>
      </c>
      <c r="DI132">
        <v>7.8</v>
      </c>
      <c r="DJ132">
        <v>7.5</v>
      </c>
      <c r="DK132">
        <v>9.4</v>
      </c>
      <c r="DL132">
        <v>9.3000000000000007</v>
      </c>
      <c r="DM132">
        <v>9.1999999999999993</v>
      </c>
      <c r="DN132">
        <v>9</v>
      </c>
      <c r="DO132">
        <v>8.6999999999999993</v>
      </c>
      <c r="DP132">
        <v>0</v>
      </c>
      <c r="DQ132">
        <v>0</v>
      </c>
      <c r="DR132">
        <v>0</v>
      </c>
      <c r="DS132">
        <v>9.4</v>
      </c>
      <c r="DT132">
        <v>0</v>
      </c>
      <c r="DU132">
        <v>0</v>
      </c>
      <c r="DV132">
        <v>0</v>
      </c>
      <c r="DW132">
        <v>0</v>
      </c>
      <c r="DX132">
        <v>0</v>
      </c>
      <c r="DY132">
        <v>0</v>
      </c>
      <c r="DZ132">
        <v>0</v>
      </c>
      <c r="EA132">
        <v>0</v>
      </c>
      <c r="EB132">
        <v>0</v>
      </c>
      <c r="EC132">
        <v>5.75</v>
      </c>
      <c r="ED132">
        <v>7.25</v>
      </c>
      <c r="EE132">
        <v>3.25</v>
      </c>
      <c r="EF132"/>
      <c r="EG132">
        <v>0</v>
      </c>
      <c r="EH132"/>
      <c r="EI132">
        <v>0</v>
      </c>
      <c r="EJ132">
        <v>4</v>
      </c>
      <c r="EK132">
        <v>0</v>
      </c>
      <c r="EL132">
        <v>0</v>
      </c>
      <c r="EM132"/>
      <c r="EN132">
        <v>0</v>
      </c>
      <c r="EO132"/>
      <c r="EP132"/>
      <c r="EQ132"/>
      <c r="ER132"/>
      <c r="ES132"/>
      <c r="ET132"/>
      <c r="EU132"/>
      <c r="EV132"/>
      <c r="EW132"/>
      <c r="EX132"/>
      <c r="EY132"/>
      <c r="EZ132"/>
      <c r="FA132"/>
      <c r="FB132"/>
      <c r="FC132"/>
      <c r="FD132"/>
    </row>
    <row r="133" spans="1:160" x14ac:dyDescent="0.25">
      <c r="A133" s="1" t="str">
        <f t="shared" si="2"/>
        <v>086308006592</v>
      </c>
      <c r="B133" t="s">
        <v>2935</v>
      </c>
      <c r="C133" t="s">
        <v>1177</v>
      </c>
      <c r="D133" t="s">
        <v>1378</v>
      </c>
      <c r="E133" t="s">
        <v>278</v>
      </c>
      <c r="F133" t="s">
        <v>512</v>
      </c>
      <c r="G133" t="s">
        <v>2323</v>
      </c>
      <c r="H133" t="s">
        <v>2936</v>
      </c>
      <c r="I133" t="s">
        <v>2324</v>
      </c>
      <c r="J133" t="s">
        <v>2937</v>
      </c>
      <c r="K133" t="s">
        <v>516</v>
      </c>
      <c r="L133"/>
      <c r="M133" t="s">
        <v>287</v>
      </c>
      <c r="N133" t="s">
        <v>288</v>
      </c>
      <c r="O133"/>
      <c r="P133" t="s">
        <v>289</v>
      </c>
      <c r="Q133" t="s">
        <v>2938</v>
      </c>
      <c r="R133" t="s">
        <v>287</v>
      </c>
      <c r="S133" t="s">
        <v>287</v>
      </c>
      <c r="T133" t="s">
        <v>287</v>
      </c>
      <c r="U133" t="s">
        <v>2939</v>
      </c>
      <c r="V133" t="s">
        <v>2940</v>
      </c>
      <c r="W133" t="s">
        <v>2941</v>
      </c>
      <c r="X133" t="s">
        <v>2942</v>
      </c>
      <c r="Y133" t="s">
        <v>2943</v>
      </c>
      <c r="Z133" t="s">
        <v>2944</v>
      </c>
      <c r="AA133" t="s">
        <v>287</v>
      </c>
      <c r="AB133"/>
      <c r="AC133"/>
      <c r="AD133"/>
      <c r="AE133"/>
      <c r="AF133" t="s">
        <v>421</v>
      </c>
      <c r="AG133" t="s">
        <v>777</v>
      </c>
      <c r="AH133" t="s">
        <v>778</v>
      </c>
      <c r="AI133" t="s">
        <v>421</v>
      </c>
      <c r="AJ133" t="s">
        <v>777</v>
      </c>
      <c r="AK133" t="s">
        <v>778</v>
      </c>
      <c r="AL133" t="s">
        <v>421</v>
      </c>
      <c r="AM133" t="s">
        <v>777</v>
      </c>
      <c r="AN133" t="s">
        <v>778</v>
      </c>
      <c r="AO133" t="s">
        <v>299</v>
      </c>
      <c r="AP133" t="s">
        <v>348</v>
      </c>
      <c r="AQ133" t="s">
        <v>294</v>
      </c>
      <c r="AR133" t="s">
        <v>1285</v>
      </c>
      <c r="AS133" t="s">
        <v>986</v>
      </c>
      <c r="AT133" t="s">
        <v>1219</v>
      </c>
      <c r="AU133" t="s">
        <v>305</v>
      </c>
      <c r="AV133"/>
      <c r="AW133" t="s">
        <v>610</v>
      </c>
      <c r="AX133" t="s">
        <v>611</v>
      </c>
      <c r="AY133" t="s">
        <v>330</v>
      </c>
      <c r="AZ133" t="s">
        <v>331</v>
      </c>
      <c r="BA133" t="s">
        <v>351</v>
      </c>
      <c r="BB133" t="s">
        <v>352</v>
      </c>
      <c r="BC133" t="s">
        <v>669</v>
      </c>
      <c r="BD133" t="s">
        <v>353</v>
      </c>
      <c r="BE133"/>
      <c r="BF133" t="s">
        <v>314</v>
      </c>
      <c r="BG133"/>
      <c r="BH133"/>
      <c r="BI133"/>
      <c r="BJ133"/>
      <c r="BK133"/>
      <c r="BL133"/>
      <c r="BM133" t="s">
        <v>305</v>
      </c>
      <c r="BN133" t="s">
        <v>354</v>
      </c>
      <c r="BO133" t="s">
        <v>2945</v>
      </c>
      <c r="BP133" t="s">
        <v>2946</v>
      </c>
      <c r="BQ133"/>
      <c r="BR133">
        <v>9.6999999999999993</v>
      </c>
      <c r="BS133">
        <v>7.9</v>
      </c>
      <c r="BT133">
        <v>9.1999999999999993</v>
      </c>
      <c r="BU133">
        <v>10</v>
      </c>
      <c r="BV133">
        <v>9</v>
      </c>
      <c r="BW133">
        <v>0</v>
      </c>
      <c r="BX133">
        <v>8.9</v>
      </c>
      <c r="BY133">
        <v>9.3000000000000007</v>
      </c>
      <c r="BZ133">
        <v>9.6999999999999993</v>
      </c>
      <c r="CA133">
        <v>0</v>
      </c>
      <c r="CB133">
        <v>0</v>
      </c>
      <c r="CC133">
        <v>9.9</v>
      </c>
      <c r="CD133">
        <v>0</v>
      </c>
      <c r="CE133">
        <v>0</v>
      </c>
      <c r="CF133">
        <v>0</v>
      </c>
      <c r="CG133">
        <v>0</v>
      </c>
      <c r="CH133">
        <v>0</v>
      </c>
      <c r="CI133">
        <v>0</v>
      </c>
      <c r="CJ133">
        <v>0</v>
      </c>
      <c r="CK133">
        <v>0</v>
      </c>
      <c r="CL133">
        <v>0</v>
      </c>
      <c r="CM133">
        <v>9.5</v>
      </c>
      <c r="CN133">
        <v>8.6</v>
      </c>
      <c r="CO133">
        <v>8.9</v>
      </c>
      <c r="CP133">
        <v>9.6</v>
      </c>
      <c r="CQ133">
        <v>9.6999999999999993</v>
      </c>
      <c r="CR133">
        <v>0</v>
      </c>
      <c r="CS133">
        <v>9.6999999999999993</v>
      </c>
      <c r="CT133">
        <v>9.1999999999999993</v>
      </c>
      <c r="CU133">
        <v>9.6</v>
      </c>
      <c r="CV133">
        <v>0</v>
      </c>
      <c r="CW133">
        <v>0</v>
      </c>
      <c r="CX133">
        <v>9.9</v>
      </c>
      <c r="CY133">
        <v>0</v>
      </c>
      <c r="CZ133">
        <v>0</v>
      </c>
      <c r="DA133">
        <v>0</v>
      </c>
      <c r="DB133">
        <v>0</v>
      </c>
      <c r="DC133">
        <v>0</v>
      </c>
      <c r="DD133">
        <v>0</v>
      </c>
      <c r="DE133">
        <v>0</v>
      </c>
      <c r="DF133">
        <v>0</v>
      </c>
      <c r="DG133">
        <v>0</v>
      </c>
      <c r="DH133">
        <v>9.6</v>
      </c>
      <c r="DI133">
        <v>7.8</v>
      </c>
      <c r="DJ133">
        <v>9.4</v>
      </c>
      <c r="DK133">
        <v>10</v>
      </c>
      <c r="DL133">
        <v>9.3000000000000007</v>
      </c>
      <c r="DM133">
        <v>0</v>
      </c>
      <c r="DN133">
        <v>9.3000000000000007</v>
      </c>
      <c r="DO133">
        <v>9.5</v>
      </c>
      <c r="DP133">
        <v>9.6</v>
      </c>
      <c r="DQ133">
        <v>0</v>
      </c>
      <c r="DR133">
        <v>0</v>
      </c>
      <c r="DS133">
        <v>9.6999999999999993</v>
      </c>
      <c r="DT133">
        <v>0</v>
      </c>
      <c r="DU133">
        <v>0</v>
      </c>
      <c r="DV133">
        <v>0</v>
      </c>
      <c r="DW133">
        <v>0</v>
      </c>
      <c r="DX133">
        <v>0</v>
      </c>
      <c r="DY133">
        <v>0</v>
      </c>
      <c r="DZ133">
        <v>0</v>
      </c>
      <c r="EA133">
        <v>0</v>
      </c>
      <c r="EB133">
        <v>0</v>
      </c>
      <c r="EC133">
        <v>8.5</v>
      </c>
      <c r="ED133">
        <v>6.25</v>
      </c>
      <c r="EE133"/>
      <c r="EF133"/>
      <c r="EG133"/>
      <c r="EH133"/>
      <c r="EI133"/>
      <c r="EJ133">
        <v>7.75</v>
      </c>
      <c r="EK133">
        <v>8.5</v>
      </c>
      <c r="EL133"/>
      <c r="EM133"/>
      <c r="EN133"/>
      <c r="EO133"/>
      <c r="EP133"/>
      <c r="EQ133"/>
      <c r="ER133"/>
      <c r="ES133"/>
      <c r="ET133"/>
      <c r="EU133"/>
      <c r="EV133"/>
      <c r="EW133"/>
      <c r="EX133"/>
      <c r="EY133"/>
      <c r="EZ133"/>
      <c r="FA133"/>
      <c r="FB133"/>
      <c r="FC133"/>
      <c r="FD133"/>
    </row>
    <row r="134" spans="1:160" x14ac:dyDescent="0.25">
      <c r="A134" s="1" t="str">
        <f t="shared" si="2"/>
        <v>091308009386</v>
      </c>
      <c r="B134" t="s">
        <v>2325</v>
      </c>
      <c r="C134" t="s">
        <v>2326</v>
      </c>
      <c r="D134" t="s">
        <v>2327</v>
      </c>
      <c r="E134" t="s">
        <v>278</v>
      </c>
      <c r="F134" t="s">
        <v>2328</v>
      </c>
      <c r="G134" t="s">
        <v>2329</v>
      </c>
      <c r="H134" t="s">
        <v>2330</v>
      </c>
      <c r="I134" t="s">
        <v>2331</v>
      </c>
      <c r="J134" t="s">
        <v>2332</v>
      </c>
      <c r="K134" t="s">
        <v>516</v>
      </c>
      <c r="L134"/>
      <c r="M134" t="s">
        <v>287</v>
      </c>
      <c r="N134" t="s">
        <v>288</v>
      </c>
      <c r="O134"/>
      <c r="P134" t="s">
        <v>289</v>
      </c>
      <c r="Q134" t="s">
        <v>2333</v>
      </c>
      <c r="R134" t="s">
        <v>287</v>
      </c>
      <c r="S134" t="s">
        <v>287</v>
      </c>
      <c r="T134" t="s">
        <v>287</v>
      </c>
      <c r="U134"/>
      <c r="V134"/>
      <c r="W134"/>
      <c r="X134"/>
      <c r="Y134"/>
      <c r="Z134"/>
      <c r="AA134" t="s">
        <v>287</v>
      </c>
      <c r="AB134"/>
      <c r="AC134"/>
      <c r="AD134"/>
      <c r="AE134"/>
      <c r="AF134" t="s">
        <v>401</v>
      </c>
      <c r="AG134" t="s">
        <v>2334</v>
      </c>
      <c r="AH134" t="s">
        <v>2335</v>
      </c>
      <c r="AI134" t="s">
        <v>401</v>
      </c>
      <c r="AJ134" t="s">
        <v>2334</v>
      </c>
      <c r="AK134" t="s">
        <v>2335</v>
      </c>
      <c r="AL134" t="s">
        <v>401</v>
      </c>
      <c r="AM134" t="s">
        <v>2334</v>
      </c>
      <c r="AN134" t="s">
        <v>2335</v>
      </c>
      <c r="AO134" t="s">
        <v>299</v>
      </c>
      <c r="AP134" t="s">
        <v>603</v>
      </c>
      <c r="AQ134" t="s">
        <v>484</v>
      </c>
      <c r="AR134" t="s">
        <v>627</v>
      </c>
      <c r="AS134" t="s">
        <v>302</v>
      </c>
      <c r="AT134" t="s">
        <v>1120</v>
      </c>
      <c r="AU134" t="s">
        <v>354</v>
      </c>
      <c r="AV134"/>
      <c r="AW134" t="s">
        <v>545</v>
      </c>
      <c r="AX134" t="s">
        <v>546</v>
      </c>
      <c r="AY134" t="s">
        <v>330</v>
      </c>
      <c r="AZ134" t="s">
        <v>331</v>
      </c>
      <c r="BA134"/>
      <c r="BB134"/>
      <c r="BC134" t="s">
        <v>669</v>
      </c>
      <c r="BD134" t="s">
        <v>971</v>
      </c>
      <c r="BE134" t="s">
        <v>2204</v>
      </c>
      <c r="BF134" t="s">
        <v>314</v>
      </c>
      <c r="BG134"/>
      <c r="BH134"/>
      <c r="BI134"/>
      <c r="BJ134"/>
      <c r="BK134"/>
      <c r="BL134"/>
      <c r="BM134" t="s">
        <v>305</v>
      </c>
      <c r="BN134" t="s">
        <v>354</v>
      </c>
      <c r="BO134" t="s">
        <v>2336</v>
      </c>
      <c r="BP134"/>
      <c r="BQ134"/>
      <c r="BR134">
        <v>7.5</v>
      </c>
      <c r="BS134">
        <v>8.3000000000000007</v>
      </c>
      <c r="BT134">
        <v>7</v>
      </c>
      <c r="BU134">
        <v>8.1</v>
      </c>
      <c r="BV134">
        <v>9.1999999999999993</v>
      </c>
      <c r="BW134">
        <v>9.1999999999999993</v>
      </c>
      <c r="BX134">
        <v>9.4</v>
      </c>
      <c r="BY134">
        <v>0</v>
      </c>
      <c r="BZ134">
        <v>0</v>
      </c>
      <c r="CA134">
        <v>0</v>
      </c>
      <c r="CB134">
        <v>8.3000000000000007</v>
      </c>
      <c r="CC134">
        <v>8.5</v>
      </c>
      <c r="CD134">
        <v>0</v>
      </c>
      <c r="CE134">
        <v>0</v>
      </c>
      <c r="CF134">
        <v>0</v>
      </c>
      <c r="CG134">
        <v>0</v>
      </c>
      <c r="CH134">
        <v>0</v>
      </c>
      <c r="CI134">
        <v>0</v>
      </c>
      <c r="CJ134">
        <v>0</v>
      </c>
      <c r="CK134">
        <v>0</v>
      </c>
      <c r="CL134">
        <v>0</v>
      </c>
      <c r="CM134">
        <v>8.1</v>
      </c>
      <c r="CN134">
        <v>7.8</v>
      </c>
      <c r="CO134">
        <v>7.5</v>
      </c>
      <c r="CP134">
        <v>8.6</v>
      </c>
      <c r="CQ134">
        <v>9.1999999999999993</v>
      </c>
      <c r="CR134">
        <v>9.3000000000000007</v>
      </c>
      <c r="CS134">
        <v>9.3000000000000007</v>
      </c>
      <c r="CT134">
        <v>0</v>
      </c>
      <c r="CU134">
        <v>0</v>
      </c>
      <c r="CV134">
        <v>0</v>
      </c>
      <c r="CW134">
        <v>8.4</v>
      </c>
      <c r="CX134">
        <v>8.4</v>
      </c>
      <c r="CY134">
        <v>0</v>
      </c>
      <c r="CZ134">
        <v>0</v>
      </c>
      <c r="DA134">
        <v>0</v>
      </c>
      <c r="DB134">
        <v>0</v>
      </c>
      <c r="DC134">
        <v>0</v>
      </c>
      <c r="DD134">
        <v>0</v>
      </c>
      <c r="DE134">
        <v>0</v>
      </c>
      <c r="DF134">
        <v>0</v>
      </c>
      <c r="DG134">
        <v>0</v>
      </c>
      <c r="DH134">
        <v>7.7</v>
      </c>
      <c r="DI134">
        <v>8.6</v>
      </c>
      <c r="DJ134">
        <v>7.9</v>
      </c>
      <c r="DK134">
        <v>8.8000000000000007</v>
      </c>
      <c r="DL134">
        <v>8.8000000000000007</v>
      </c>
      <c r="DM134">
        <v>8.9</v>
      </c>
      <c r="DN134">
        <v>8.9</v>
      </c>
      <c r="DO134">
        <v>0</v>
      </c>
      <c r="DP134">
        <v>0</v>
      </c>
      <c r="DQ134">
        <v>0</v>
      </c>
      <c r="DR134">
        <v>8.9</v>
      </c>
      <c r="DS134">
        <v>8.4</v>
      </c>
      <c r="DT134">
        <v>0</v>
      </c>
      <c r="DU134">
        <v>0</v>
      </c>
      <c r="DV134">
        <v>0</v>
      </c>
      <c r="DW134">
        <v>0</v>
      </c>
      <c r="DX134">
        <v>0</v>
      </c>
      <c r="DY134">
        <v>0</v>
      </c>
      <c r="DZ134">
        <v>0</v>
      </c>
      <c r="EA134">
        <v>0</v>
      </c>
      <c r="EB134">
        <v>0</v>
      </c>
      <c r="EC134">
        <v>6.25</v>
      </c>
      <c r="ED134">
        <v>7.25</v>
      </c>
      <c r="EE134"/>
      <c r="EF134"/>
      <c r="EG134">
        <v>8.75</v>
      </c>
      <c r="EH134"/>
      <c r="EI134">
        <v>6.75</v>
      </c>
      <c r="EJ134"/>
      <c r="EK134"/>
      <c r="EL134"/>
      <c r="EM134"/>
      <c r="EN134"/>
      <c r="EO134"/>
      <c r="EP134"/>
      <c r="EQ134"/>
      <c r="ER134"/>
      <c r="ES134"/>
      <c r="ET134"/>
      <c r="EU134"/>
      <c r="EV134"/>
      <c r="EW134"/>
      <c r="EX134"/>
      <c r="EY134"/>
      <c r="EZ134"/>
      <c r="FA134"/>
      <c r="FB134"/>
      <c r="FC134"/>
      <c r="FD134"/>
    </row>
    <row r="135" spans="1:160" x14ac:dyDescent="0.25">
      <c r="A135" s="1" t="str">
        <f t="shared" si="2"/>
        <v>083308007237</v>
      </c>
      <c r="B135" t="s">
        <v>2337</v>
      </c>
      <c r="C135" t="s">
        <v>1405</v>
      </c>
      <c r="D135" t="s">
        <v>2338</v>
      </c>
      <c r="E135" t="s">
        <v>278</v>
      </c>
      <c r="F135" t="s">
        <v>2339</v>
      </c>
      <c r="G135" t="s">
        <v>2340</v>
      </c>
      <c r="H135" t="s">
        <v>2341</v>
      </c>
      <c r="I135" t="s">
        <v>2342</v>
      </c>
      <c r="J135" t="s">
        <v>2343</v>
      </c>
      <c r="K135" t="s">
        <v>516</v>
      </c>
      <c r="L135"/>
      <c r="M135" t="s">
        <v>287</v>
      </c>
      <c r="N135" t="s">
        <v>288</v>
      </c>
      <c r="O135"/>
      <c r="P135" t="s">
        <v>289</v>
      </c>
      <c r="Q135" t="s">
        <v>2344</v>
      </c>
      <c r="R135" t="s">
        <v>287</v>
      </c>
      <c r="S135" t="s">
        <v>287</v>
      </c>
      <c r="T135" t="s">
        <v>287</v>
      </c>
      <c r="U135"/>
      <c r="V135"/>
      <c r="W135"/>
      <c r="X135"/>
      <c r="Y135"/>
      <c r="Z135"/>
      <c r="AA135" t="s">
        <v>287</v>
      </c>
      <c r="AB135"/>
      <c r="AC135"/>
      <c r="AD135"/>
      <c r="AE135"/>
      <c r="AF135" t="s">
        <v>421</v>
      </c>
      <c r="AG135" t="s">
        <v>2345</v>
      </c>
      <c r="AH135" t="s">
        <v>2346</v>
      </c>
      <c r="AI135" t="s">
        <v>421</v>
      </c>
      <c r="AJ135" t="s">
        <v>2345</v>
      </c>
      <c r="AK135" t="s">
        <v>2346</v>
      </c>
      <c r="AL135" t="s">
        <v>421</v>
      </c>
      <c r="AM135" t="s">
        <v>2345</v>
      </c>
      <c r="AN135" t="s">
        <v>2346</v>
      </c>
      <c r="AO135" t="s">
        <v>299</v>
      </c>
      <c r="AP135" t="s">
        <v>348</v>
      </c>
      <c r="AQ135" t="s">
        <v>2347</v>
      </c>
      <c r="AR135" t="s">
        <v>1057</v>
      </c>
      <c r="AS135" t="s">
        <v>2067</v>
      </c>
      <c r="AT135" t="s">
        <v>1192</v>
      </c>
      <c r="AU135" t="s">
        <v>354</v>
      </c>
      <c r="AV135"/>
      <c r="AW135" t="s">
        <v>444</v>
      </c>
      <c r="AX135" t="s">
        <v>445</v>
      </c>
      <c r="AY135" t="s">
        <v>310</v>
      </c>
      <c r="AZ135" t="s">
        <v>311</v>
      </c>
      <c r="BA135" t="s">
        <v>330</v>
      </c>
      <c r="BB135" t="s">
        <v>331</v>
      </c>
      <c r="BC135" t="s">
        <v>312</v>
      </c>
      <c r="BD135" t="s">
        <v>353</v>
      </c>
      <c r="BE135" t="s">
        <v>2947</v>
      </c>
      <c r="BF135" t="s">
        <v>314</v>
      </c>
      <c r="BG135"/>
      <c r="BH135"/>
      <c r="BI135"/>
      <c r="BJ135"/>
      <c r="BK135"/>
      <c r="BL135"/>
      <c r="BM135" t="s">
        <v>305</v>
      </c>
      <c r="BN135" t="s">
        <v>354</v>
      </c>
      <c r="BO135" t="s">
        <v>2348</v>
      </c>
      <c r="BP135"/>
      <c r="BQ135"/>
      <c r="BR135">
        <v>6.1</v>
      </c>
      <c r="BS135">
        <v>7</v>
      </c>
      <c r="BT135">
        <v>0</v>
      </c>
      <c r="BU135">
        <v>0</v>
      </c>
      <c r="BV135">
        <v>8.1</v>
      </c>
      <c r="BW135">
        <v>0</v>
      </c>
      <c r="BX135">
        <v>8.1</v>
      </c>
      <c r="BY135">
        <v>7.9</v>
      </c>
      <c r="BZ135">
        <v>0</v>
      </c>
      <c r="CA135">
        <v>8.8000000000000007</v>
      </c>
      <c r="CB135">
        <v>0</v>
      </c>
      <c r="CC135">
        <v>8.6999999999999993</v>
      </c>
      <c r="CD135">
        <v>0</v>
      </c>
      <c r="CE135">
        <v>0</v>
      </c>
      <c r="CF135">
        <v>0</v>
      </c>
      <c r="CG135">
        <v>0</v>
      </c>
      <c r="CH135">
        <v>0</v>
      </c>
      <c r="CI135">
        <v>0</v>
      </c>
      <c r="CJ135">
        <v>0</v>
      </c>
      <c r="CK135">
        <v>0</v>
      </c>
      <c r="CL135">
        <v>0</v>
      </c>
      <c r="CM135">
        <v>7.3</v>
      </c>
      <c r="CN135">
        <v>8.1</v>
      </c>
      <c r="CO135">
        <v>0</v>
      </c>
      <c r="CP135">
        <v>0</v>
      </c>
      <c r="CQ135">
        <v>8.8000000000000007</v>
      </c>
      <c r="CR135">
        <v>0</v>
      </c>
      <c r="CS135">
        <v>7.1</v>
      </c>
      <c r="CT135">
        <v>5.8</v>
      </c>
      <c r="CU135">
        <v>0</v>
      </c>
      <c r="CV135">
        <v>8.1</v>
      </c>
      <c r="CW135">
        <v>0</v>
      </c>
      <c r="CX135">
        <v>8.3000000000000007</v>
      </c>
      <c r="CY135">
        <v>0</v>
      </c>
      <c r="CZ135">
        <v>0</v>
      </c>
      <c r="DA135">
        <v>0</v>
      </c>
      <c r="DB135">
        <v>0</v>
      </c>
      <c r="DC135">
        <v>0</v>
      </c>
      <c r="DD135">
        <v>0</v>
      </c>
      <c r="DE135">
        <v>0</v>
      </c>
      <c r="DF135">
        <v>0</v>
      </c>
      <c r="DG135">
        <v>0</v>
      </c>
      <c r="DH135">
        <v>8.1</v>
      </c>
      <c r="DI135">
        <v>8.1999999999999993</v>
      </c>
      <c r="DJ135">
        <v>0</v>
      </c>
      <c r="DK135">
        <v>0</v>
      </c>
      <c r="DL135">
        <v>9.6999999999999993</v>
      </c>
      <c r="DM135">
        <v>0</v>
      </c>
      <c r="DN135">
        <v>8.6999999999999993</v>
      </c>
      <c r="DO135">
        <v>8.6999999999999993</v>
      </c>
      <c r="DP135">
        <v>0</v>
      </c>
      <c r="DQ135">
        <v>9.6</v>
      </c>
      <c r="DR135">
        <v>0</v>
      </c>
      <c r="DS135">
        <v>8.9</v>
      </c>
      <c r="DT135">
        <v>0</v>
      </c>
      <c r="DU135">
        <v>0</v>
      </c>
      <c r="DV135">
        <v>0</v>
      </c>
      <c r="DW135">
        <v>0</v>
      </c>
      <c r="DX135">
        <v>0</v>
      </c>
      <c r="DY135">
        <v>0</v>
      </c>
      <c r="DZ135">
        <v>0</v>
      </c>
      <c r="EA135">
        <v>0</v>
      </c>
      <c r="EB135">
        <v>0</v>
      </c>
      <c r="EC135">
        <v>3.5</v>
      </c>
      <c r="ED135">
        <v>5.25</v>
      </c>
      <c r="EE135"/>
      <c r="EF135"/>
      <c r="EG135">
        <v>9.25</v>
      </c>
      <c r="EH135"/>
      <c r="EI135">
        <v>5.35</v>
      </c>
      <c r="EJ135"/>
      <c r="EK135"/>
      <c r="EL135"/>
      <c r="EM135"/>
      <c r="EN135"/>
      <c r="EO135"/>
      <c r="EP135"/>
      <c r="EQ135"/>
      <c r="ER135"/>
      <c r="ES135"/>
      <c r="ET135"/>
      <c r="EU135"/>
      <c r="EV135"/>
      <c r="EW135"/>
      <c r="EX135"/>
      <c r="EY135"/>
      <c r="EZ135"/>
      <c r="FA135"/>
      <c r="FB135"/>
      <c r="FC135"/>
      <c r="FD135"/>
    </row>
    <row r="136" spans="1:160" x14ac:dyDescent="0.25">
      <c r="A136" s="1" t="str">
        <f t="shared" si="2"/>
        <v>036306002876</v>
      </c>
      <c r="B136" t="s">
        <v>2349</v>
      </c>
      <c r="C136" t="s">
        <v>2350</v>
      </c>
      <c r="D136" t="s">
        <v>2351</v>
      </c>
      <c r="E136" t="s">
        <v>278</v>
      </c>
      <c r="F136" t="s">
        <v>2352</v>
      </c>
      <c r="G136" t="s">
        <v>2353</v>
      </c>
      <c r="H136" t="s">
        <v>2354</v>
      </c>
      <c r="I136" t="s">
        <v>2355</v>
      </c>
      <c r="J136" t="s">
        <v>2356</v>
      </c>
      <c r="K136" t="s">
        <v>516</v>
      </c>
      <c r="L136"/>
      <c r="M136" t="s">
        <v>287</v>
      </c>
      <c r="N136" t="s">
        <v>288</v>
      </c>
      <c r="O136"/>
      <c r="P136" t="s">
        <v>2136</v>
      </c>
      <c r="Q136"/>
      <c r="R136" t="s">
        <v>287</v>
      </c>
      <c r="S136" t="s">
        <v>287</v>
      </c>
      <c r="T136" t="s">
        <v>287</v>
      </c>
      <c r="U136"/>
      <c r="V136"/>
      <c r="W136"/>
      <c r="X136"/>
      <c r="Y136"/>
      <c r="Z136"/>
      <c r="AA136" t="s">
        <v>287</v>
      </c>
      <c r="AB136"/>
      <c r="AC136"/>
      <c r="AD136"/>
      <c r="AE136"/>
      <c r="AF136" t="s">
        <v>1829</v>
      </c>
      <c r="AG136" t="s">
        <v>2357</v>
      </c>
      <c r="AH136" t="s">
        <v>2358</v>
      </c>
      <c r="AI136" t="s">
        <v>1829</v>
      </c>
      <c r="AJ136" t="s">
        <v>2357</v>
      </c>
      <c r="AK136" t="s">
        <v>2358</v>
      </c>
      <c r="AL136" t="s">
        <v>1829</v>
      </c>
      <c r="AM136" t="s">
        <v>2357</v>
      </c>
      <c r="AN136" t="s">
        <v>2358</v>
      </c>
      <c r="AO136" t="s">
        <v>299</v>
      </c>
      <c r="AP136" t="s">
        <v>348</v>
      </c>
      <c r="AQ136" t="s">
        <v>1868</v>
      </c>
      <c r="AR136" t="s">
        <v>1180</v>
      </c>
      <c r="AS136" t="s">
        <v>484</v>
      </c>
      <c r="AT136" t="s">
        <v>326</v>
      </c>
      <c r="AU136" t="s">
        <v>354</v>
      </c>
      <c r="AV136"/>
      <c r="AW136" t="s">
        <v>608</v>
      </c>
      <c r="AX136" t="s">
        <v>609</v>
      </c>
      <c r="AY136" t="s">
        <v>444</v>
      </c>
      <c r="AZ136" t="s">
        <v>445</v>
      </c>
      <c r="BA136" t="s">
        <v>332</v>
      </c>
      <c r="BB136" t="s">
        <v>333</v>
      </c>
      <c r="BC136" t="s">
        <v>312</v>
      </c>
      <c r="BD136" t="s">
        <v>313</v>
      </c>
      <c r="BE136" t="s">
        <v>2948</v>
      </c>
      <c r="BF136" t="s">
        <v>314</v>
      </c>
      <c r="BG136"/>
      <c r="BH136"/>
      <c r="BI136"/>
      <c r="BJ136"/>
      <c r="BK136"/>
      <c r="BL136"/>
      <c r="BM136" t="s">
        <v>305</v>
      </c>
      <c r="BN136" t="s">
        <v>354</v>
      </c>
      <c r="BO136" t="s">
        <v>2359</v>
      </c>
      <c r="BP136"/>
      <c r="BQ136"/>
      <c r="BR136">
        <v>8.1</v>
      </c>
      <c r="BS136">
        <v>8.3000000000000007</v>
      </c>
      <c r="BT136">
        <v>8.1</v>
      </c>
      <c r="BU136">
        <v>8.1</v>
      </c>
      <c r="BV136">
        <v>8.6999999999999993</v>
      </c>
      <c r="BW136">
        <v>0</v>
      </c>
      <c r="BX136">
        <v>8.6</v>
      </c>
      <c r="BY136">
        <v>7.4</v>
      </c>
      <c r="BZ136">
        <v>9</v>
      </c>
      <c r="CA136">
        <v>8.1</v>
      </c>
      <c r="CB136">
        <v>9</v>
      </c>
      <c r="CC136">
        <v>9</v>
      </c>
      <c r="CD136">
        <v>0</v>
      </c>
      <c r="CE136">
        <v>0</v>
      </c>
      <c r="CF136">
        <v>0</v>
      </c>
      <c r="CG136">
        <v>0</v>
      </c>
      <c r="CH136">
        <v>0</v>
      </c>
      <c r="CI136">
        <v>0</v>
      </c>
      <c r="CJ136">
        <v>0</v>
      </c>
      <c r="CK136">
        <v>0</v>
      </c>
      <c r="CL136">
        <v>0</v>
      </c>
      <c r="CM136">
        <v>7.3</v>
      </c>
      <c r="CN136">
        <v>8.1</v>
      </c>
      <c r="CO136">
        <v>8.6</v>
      </c>
      <c r="CP136">
        <v>9</v>
      </c>
      <c r="CQ136">
        <v>8</v>
      </c>
      <c r="CR136">
        <v>0</v>
      </c>
      <c r="CS136">
        <v>8.1</v>
      </c>
      <c r="CT136">
        <v>8.6</v>
      </c>
      <c r="CU136">
        <v>8.3000000000000007</v>
      </c>
      <c r="CV136">
        <v>9</v>
      </c>
      <c r="CW136">
        <v>9.6</v>
      </c>
      <c r="CX136">
        <v>8.6999999999999993</v>
      </c>
      <c r="CY136">
        <v>0</v>
      </c>
      <c r="CZ136">
        <v>0</v>
      </c>
      <c r="DA136">
        <v>0</v>
      </c>
      <c r="DB136">
        <v>0</v>
      </c>
      <c r="DC136">
        <v>0</v>
      </c>
      <c r="DD136">
        <v>0</v>
      </c>
      <c r="DE136">
        <v>0</v>
      </c>
      <c r="DF136">
        <v>0</v>
      </c>
      <c r="DG136">
        <v>0</v>
      </c>
      <c r="DH136">
        <v>9.1999999999999993</v>
      </c>
      <c r="DI136">
        <v>8.6</v>
      </c>
      <c r="DJ136">
        <v>8.5</v>
      </c>
      <c r="DK136">
        <v>9.3000000000000007</v>
      </c>
      <c r="DL136">
        <v>8.6999999999999993</v>
      </c>
      <c r="DM136">
        <v>0</v>
      </c>
      <c r="DN136">
        <v>8.4</v>
      </c>
      <c r="DO136">
        <v>9.1999999999999993</v>
      </c>
      <c r="DP136">
        <v>7.2</v>
      </c>
      <c r="DQ136">
        <v>9.3000000000000007</v>
      </c>
      <c r="DR136">
        <v>9</v>
      </c>
      <c r="DS136">
        <v>8.8000000000000007</v>
      </c>
      <c r="DT136">
        <v>0</v>
      </c>
      <c r="DU136">
        <v>0</v>
      </c>
      <c r="DV136">
        <v>0</v>
      </c>
      <c r="DW136">
        <v>0</v>
      </c>
      <c r="DX136">
        <v>0</v>
      </c>
      <c r="DY136">
        <v>0</v>
      </c>
      <c r="DZ136">
        <v>0</v>
      </c>
      <c r="EA136">
        <v>0</v>
      </c>
      <c r="EB136">
        <v>0</v>
      </c>
      <c r="EC136">
        <v>6.4</v>
      </c>
      <c r="ED136">
        <v>8.75</v>
      </c>
      <c r="EE136">
        <v>6.2</v>
      </c>
      <c r="EF136"/>
      <c r="EG136">
        <v>7.5</v>
      </c>
      <c r="EH136"/>
      <c r="EI136">
        <v>7.5</v>
      </c>
      <c r="EJ136"/>
      <c r="EK136"/>
      <c r="EL136"/>
      <c r="EM136"/>
      <c r="EN136"/>
      <c r="EO136"/>
      <c r="EP136"/>
      <c r="EQ136"/>
      <c r="ER136"/>
      <c r="ES136"/>
      <c r="ET136"/>
      <c r="EU136"/>
      <c r="EV136"/>
      <c r="EW136"/>
      <c r="EX136"/>
      <c r="EY136"/>
      <c r="EZ136"/>
      <c r="FA136"/>
      <c r="FB136"/>
      <c r="FC136"/>
      <c r="FD136"/>
    </row>
    <row r="137" spans="1:160" x14ac:dyDescent="0.25">
      <c r="A137" s="1" t="str">
        <f t="shared" si="2"/>
        <v>087308000717</v>
      </c>
      <c r="B137" t="s">
        <v>2949</v>
      </c>
      <c r="C137" t="s">
        <v>2950</v>
      </c>
      <c r="D137" t="s">
        <v>2951</v>
      </c>
      <c r="E137" t="s">
        <v>278</v>
      </c>
      <c r="F137" t="s">
        <v>2952</v>
      </c>
      <c r="G137" t="s">
        <v>2953</v>
      </c>
      <c r="H137" t="s">
        <v>2954</v>
      </c>
      <c r="I137" t="s">
        <v>2955</v>
      </c>
      <c r="J137" t="s">
        <v>2956</v>
      </c>
      <c r="K137" t="s">
        <v>516</v>
      </c>
      <c r="L137"/>
      <c r="M137" t="s">
        <v>287</v>
      </c>
      <c r="N137" t="s">
        <v>288</v>
      </c>
      <c r="O137"/>
      <c r="P137" t="s">
        <v>289</v>
      </c>
      <c r="Q137" t="s">
        <v>2957</v>
      </c>
      <c r="R137" t="s">
        <v>287</v>
      </c>
      <c r="S137" t="s">
        <v>287</v>
      </c>
      <c r="T137" t="s">
        <v>287</v>
      </c>
      <c r="U137"/>
      <c r="V137"/>
      <c r="W137" t="s">
        <v>294</v>
      </c>
      <c r="X137" t="s">
        <v>2958</v>
      </c>
      <c r="Y137" t="s">
        <v>2959</v>
      </c>
      <c r="Z137" t="s">
        <v>1717</v>
      </c>
      <c r="AA137" t="s">
        <v>287</v>
      </c>
      <c r="AB137"/>
      <c r="AC137"/>
      <c r="AD137"/>
      <c r="AE137"/>
      <c r="AF137" t="s">
        <v>323</v>
      </c>
      <c r="AG137" t="s">
        <v>523</v>
      </c>
      <c r="AH137" t="s">
        <v>524</v>
      </c>
      <c r="AI137" t="s">
        <v>323</v>
      </c>
      <c r="AJ137" t="s">
        <v>523</v>
      </c>
      <c r="AK137" t="s">
        <v>524</v>
      </c>
      <c r="AL137" t="s">
        <v>323</v>
      </c>
      <c r="AM137" t="s">
        <v>523</v>
      </c>
      <c r="AN137" t="s">
        <v>524</v>
      </c>
      <c r="AO137" t="s">
        <v>299</v>
      </c>
      <c r="AP137" t="s">
        <v>388</v>
      </c>
      <c r="AQ137" t="s">
        <v>544</v>
      </c>
      <c r="AR137" t="s">
        <v>1205</v>
      </c>
      <c r="AS137" t="s">
        <v>1057</v>
      </c>
      <c r="AT137" t="s">
        <v>544</v>
      </c>
      <c r="AU137" t="s">
        <v>305</v>
      </c>
      <c r="AV137"/>
      <c r="AW137" t="s">
        <v>562</v>
      </c>
      <c r="AX137" t="s">
        <v>563</v>
      </c>
      <c r="AY137"/>
      <c r="AZ137"/>
      <c r="BA137"/>
      <c r="BB137"/>
      <c r="BC137" t="s">
        <v>669</v>
      </c>
      <c r="BD137" t="s">
        <v>353</v>
      </c>
      <c r="BE137" t="s">
        <v>2960</v>
      </c>
      <c r="BF137" t="s">
        <v>314</v>
      </c>
      <c r="BG137"/>
      <c r="BH137"/>
      <c r="BI137"/>
      <c r="BJ137"/>
      <c r="BK137"/>
      <c r="BL137"/>
      <c r="BM137" t="s">
        <v>305</v>
      </c>
      <c r="BN137" t="s">
        <v>354</v>
      </c>
      <c r="BO137" t="s">
        <v>2961</v>
      </c>
      <c r="BP137" t="s">
        <v>2962</v>
      </c>
      <c r="BQ137"/>
      <c r="BR137">
        <v>7.9</v>
      </c>
      <c r="BS137">
        <v>7.8</v>
      </c>
      <c r="BT137">
        <v>7.5</v>
      </c>
      <c r="BU137">
        <v>8.9</v>
      </c>
      <c r="BV137">
        <v>8.1</v>
      </c>
      <c r="BW137">
        <v>7.3</v>
      </c>
      <c r="BX137">
        <v>0</v>
      </c>
      <c r="BY137">
        <v>0</v>
      </c>
      <c r="BZ137">
        <v>7.8</v>
      </c>
      <c r="CA137">
        <v>8.5</v>
      </c>
      <c r="CB137">
        <v>0</v>
      </c>
      <c r="CC137">
        <v>8.3000000000000007</v>
      </c>
      <c r="CD137">
        <v>0</v>
      </c>
      <c r="CE137">
        <v>0</v>
      </c>
      <c r="CF137">
        <v>0</v>
      </c>
      <c r="CG137">
        <v>0</v>
      </c>
      <c r="CH137">
        <v>0</v>
      </c>
      <c r="CI137">
        <v>0</v>
      </c>
      <c r="CJ137">
        <v>0</v>
      </c>
      <c r="CK137">
        <v>0</v>
      </c>
      <c r="CL137">
        <v>0</v>
      </c>
      <c r="CM137">
        <v>7.3</v>
      </c>
      <c r="CN137">
        <v>8.4</v>
      </c>
      <c r="CO137">
        <v>7.1</v>
      </c>
      <c r="CP137">
        <v>9</v>
      </c>
      <c r="CQ137">
        <v>7.2</v>
      </c>
      <c r="CR137">
        <v>7.2</v>
      </c>
      <c r="CS137">
        <v>0</v>
      </c>
      <c r="CT137">
        <v>0</v>
      </c>
      <c r="CU137">
        <v>7.2</v>
      </c>
      <c r="CV137">
        <v>8.4</v>
      </c>
      <c r="CW137">
        <v>0</v>
      </c>
      <c r="CX137">
        <v>8.5</v>
      </c>
      <c r="CY137">
        <v>0</v>
      </c>
      <c r="CZ137">
        <v>0</v>
      </c>
      <c r="DA137">
        <v>0</v>
      </c>
      <c r="DB137">
        <v>0</v>
      </c>
      <c r="DC137">
        <v>0</v>
      </c>
      <c r="DD137">
        <v>0</v>
      </c>
      <c r="DE137">
        <v>0</v>
      </c>
      <c r="DF137">
        <v>0</v>
      </c>
      <c r="DG137">
        <v>0</v>
      </c>
      <c r="DH137">
        <v>8.6</v>
      </c>
      <c r="DI137">
        <v>7.9</v>
      </c>
      <c r="DJ137">
        <v>6.4</v>
      </c>
      <c r="DK137">
        <v>8.6999999999999993</v>
      </c>
      <c r="DL137">
        <v>8.1</v>
      </c>
      <c r="DM137">
        <v>7.3</v>
      </c>
      <c r="DN137">
        <v>0</v>
      </c>
      <c r="DO137">
        <v>0</v>
      </c>
      <c r="DP137">
        <v>6.5</v>
      </c>
      <c r="DQ137">
        <v>7.4</v>
      </c>
      <c r="DR137">
        <v>0</v>
      </c>
      <c r="DS137">
        <v>9.1</v>
      </c>
      <c r="DT137">
        <v>0</v>
      </c>
      <c r="DU137">
        <v>0</v>
      </c>
      <c r="DV137">
        <v>0</v>
      </c>
      <c r="DW137">
        <v>0</v>
      </c>
      <c r="DX137">
        <v>0</v>
      </c>
      <c r="DY137">
        <v>0</v>
      </c>
      <c r="DZ137">
        <v>0</v>
      </c>
      <c r="EA137">
        <v>0</v>
      </c>
      <c r="EB137">
        <v>0</v>
      </c>
      <c r="EC137">
        <v>5.75</v>
      </c>
      <c r="ED137">
        <v>8</v>
      </c>
      <c r="EE137"/>
      <c r="EF137"/>
      <c r="EG137"/>
      <c r="EH137"/>
      <c r="EI137"/>
      <c r="EJ137"/>
      <c r="EK137">
        <v>4.5</v>
      </c>
      <c r="EL137">
        <v>5.6</v>
      </c>
      <c r="EM137"/>
      <c r="EN137"/>
      <c r="EO137"/>
      <c r="EP137"/>
      <c r="EQ137"/>
      <c r="ER137"/>
      <c r="ES137"/>
      <c r="ET137"/>
      <c r="EU137"/>
      <c r="EV137"/>
      <c r="EW137"/>
      <c r="EX137"/>
      <c r="EY137"/>
      <c r="EZ137"/>
      <c r="FA137"/>
      <c r="FB137"/>
      <c r="FC137"/>
      <c r="FD137"/>
    </row>
    <row r="138" spans="1:160" x14ac:dyDescent="0.25">
      <c r="A138" s="1" t="str">
        <f t="shared" si="2"/>
        <v>079206039090</v>
      </c>
      <c r="B138" t="s">
        <v>2963</v>
      </c>
      <c r="C138" t="s">
        <v>1335</v>
      </c>
      <c r="D138" t="s">
        <v>2964</v>
      </c>
      <c r="E138" t="s">
        <v>280</v>
      </c>
      <c r="F138" t="s">
        <v>2965</v>
      </c>
      <c r="G138" t="s">
        <v>2966</v>
      </c>
      <c r="H138" t="s">
        <v>2967</v>
      </c>
      <c r="I138" t="s">
        <v>2968</v>
      </c>
      <c r="J138" t="s">
        <v>2969</v>
      </c>
      <c r="K138" t="s">
        <v>286</v>
      </c>
      <c r="L138"/>
      <c r="M138" t="s">
        <v>287</v>
      </c>
      <c r="N138" t="s">
        <v>288</v>
      </c>
      <c r="O138"/>
      <c r="P138" t="s">
        <v>2136</v>
      </c>
      <c r="Q138"/>
      <c r="R138" t="s">
        <v>287</v>
      </c>
      <c r="S138" t="s">
        <v>287</v>
      </c>
      <c r="T138" t="s">
        <v>287</v>
      </c>
      <c r="U138"/>
      <c r="V138"/>
      <c r="W138"/>
      <c r="X138"/>
      <c r="Y138"/>
      <c r="Z138"/>
      <c r="AA138" t="s">
        <v>287</v>
      </c>
      <c r="AB138"/>
      <c r="AC138"/>
      <c r="AD138"/>
      <c r="AE138"/>
      <c r="AF138" t="s">
        <v>576</v>
      </c>
      <c r="AG138" t="s">
        <v>1955</v>
      </c>
      <c r="AH138" t="s">
        <v>2970</v>
      </c>
      <c r="AI138" t="s">
        <v>576</v>
      </c>
      <c r="AJ138" t="s">
        <v>1955</v>
      </c>
      <c r="AK138" t="s">
        <v>2970</v>
      </c>
      <c r="AL138" t="s">
        <v>576</v>
      </c>
      <c r="AM138" t="s">
        <v>1955</v>
      </c>
      <c r="AN138" t="s">
        <v>2970</v>
      </c>
      <c r="AO138" t="s">
        <v>2971</v>
      </c>
      <c r="AP138" t="s">
        <v>388</v>
      </c>
      <c r="AQ138" t="s">
        <v>2972</v>
      </c>
      <c r="AR138" t="s">
        <v>391</v>
      </c>
      <c r="AS138" t="s">
        <v>2073</v>
      </c>
      <c r="AT138" t="s">
        <v>2973</v>
      </c>
      <c r="AU138" t="s">
        <v>354</v>
      </c>
      <c r="AV138"/>
      <c r="AW138" t="s">
        <v>610</v>
      </c>
      <c r="AX138" t="s">
        <v>611</v>
      </c>
      <c r="AY138" t="s">
        <v>308</v>
      </c>
      <c r="AZ138" t="s">
        <v>309</v>
      </c>
      <c r="BA138" t="s">
        <v>330</v>
      </c>
      <c r="BB138" t="s">
        <v>331</v>
      </c>
      <c r="BC138" t="s">
        <v>669</v>
      </c>
      <c r="BD138" t="s">
        <v>1339</v>
      </c>
      <c r="BE138" t="s">
        <v>1616</v>
      </c>
      <c r="BF138" t="s">
        <v>314</v>
      </c>
      <c r="BG138"/>
      <c r="BH138"/>
      <c r="BI138"/>
      <c r="BJ138"/>
      <c r="BK138"/>
      <c r="BL138"/>
      <c r="BM138" t="s">
        <v>305</v>
      </c>
      <c r="BN138" t="s">
        <v>354</v>
      </c>
      <c r="BO138" t="s">
        <v>2974</v>
      </c>
      <c r="BP138"/>
      <c r="BQ138"/>
      <c r="BR138">
        <v>5.5</v>
      </c>
      <c r="BS138">
        <v>6.5</v>
      </c>
      <c r="BT138">
        <v>0</v>
      </c>
      <c r="BU138">
        <v>0</v>
      </c>
      <c r="BV138">
        <v>8</v>
      </c>
      <c r="BW138">
        <v>7.8</v>
      </c>
      <c r="BX138">
        <v>6.9</v>
      </c>
      <c r="BY138">
        <v>5.7</v>
      </c>
      <c r="BZ138">
        <v>6.4</v>
      </c>
      <c r="CA138">
        <v>8.1</v>
      </c>
      <c r="CB138">
        <v>0</v>
      </c>
      <c r="CC138">
        <v>6.3</v>
      </c>
      <c r="CD138">
        <v>0</v>
      </c>
      <c r="CE138">
        <v>0</v>
      </c>
      <c r="CF138">
        <v>0</v>
      </c>
      <c r="CG138">
        <v>0</v>
      </c>
      <c r="CH138">
        <v>0</v>
      </c>
      <c r="CI138">
        <v>0</v>
      </c>
      <c r="CJ138">
        <v>0</v>
      </c>
      <c r="CK138">
        <v>0</v>
      </c>
      <c r="CL138">
        <v>0</v>
      </c>
      <c r="CM138">
        <v>7.9</v>
      </c>
      <c r="CN138">
        <v>7.3</v>
      </c>
      <c r="CO138">
        <v>0</v>
      </c>
      <c r="CP138">
        <v>0</v>
      </c>
      <c r="CQ138">
        <v>7.8</v>
      </c>
      <c r="CR138">
        <v>7.6</v>
      </c>
      <c r="CS138">
        <v>6.1</v>
      </c>
      <c r="CT138">
        <v>7.2</v>
      </c>
      <c r="CU138">
        <v>7.2</v>
      </c>
      <c r="CV138">
        <v>7</v>
      </c>
      <c r="CW138">
        <v>0</v>
      </c>
      <c r="CX138">
        <v>8.3000000000000007</v>
      </c>
      <c r="CY138">
        <v>0</v>
      </c>
      <c r="CZ138">
        <v>0</v>
      </c>
      <c r="DA138">
        <v>0</v>
      </c>
      <c r="DB138">
        <v>0</v>
      </c>
      <c r="DC138">
        <v>0</v>
      </c>
      <c r="DD138">
        <v>0</v>
      </c>
      <c r="DE138">
        <v>0</v>
      </c>
      <c r="DF138">
        <v>0</v>
      </c>
      <c r="DG138">
        <v>0</v>
      </c>
      <c r="DH138">
        <v>5</v>
      </c>
      <c r="DI138">
        <v>7.5</v>
      </c>
      <c r="DJ138">
        <v>0</v>
      </c>
      <c r="DK138">
        <v>0</v>
      </c>
      <c r="DL138">
        <v>6.4</v>
      </c>
      <c r="DM138">
        <v>6.3</v>
      </c>
      <c r="DN138">
        <v>6</v>
      </c>
      <c r="DO138">
        <v>7.3</v>
      </c>
      <c r="DP138">
        <v>5</v>
      </c>
      <c r="DQ138">
        <v>6.1</v>
      </c>
      <c r="DR138">
        <v>0</v>
      </c>
      <c r="DS138">
        <v>8.1999999999999993</v>
      </c>
      <c r="DT138">
        <v>0</v>
      </c>
      <c r="DU138">
        <v>0</v>
      </c>
      <c r="DV138">
        <v>0</v>
      </c>
      <c r="DW138">
        <v>0</v>
      </c>
      <c r="DX138">
        <v>0</v>
      </c>
      <c r="DY138">
        <v>0</v>
      </c>
      <c r="DZ138">
        <v>0</v>
      </c>
      <c r="EA138">
        <v>0</v>
      </c>
      <c r="EB138">
        <v>0</v>
      </c>
      <c r="EC138">
        <v>0</v>
      </c>
      <c r="ED138">
        <v>5.75</v>
      </c>
      <c r="EE138">
        <v>0</v>
      </c>
      <c r="EF138"/>
      <c r="EG138">
        <v>8</v>
      </c>
      <c r="EH138"/>
      <c r="EI138">
        <v>4.5</v>
      </c>
      <c r="EJ138">
        <v>0</v>
      </c>
      <c r="EK138">
        <v>0</v>
      </c>
      <c r="EL138">
        <v>0</v>
      </c>
      <c r="EM138"/>
      <c r="EN138">
        <v>0</v>
      </c>
      <c r="EO138"/>
      <c r="EP138"/>
      <c r="EQ138"/>
      <c r="ER138"/>
      <c r="ES138"/>
      <c r="ET138"/>
      <c r="EU138"/>
      <c r="EV138"/>
      <c r="EW138"/>
      <c r="EX138"/>
      <c r="EY138"/>
      <c r="EZ138"/>
      <c r="FA138"/>
      <c r="FB138"/>
      <c r="FC138"/>
      <c r="FD138"/>
    </row>
    <row r="139" spans="1:160" x14ac:dyDescent="0.25">
      <c r="A139" s="1" t="str">
        <f t="shared" si="2"/>
        <v>066206017635</v>
      </c>
      <c r="B139" t="s">
        <v>2975</v>
      </c>
      <c r="C139" t="s">
        <v>2976</v>
      </c>
      <c r="D139" t="s">
        <v>2977</v>
      </c>
      <c r="E139" t="s">
        <v>280</v>
      </c>
      <c r="F139" t="s">
        <v>2978</v>
      </c>
      <c r="G139" t="s">
        <v>2979</v>
      </c>
      <c r="H139" t="s">
        <v>2980</v>
      </c>
      <c r="I139" t="s">
        <v>2981</v>
      </c>
      <c r="J139" t="s">
        <v>2982</v>
      </c>
      <c r="K139" t="s">
        <v>516</v>
      </c>
      <c r="L139"/>
      <c r="M139" t="s">
        <v>287</v>
      </c>
      <c r="N139" t="s">
        <v>288</v>
      </c>
      <c r="O139"/>
      <c r="P139" t="s">
        <v>2136</v>
      </c>
      <c r="Q139" t="s">
        <v>2983</v>
      </c>
      <c r="R139" t="s">
        <v>287</v>
      </c>
      <c r="S139" t="s">
        <v>287</v>
      </c>
      <c r="T139" t="s">
        <v>287</v>
      </c>
      <c r="U139" t="s">
        <v>2984</v>
      </c>
      <c r="V139" t="s">
        <v>2985</v>
      </c>
      <c r="W139" t="s">
        <v>575</v>
      </c>
      <c r="X139"/>
      <c r="Y139"/>
      <c r="Z139" t="s">
        <v>294</v>
      </c>
      <c r="AA139" t="s">
        <v>287</v>
      </c>
      <c r="AB139"/>
      <c r="AC139"/>
      <c r="AD139"/>
      <c r="AE139"/>
      <c r="AF139" t="s">
        <v>1303</v>
      </c>
      <c r="AG139" t="s">
        <v>2318</v>
      </c>
      <c r="AH139" t="s">
        <v>2986</v>
      </c>
      <c r="AI139" t="s">
        <v>1303</v>
      </c>
      <c r="AJ139" t="s">
        <v>2318</v>
      </c>
      <c r="AK139" t="s">
        <v>2986</v>
      </c>
      <c r="AL139" t="s">
        <v>1303</v>
      </c>
      <c r="AM139" t="s">
        <v>2318</v>
      </c>
      <c r="AN139" t="s">
        <v>2986</v>
      </c>
      <c r="AO139" t="s">
        <v>1457</v>
      </c>
      <c r="AP139" t="s">
        <v>603</v>
      </c>
      <c r="AQ139" t="s">
        <v>606</v>
      </c>
      <c r="AR139" t="s">
        <v>1150</v>
      </c>
      <c r="AS139" t="s">
        <v>1894</v>
      </c>
      <c r="AT139" t="s">
        <v>2109</v>
      </c>
      <c r="AU139" t="s">
        <v>305</v>
      </c>
      <c r="AV139"/>
      <c r="AW139" t="s">
        <v>330</v>
      </c>
      <c r="AX139" t="s">
        <v>331</v>
      </c>
      <c r="AY139"/>
      <c r="AZ139"/>
      <c r="BA139"/>
      <c r="BB139"/>
      <c r="BC139" t="s">
        <v>669</v>
      </c>
      <c r="BD139" t="s">
        <v>353</v>
      </c>
      <c r="BE139"/>
      <c r="BF139" t="s">
        <v>314</v>
      </c>
      <c r="BG139"/>
      <c r="BH139"/>
      <c r="BI139"/>
      <c r="BJ139"/>
      <c r="BK139"/>
      <c r="BL139"/>
      <c r="BM139" t="s">
        <v>305</v>
      </c>
      <c r="BN139" t="s">
        <v>354</v>
      </c>
      <c r="BO139" t="s">
        <v>2987</v>
      </c>
      <c r="BP139" t="s">
        <v>2988</v>
      </c>
      <c r="BQ139"/>
      <c r="BR139">
        <v>7</v>
      </c>
      <c r="BS139">
        <v>6.3</v>
      </c>
      <c r="BT139">
        <v>6.8</v>
      </c>
      <c r="BU139">
        <v>8</v>
      </c>
      <c r="BV139">
        <v>7.6</v>
      </c>
      <c r="BW139">
        <v>0</v>
      </c>
      <c r="BX139">
        <v>7.8</v>
      </c>
      <c r="BY139">
        <v>6.8</v>
      </c>
      <c r="BZ139">
        <v>7</v>
      </c>
      <c r="CA139">
        <v>7.3</v>
      </c>
      <c r="CB139">
        <v>8.8000000000000007</v>
      </c>
      <c r="CC139">
        <v>9.1</v>
      </c>
      <c r="CD139">
        <v>0</v>
      </c>
      <c r="CE139">
        <v>8.6999999999999993</v>
      </c>
      <c r="CF139">
        <v>0</v>
      </c>
      <c r="CG139">
        <v>0</v>
      </c>
      <c r="CH139">
        <v>0</v>
      </c>
      <c r="CI139">
        <v>0</v>
      </c>
      <c r="CJ139">
        <v>0</v>
      </c>
      <c r="CK139">
        <v>0</v>
      </c>
      <c r="CL139">
        <v>0</v>
      </c>
      <c r="CM139">
        <v>6</v>
      </c>
      <c r="CN139">
        <v>7.5</v>
      </c>
      <c r="CO139">
        <v>6.3</v>
      </c>
      <c r="CP139">
        <v>7.4</v>
      </c>
      <c r="CQ139">
        <v>7.5</v>
      </c>
      <c r="CR139">
        <v>0</v>
      </c>
      <c r="CS139">
        <v>6.5</v>
      </c>
      <c r="CT139">
        <v>5.8</v>
      </c>
      <c r="CU139">
        <v>5.4</v>
      </c>
      <c r="CV139">
        <v>7.2</v>
      </c>
      <c r="CW139">
        <v>8.8000000000000007</v>
      </c>
      <c r="CX139">
        <v>8.1999999999999993</v>
      </c>
      <c r="CY139">
        <v>0</v>
      </c>
      <c r="CZ139">
        <v>7.1</v>
      </c>
      <c r="DA139">
        <v>0</v>
      </c>
      <c r="DB139">
        <v>0</v>
      </c>
      <c r="DC139">
        <v>0</v>
      </c>
      <c r="DD139">
        <v>0</v>
      </c>
      <c r="DE139">
        <v>0</v>
      </c>
      <c r="DF139">
        <v>0</v>
      </c>
      <c r="DG139">
        <v>0</v>
      </c>
      <c r="DH139">
        <v>8</v>
      </c>
      <c r="DI139">
        <v>8</v>
      </c>
      <c r="DJ139">
        <v>6.9</v>
      </c>
      <c r="DK139">
        <v>9.5</v>
      </c>
      <c r="DL139">
        <v>8.3000000000000007</v>
      </c>
      <c r="DM139">
        <v>0</v>
      </c>
      <c r="DN139">
        <v>6.9</v>
      </c>
      <c r="DO139">
        <v>8</v>
      </c>
      <c r="DP139">
        <v>6.5</v>
      </c>
      <c r="DQ139">
        <v>8.6</v>
      </c>
      <c r="DR139">
        <v>8.6</v>
      </c>
      <c r="DS139">
        <v>8.1</v>
      </c>
      <c r="DT139">
        <v>0</v>
      </c>
      <c r="DU139">
        <v>8.1</v>
      </c>
      <c r="DV139">
        <v>0</v>
      </c>
      <c r="DW139">
        <v>0</v>
      </c>
      <c r="DX139">
        <v>0</v>
      </c>
      <c r="DY139">
        <v>0</v>
      </c>
      <c r="DZ139">
        <v>0</v>
      </c>
      <c r="EA139">
        <v>0</v>
      </c>
      <c r="EB139">
        <v>0</v>
      </c>
      <c r="EC139">
        <v>7.5</v>
      </c>
      <c r="ED139">
        <v>7.25</v>
      </c>
      <c r="EE139">
        <v>6</v>
      </c>
      <c r="EF139"/>
      <c r="EG139"/>
      <c r="EH139"/>
      <c r="EI139"/>
      <c r="EJ139">
        <v>7.75</v>
      </c>
      <c r="EK139"/>
      <c r="EL139"/>
      <c r="EM139"/>
      <c r="EN139"/>
      <c r="EO139"/>
      <c r="EP139"/>
      <c r="EQ139"/>
      <c r="ER139"/>
      <c r="ES139"/>
      <c r="ET139"/>
      <c r="EU139"/>
      <c r="EV139"/>
      <c r="EW139"/>
      <c r="EX139"/>
      <c r="EY139"/>
      <c r="EZ139"/>
      <c r="FA139"/>
      <c r="FB139"/>
      <c r="FC139"/>
      <c r="FD139"/>
    </row>
    <row r="140" spans="1:160" x14ac:dyDescent="0.25">
      <c r="A140" s="1" t="str">
        <f t="shared" si="2"/>
        <v>086307005933</v>
      </c>
      <c r="B140" t="s">
        <v>2989</v>
      </c>
      <c r="C140" t="s">
        <v>2990</v>
      </c>
      <c r="D140" t="s">
        <v>2991</v>
      </c>
      <c r="E140" t="s">
        <v>278</v>
      </c>
      <c r="F140" t="s">
        <v>2992</v>
      </c>
      <c r="G140" t="s">
        <v>2993</v>
      </c>
      <c r="H140" t="s">
        <v>2994</v>
      </c>
      <c r="I140" t="s">
        <v>2995</v>
      </c>
      <c r="J140" t="s">
        <v>2996</v>
      </c>
      <c r="K140" t="s">
        <v>516</v>
      </c>
      <c r="L140"/>
      <c r="M140" t="s">
        <v>287</v>
      </c>
      <c r="N140" t="s">
        <v>288</v>
      </c>
      <c r="O140"/>
      <c r="P140" t="s">
        <v>655</v>
      </c>
      <c r="Q140"/>
      <c r="R140" t="s">
        <v>287</v>
      </c>
      <c r="S140" t="s">
        <v>287</v>
      </c>
      <c r="T140" t="s">
        <v>287</v>
      </c>
      <c r="U140"/>
      <c r="V140"/>
      <c r="W140"/>
      <c r="X140"/>
      <c r="Y140"/>
      <c r="Z140"/>
      <c r="AA140" t="s">
        <v>287</v>
      </c>
      <c r="AB140"/>
      <c r="AC140"/>
      <c r="AD140"/>
      <c r="AE140"/>
      <c r="AF140" t="s">
        <v>421</v>
      </c>
      <c r="AG140" t="s">
        <v>777</v>
      </c>
      <c r="AH140" t="s">
        <v>778</v>
      </c>
      <c r="AI140" t="s">
        <v>421</v>
      </c>
      <c r="AJ140" t="s">
        <v>777</v>
      </c>
      <c r="AK140" t="s">
        <v>778</v>
      </c>
      <c r="AL140" t="s">
        <v>421</v>
      </c>
      <c r="AM140" t="s">
        <v>777</v>
      </c>
      <c r="AN140" t="s">
        <v>778</v>
      </c>
      <c r="AO140" t="s">
        <v>299</v>
      </c>
      <c r="AP140" t="s">
        <v>348</v>
      </c>
      <c r="AQ140" t="s">
        <v>1323</v>
      </c>
      <c r="AR140" t="s">
        <v>931</v>
      </c>
      <c r="AS140" t="s">
        <v>301</v>
      </c>
      <c r="AT140" t="s">
        <v>1375</v>
      </c>
      <c r="AU140" t="s">
        <v>354</v>
      </c>
      <c r="AV140"/>
      <c r="AW140" t="s">
        <v>545</v>
      </c>
      <c r="AX140" t="s">
        <v>546</v>
      </c>
      <c r="AY140" t="s">
        <v>308</v>
      </c>
      <c r="AZ140" t="s">
        <v>309</v>
      </c>
      <c r="BA140" t="s">
        <v>562</v>
      </c>
      <c r="BB140" t="s">
        <v>563</v>
      </c>
      <c r="BC140" t="s">
        <v>669</v>
      </c>
      <c r="BD140" t="s">
        <v>1339</v>
      </c>
      <c r="BE140" t="s">
        <v>1616</v>
      </c>
      <c r="BF140" t="s">
        <v>314</v>
      </c>
      <c r="BG140"/>
      <c r="BH140"/>
      <c r="BI140"/>
      <c r="BJ140"/>
      <c r="BK140"/>
      <c r="BL140"/>
      <c r="BM140" t="s">
        <v>305</v>
      </c>
      <c r="BN140" t="s">
        <v>354</v>
      </c>
      <c r="BO140" t="s">
        <v>2997</v>
      </c>
      <c r="BP140"/>
      <c r="BQ140"/>
      <c r="BR140">
        <v>7.4</v>
      </c>
      <c r="BS140">
        <v>7.7</v>
      </c>
      <c r="BT140">
        <v>6.8</v>
      </c>
      <c r="BU140">
        <v>9.8000000000000007</v>
      </c>
      <c r="BV140">
        <v>8.1</v>
      </c>
      <c r="BW140">
        <v>9.1</v>
      </c>
      <c r="BX140">
        <v>0</v>
      </c>
      <c r="BY140">
        <v>0</v>
      </c>
      <c r="BZ140">
        <v>8.1</v>
      </c>
      <c r="CA140">
        <v>8</v>
      </c>
      <c r="CB140">
        <v>8.1999999999999993</v>
      </c>
      <c r="CC140">
        <v>0</v>
      </c>
      <c r="CD140">
        <v>0</v>
      </c>
      <c r="CE140">
        <v>0</v>
      </c>
      <c r="CF140">
        <v>0</v>
      </c>
      <c r="CG140">
        <v>0</v>
      </c>
      <c r="CH140">
        <v>0</v>
      </c>
      <c r="CI140">
        <v>0</v>
      </c>
      <c r="CJ140">
        <v>0</v>
      </c>
      <c r="CK140">
        <v>0</v>
      </c>
      <c r="CL140">
        <v>0</v>
      </c>
      <c r="CM140">
        <v>7.7</v>
      </c>
      <c r="CN140">
        <v>7.3</v>
      </c>
      <c r="CO140">
        <v>8.5</v>
      </c>
      <c r="CP140">
        <v>9.4</v>
      </c>
      <c r="CQ140">
        <v>9.4</v>
      </c>
      <c r="CR140">
        <v>9.3000000000000007</v>
      </c>
      <c r="CS140">
        <v>0</v>
      </c>
      <c r="CT140">
        <v>0</v>
      </c>
      <c r="CU140">
        <v>8.4</v>
      </c>
      <c r="CV140">
        <v>9.1</v>
      </c>
      <c r="CW140">
        <v>9.6999999999999993</v>
      </c>
      <c r="CX140">
        <v>0</v>
      </c>
      <c r="CY140">
        <v>0</v>
      </c>
      <c r="CZ140">
        <v>0</v>
      </c>
      <c r="DA140">
        <v>0</v>
      </c>
      <c r="DB140">
        <v>0</v>
      </c>
      <c r="DC140">
        <v>0</v>
      </c>
      <c r="DD140">
        <v>0</v>
      </c>
      <c r="DE140">
        <v>0</v>
      </c>
      <c r="DF140">
        <v>0</v>
      </c>
      <c r="DG140">
        <v>0</v>
      </c>
      <c r="DH140">
        <v>8.3000000000000007</v>
      </c>
      <c r="DI140">
        <v>7.7</v>
      </c>
      <c r="DJ140">
        <v>8.1999999999999993</v>
      </c>
      <c r="DK140">
        <v>9.9</v>
      </c>
      <c r="DL140">
        <v>8.1999999999999993</v>
      </c>
      <c r="DM140">
        <v>9</v>
      </c>
      <c r="DN140">
        <v>0</v>
      </c>
      <c r="DO140">
        <v>0</v>
      </c>
      <c r="DP140">
        <v>7.4</v>
      </c>
      <c r="DQ140">
        <v>8.6999999999999993</v>
      </c>
      <c r="DR140">
        <v>8.4</v>
      </c>
      <c r="DS140">
        <v>0</v>
      </c>
      <c r="DT140">
        <v>0</v>
      </c>
      <c r="DU140">
        <v>0</v>
      </c>
      <c r="DV140">
        <v>0</v>
      </c>
      <c r="DW140">
        <v>0</v>
      </c>
      <c r="DX140">
        <v>0</v>
      </c>
      <c r="DY140">
        <v>0</v>
      </c>
      <c r="DZ140">
        <v>0</v>
      </c>
      <c r="EA140">
        <v>0</v>
      </c>
      <c r="EB140">
        <v>0</v>
      </c>
      <c r="EC140">
        <v>5.5</v>
      </c>
      <c r="ED140">
        <v>7</v>
      </c>
      <c r="EE140"/>
      <c r="EF140"/>
      <c r="EG140"/>
      <c r="EH140"/>
      <c r="EI140"/>
      <c r="EJ140"/>
      <c r="EK140"/>
      <c r="EL140">
        <v>6.75</v>
      </c>
      <c r="EM140"/>
      <c r="EN140"/>
      <c r="EO140"/>
      <c r="EP140"/>
      <c r="EQ140"/>
      <c r="ER140"/>
      <c r="ES140"/>
      <c r="ET140"/>
      <c r="EU140"/>
      <c r="EV140"/>
      <c r="EW140"/>
      <c r="EX140"/>
      <c r="EY140"/>
      <c r="EZ140"/>
      <c r="FA140"/>
      <c r="FB140"/>
      <c r="FC140"/>
      <c r="FD140"/>
    </row>
    <row r="141" spans="1:160" x14ac:dyDescent="0.25">
      <c r="A141" s="1" t="str">
        <f t="shared" si="2"/>
        <v>040208024160</v>
      </c>
      <c r="B141" t="s">
        <v>2999</v>
      </c>
      <c r="C141" t="s">
        <v>3000</v>
      </c>
      <c r="D141" t="s">
        <v>3001</v>
      </c>
      <c r="E141" t="s">
        <v>280</v>
      </c>
      <c r="F141" t="s">
        <v>3002</v>
      </c>
      <c r="G141" t="s">
        <v>3003</v>
      </c>
      <c r="H141" t="s">
        <v>3004</v>
      </c>
      <c r="I141" t="s">
        <v>2919</v>
      </c>
      <c r="J141" t="s">
        <v>3005</v>
      </c>
      <c r="K141" t="s">
        <v>321</v>
      </c>
      <c r="L141"/>
      <c r="M141" t="s">
        <v>287</v>
      </c>
      <c r="N141" t="s">
        <v>288</v>
      </c>
      <c r="O141"/>
      <c r="P141" t="s">
        <v>289</v>
      </c>
      <c r="Q141" t="s">
        <v>3006</v>
      </c>
      <c r="R141" t="s">
        <v>287</v>
      </c>
      <c r="S141" t="s">
        <v>287</v>
      </c>
      <c r="T141" t="s">
        <v>287</v>
      </c>
      <c r="U141"/>
      <c r="V141"/>
      <c r="W141"/>
      <c r="X141"/>
      <c r="Y141"/>
      <c r="Z141"/>
      <c r="AA141" t="s">
        <v>287</v>
      </c>
      <c r="AB141"/>
      <c r="AC141"/>
      <c r="AD141"/>
      <c r="AE141"/>
      <c r="AF141" t="s">
        <v>3007</v>
      </c>
      <c r="AG141" t="s">
        <v>3008</v>
      </c>
      <c r="AH141" t="s">
        <v>3009</v>
      </c>
      <c r="AI141" t="s">
        <v>3007</v>
      </c>
      <c r="AJ141" t="s">
        <v>3008</v>
      </c>
      <c r="AK141" t="s">
        <v>3009</v>
      </c>
      <c r="AL141" t="s">
        <v>3007</v>
      </c>
      <c r="AM141" t="s">
        <v>3008</v>
      </c>
      <c r="AN141" t="s">
        <v>3009</v>
      </c>
      <c r="AO141" t="s">
        <v>299</v>
      </c>
      <c r="AP141" t="s">
        <v>348</v>
      </c>
      <c r="AQ141" t="s">
        <v>1498</v>
      </c>
      <c r="AR141" t="s">
        <v>2037</v>
      </c>
      <c r="AS141" t="s">
        <v>1263</v>
      </c>
      <c r="AT141" t="s">
        <v>916</v>
      </c>
      <c r="AU141" t="s">
        <v>354</v>
      </c>
      <c r="AV141"/>
      <c r="AW141" t="s">
        <v>608</v>
      </c>
      <c r="AX141" t="s">
        <v>609</v>
      </c>
      <c r="AY141" t="s">
        <v>444</v>
      </c>
      <c r="AZ141" t="s">
        <v>445</v>
      </c>
      <c r="BA141" t="s">
        <v>545</v>
      </c>
      <c r="BB141" t="s">
        <v>546</v>
      </c>
      <c r="BC141" t="s">
        <v>669</v>
      </c>
      <c r="BD141" t="s">
        <v>353</v>
      </c>
      <c r="BE141" t="s">
        <v>1616</v>
      </c>
      <c r="BF141" t="s">
        <v>314</v>
      </c>
      <c r="BG141"/>
      <c r="BH141"/>
      <c r="BI141"/>
      <c r="BJ141"/>
      <c r="BK141"/>
      <c r="BL141"/>
      <c r="BM141" t="s">
        <v>305</v>
      </c>
      <c r="BN141" t="s">
        <v>354</v>
      </c>
      <c r="BO141" t="s">
        <v>3010</v>
      </c>
      <c r="BP141"/>
      <c r="BQ141"/>
      <c r="BR141">
        <v>8.5</v>
      </c>
      <c r="BS141">
        <v>8.4</v>
      </c>
      <c r="BT141">
        <v>8.4</v>
      </c>
      <c r="BU141">
        <v>8.9</v>
      </c>
      <c r="BV141">
        <v>8.9</v>
      </c>
      <c r="BW141">
        <v>8.9</v>
      </c>
      <c r="BX141">
        <v>8.3000000000000007</v>
      </c>
      <c r="BY141">
        <v>8.8000000000000007</v>
      </c>
      <c r="BZ141">
        <v>0</v>
      </c>
      <c r="CA141">
        <v>0</v>
      </c>
      <c r="CB141">
        <v>8.8000000000000007</v>
      </c>
      <c r="CC141">
        <v>0</v>
      </c>
      <c r="CD141">
        <v>0</v>
      </c>
      <c r="CE141">
        <v>0</v>
      </c>
      <c r="CF141">
        <v>0</v>
      </c>
      <c r="CG141">
        <v>0</v>
      </c>
      <c r="CH141">
        <v>0</v>
      </c>
      <c r="CI141">
        <v>0</v>
      </c>
      <c r="CJ141">
        <v>0</v>
      </c>
      <c r="CK141">
        <v>0</v>
      </c>
      <c r="CL141">
        <v>0</v>
      </c>
      <c r="CM141">
        <v>8.6</v>
      </c>
      <c r="CN141">
        <v>8.8000000000000007</v>
      </c>
      <c r="CO141">
        <v>8.4</v>
      </c>
      <c r="CP141">
        <v>9.1</v>
      </c>
      <c r="CQ141">
        <v>9</v>
      </c>
      <c r="CR141">
        <v>9.4</v>
      </c>
      <c r="CS141">
        <v>8.8000000000000007</v>
      </c>
      <c r="CT141">
        <v>9</v>
      </c>
      <c r="CU141">
        <v>0</v>
      </c>
      <c r="CV141">
        <v>0</v>
      </c>
      <c r="CW141">
        <v>9.1</v>
      </c>
      <c r="CX141">
        <v>0</v>
      </c>
      <c r="CY141">
        <v>0</v>
      </c>
      <c r="CZ141">
        <v>0</v>
      </c>
      <c r="DA141">
        <v>0</v>
      </c>
      <c r="DB141">
        <v>0</v>
      </c>
      <c r="DC141">
        <v>0</v>
      </c>
      <c r="DD141">
        <v>0</v>
      </c>
      <c r="DE141">
        <v>0</v>
      </c>
      <c r="DF141">
        <v>0</v>
      </c>
      <c r="DG141">
        <v>0</v>
      </c>
      <c r="DH141">
        <v>9</v>
      </c>
      <c r="DI141">
        <v>8.8000000000000007</v>
      </c>
      <c r="DJ141">
        <v>8.4</v>
      </c>
      <c r="DK141">
        <v>9</v>
      </c>
      <c r="DL141">
        <v>8.6999999999999993</v>
      </c>
      <c r="DM141">
        <v>9</v>
      </c>
      <c r="DN141">
        <v>8.8000000000000007</v>
      </c>
      <c r="DO141">
        <v>8.5</v>
      </c>
      <c r="DP141">
        <v>0</v>
      </c>
      <c r="DQ141">
        <v>0</v>
      </c>
      <c r="DR141">
        <v>9.1999999999999993</v>
      </c>
      <c r="DS141">
        <v>0</v>
      </c>
      <c r="DT141">
        <v>0</v>
      </c>
      <c r="DU141">
        <v>0</v>
      </c>
      <c r="DV141">
        <v>0</v>
      </c>
      <c r="DW141">
        <v>0</v>
      </c>
      <c r="DX141">
        <v>0</v>
      </c>
      <c r="DY141">
        <v>0</v>
      </c>
      <c r="DZ141">
        <v>0</v>
      </c>
      <c r="EA141">
        <v>0</v>
      </c>
      <c r="EB141">
        <v>0</v>
      </c>
      <c r="EC141">
        <v>9</v>
      </c>
      <c r="ED141">
        <v>6.75</v>
      </c>
      <c r="EE141">
        <v>2.75</v>
      </c>
      <c r="EF141"/>
      <c r="EG141"/>
      <c r="EH141"/>
      <c r="EI141">
        <v>6.75</v>
      </c>
      <c r="EJ141"/>
      <c r="EK141"/>
      <c r="EL141"/>
      <c r="EM141"/>
      <c r="EN141"/>
      <c r="EO141"/>
      <c r="EP141"/>
      <c r="EQ141"/>
      <c r="ER141"/>
      <c r="ES141"/>
      <c r="ET141"/>
      <c r="EU141"/>
      <c r="EV141"/>
      <c r="EW141"/>
      <c r="EX141"/>
      <c r="EY141"/>
      <c r="EZ141"/>
      <c r="FA141"/>
      <c r="FB141"/>
      <c r="FC141"/>
      <c r="FD141"/>
    </row>
    <row r="142" spans="1:160" x14ac:dyDescent="0.25">
      <c r="A142" s="1" t="str">
        <f t="shared" si="2"/>
        <v>082308004573</v>
      </c>
      <c r="B142" t="s">
        <v>3011</v>
      </c>
      <c r="C142" t="s">
        <v>3012</v>
      </c>
      <c r="D142" t="s">
        <v>3013</v>
      </c>
      <c r="E142" t="s">
        <v>278</v>
      </c>
      <c r="F142" t="s">
        <v>718</v>
      </c>
      <c r="G142" t="s">
        <v>3014</v>
      </c>
      <c r="H142" t="s">
        <v>3015</v>
      </c>
      <c r="I142" t="s">
        <v>3016</v>
      </c>
      <c r="J142" t="s">
        <v>3017</v>
      </c>
      <c r="K142" t="s">
        <v>321</v>
      </c>
      <c r="L142"/>
      <c r="M142" t="s">
        <v>287</v>
      </c>
      <c r="N142" t="s">
        <v>288</v>
      </c>
      <c r="O142"/>
      <c r="P142" t="s">
        <v>289</v>
      </c>
      <c r="Q142" t="s">
        <v>3018</v>
      </c>
      <c r="R142" t="s">
        <v>287</v>
      </c>
      <c r="S142" t="s">
        <v>287</v>
      </c>
      <c r="T142" t="s">
        <v>287</v>
      </c>
      <c r="U142"/>
      <c r="V142"/>
      <c r="W142"/>
      <c r="X142"/>
      <c r="Y142"/>
      <c r="Z142"/>
      <c r="AA142" t="s">
        <v>287</v>
      </c>
      <c r="AB142"/>
      <c r="AC142"/>
      <c r="AD142"/>
      <c r="AE142"/>
      <c r="AF142" t="s">
        <v>323</v>
      </c>
      <c r="AG142" t="s">
        <v>3019</v>
      </c>
      <c r="AH142" t="s">
        <v>3020</v>
      </c>
      <c r="AI142" t="s">
        <v>323</v>
      </c>
      <c r="AJ142" t="s">
        <v>3019</v>
      </c>
      <c r="AK142" t="s">
        <v>3020</v>
      </c>
      <c r="AL142" t="s">
        <v>323</v>
      </c>
      <c r="AM142" t="s">
        <v>3019</v>
      </c>
      <c r="AN142" t="s">
        <v>3020</v>
      </c>
      <c r="AO142" t="s">
        <v>299</v>
      </c>
      <c r="AP142" t="s">
        <v>348</v>
      </c>
      <c r="AQ142" t="s">
        <v>542</v>
      </c>
      <c r="AR142" t="s">
        <v>1627</v>
      </c>
      <c r="AS142" t="s">
        <v>711</v>
      </c>
      <c r="AT142" t="s">
        <v>484</v>
      </c>
      <c r="AU142" t="s">
        <v>354</v>
      </c>
      <c r="AV142"/>
      <c r="AW142" t="s">
        <v>332</v>
      </c>
      <c r="AX142" t="s">
        <v>333</v>
      </c>
      <c r="AY142" t="s">
        <v>308</v>
      </c>
      <c r="AZ142" t="s">
        <v>309</v>
      </c>
      <c r="BA142" t="s">
        <v>545</v>
      </c>
      <c r="BB142" t="s">
        <v>546</v>
      </c>
      <c r="BC142" t="s">
        <v>312</v>
      </c>
      <c r="BD142" t="s">
        <v>353</v>
      </c>
      <c r="BE142" t="s">
        <v>3021</v>
      </c>
      <c r="BF142" t="s">
        <v>314</v>
      </c>
      <c r="BG142"/>
      <c r="BH142"/>
      <c r="BI142"/>
      <c r="BJ142"/>
      <c r="BK142"/>
      <c r="BL142"/>
      <c r="BM142" t="s">
        <v>305</v>
      </c>
      <c r="BN142" t="s">
        <v>354</v>
      </c>
      <c r="BO142" t="s">
        <v>3022</v>
      </c>
      <c r="BP142"/>
      <c r="BQ142"/>
      <c r="BR142">
        <v>7.4</v>
      </c>
      <c r="BS142">
        <v>8.4</v>
      </c>
      <c r="BT142">
        <v>7.4</v>
      </c>
      <c r="BU142">
        <v>8.6999999999999993</v>
      </c>
      <c r="BV142">
        <v>8.1</v>
      </c>
      <c r="BW142">
        <v>9</v>
      </c>
      <c r="BX142">
        <v>8.1999999999999993</v>
      </c>
      <c r="BY142">
        <v>0</v>
      </c>
      <c r="BZ142">
        <v>0</v>
      </c>
      <c r="CA142">
        <v>0</v>
      </c>
      <c r="CB142">
        <v>7.8</v>
      </c>
      <c r="CC142">
        <v>8.3000000000000007</v>
      </c>
      <c r="CD142">
        <v>0</v>
      </c>
      <c r="CE142">
        <v>0</v>
      </c>
      <c r="CF142">
        <v>0</v>
      </c>
      <c r="CG142">
        <v>0</v>
      </c>
      <c r="CH142">
        <v>0</v>
      </c>
      <c r="CI142">
        <v>0</v>
      </c>
      <c r="CJ142">
        <v>0</v>
      </c>
      <c r="CK142">
        <v>0</v>
      </c>
      <c r="CL142">
        <v>0</v>
      </c>
      <c r="CM142">
        <v>6.2</v>
      </c>
      <c r="CN142">
        <v>8.1999999999999993</v>
      </c>
      <c r="CO142">
        <v>7.2</v>
      </c>
      <c r="CP142">
        <v>8.8000000000000007</v>
      </c>
      <c r="CQ142">
        <v>7.4</v>
      </c>
      <c r="CR142">
        <v>9</v>
      </c>
      <c r="CS142">
        <v>7.2</v>
      </c>
      <c r="CT142">
        <v>0</v>
      </c>
      <c r="CU142">
        <v>0</v>
      </c>
      <c r="CV142">
        <v>0</v>
      </c>
      <c r="CW142">
        <v>8.6999999999999993</v>
      </c>
      <c r="CX142">
        <v>8.1999999999999993</v>
      </c>
      <c r="CY142">
        <v>0</v>
      </c>
      <c r="CZ142">
        <v>0</v>
      </c>
      <c r="DA142">
        <v>0</v>
      </c>
      <c r="DB142">
        <v>0</v>
      </c>
      <c r="DC142">
        <v>0</v>
      </c>
      <c r="DD142">
        <v>0</v>
      </c>
      <c r="DE142">
        <v>0</v>
      </c>
      <c r="DF142">
        <v>0</v>
      </c>
      <c r="DG142">
        <v>0</v>
      </c>
      <c r="DH142">
        <v>8.8000000000000007</v>
      </c>
      <c r="DI142">
        <v>7.7</v>
      </c>
      <c r="DJ142">
        <v>8.1</v>
      </c>
      <c r="DK142">
        <v>8.8000000000000007</v>
      </c>
      <c r="DL142">
        <v>9.1</v>
      </c>
      <c r="DM142">
        <v>8.5</v>
      </c>
      <c r="DN142">
        <v>7.4</v>
      </c>
      <c r="DO142">
        <v>0</v>
      </c>
      <c r="DP142">
        <v>0</v>
      </c>
      <c r="DQ142">
        <v>0</v>
      </c>
      <c r="DR142">
        <v>9</v>
      </c>
      <c r="DS142">
        <v>8.9</v>
      </c>
      <c r="DT142">
        <v>0</v>
      </c>
      <c r="DU142">
        <v>0</v>
      </c>
      <c r="DV142">
        <v>0</v>
      </c>
      <c r="DW142">
        <v>0</v>
      </c>
      <c r="DX142">
        <v>0</v>
      </c>
      <c r="DY142">
        <v>0</v>
      </c>
      <c r="DZ142">
        <v>0</v>
      </c>
      <c r="EA142">
        <v>0</v>
      </c>
      <c r="EB142">
        <v>0</v>
      </c>
      <c r="EC142">
        <v>5.25</v>
      </c>
      <c r="ED142">
        <v>8</v>
      </c>
      <c r="EE142">
        <v>3</v>
      </c>
      <c r="EF142"/>
      <c r="EG142">
        <v>7.6</v>
      </c>
      <c r="EH142"/>
      <c r="EI142"/>
      <c r="EJ142"/>
      <c r="EK142"/>
      <c r="EL142"/>
      <c r="EM142"/>
      <c r="EN142"/>
      <c r="EO142"/>
      <c r="EP142"/>
      <c r="EQ142"/>
      <c r="ER142"/>
      <c r="ES142"/>
      <c r="ET142"/>
      <c r="EU142"/>
      <c r="EV142"/>
      <c r="EW142"/>
      <c r="EX142"/>
      <c r="EY142"/>
      <c r="EZ142"/>
      <c r="FA142"/>
      <c r="FB142"/>
      <c r="FC142"/>
      <c r="FD142"/>
    </row>
    <row r="143" spans="1:160" x14ac:dyDescent="0.25">
      <c r="A143" s="1" t="str">
        <f t="shared" si="2"/>
        <v>093308002659</v>
      </c>
      <c r="B143" t="s">
        <v>3023</v>
      </c>
      <c r="C143" t="s">
        <v>1867</v>
      </c>
      <c r="D143" t="s">
        <v>3024</v>
      </c>
      <c r="E143" t="s">
        <v>278</v>
      </c>
      <c r="F143" t="s">
        <v>1945</v>
      </c>
      <c r="G143" t="s">
        <v>3025</v>
      </c>
      <c r="H143" t="s">
        <v>3026</v>
      </c>
      <c r="I143" t="s">
        <v>3027</v>
      </c>
      <c r="J143" t="s">
        <v>3028</v>
      </c>
      <c r="K143" t="s">
        <v>321</v>
      </c>
      <c r="L143"/>
      <c r="M143" t="s">
        <v>287</v>
      </c>
      <c r="N143" t="s">
        <v>288</v>
      </c>
      <c r="O143"/>
      <c r="P143" t="s">
        <v>289</v>
      </c>
      <c r="Q143" t="s">
        <v>3029</v>
      </c>
      <c r="R143" t="s">
        <v>287</v>
      </c>
      <c r="S143" t="s">
        <v>287</v>
      </c>
      <c r="T143" t="s">
        <v>287</v>
      </c>
      <c r="U143"/>
      <c r="V143"/>
      <c r="W143"/>
      <c r="X143"/>
      <c r="Y143"/>
      <c r="Z143"/>
      <c r="AA143" t="s">
        <v>287</v>
      </c>
      <c r="AB143"/>
      <c r="AC143"/>
      <c r="AD143"/>
      <c r="AE143"/>
      <c r="AF143" t="s">
        <v>383</v>
      </c>
      <c r="AG143" t="s">
        <v>3030</v>
      </c>
      <c r="AH143" t="s">
        <v>3031</v>
      </c>
      <c r="AI143" t="s">
        <v>383</v>
      </c>
      <c r="AJ143" t="s">
        <v>3030</v>
      </c>
      <c r="AK143" t="s">
        <v>3031</v>
      </c>
      <c r="AL143" t="s">
        <v>383</v>
      </c>
      <c r="AM143" t="s">
        <v>3032</v>
      </c>
      <c r="AN143" t="s">
        <v>3033</v>
      </c>
      <c r="AO143" t="s">
        <v>299</v>
      </c>
      <c r="AP143" t="s">
        <v>603</v>
      </c>
      <c r="AQ143" t="s">
        <v>464</v>
      </c>
      <c r="AR143" t="s">
        <v>559</v>
      </c>
      <c r="AS143" t="s">
        <v>613</v>
      </c>
      <c r="AT143" t="s">
        <v>464</v>
      </c>
      <c r="AU143" t="s">
        <v>354</v>
      </c>
      <c r="AV143"/>
      <c r="AW143" t="s">
        <v>444</v>
      </c>
      <c r="AX143" t="s">
        <v>445</v>
      </c>
      <c r="AY143" t="s">
        <v>562</v>
      </c>
      <c r="AZ143" t="s">
        <v>563</v>
      </c>
      <c r="BA143" t="s">
        <v>330</v>
      </c>
      <c r="BB143" t="s">
        <v>331</v>
      </c>
      <c r="BC143" t="s">
        <v>312</v>
      </c>
      <c r="BD143" t="s">
        <v>1339</v>
      </c>
      <c r="BE143" t="s">
        <v>3034</v>
      </c>
      <c r="BF143" t="s">
        <v>314</v>
      </c>
      <c r="BG143"/>
      <c r="BH143"/>
      <c r="BI143"/>
      <c r="BJ143"/>
      <c r="BK143"/>
      <c r="BL143"/>
      <c r="BM143" t="s">
        <v>305</v>
      </c>
      <c r="BN143" t="s">
        <v>354</v>
      </c>
      <c r="BO143" t="s">
        <v>3035</v>
      </c>
      <c r="BP143"/>
      <c r="BQ143"/>
      <c r="BR143">
        <v>7.4</v>
      </c>
      <c r="BS143">
        <v>5.7</v>
      </c>
      <c r="BT143">
        <v>7.1</v>
      </c>
      <c r="BU143">
        <v>9.8000000000000007</v>
      </c>
      <c r="BV143">
        <v>7</v>
      </c>
      <c r="BW143">
        <v>0</v>
      </c>
      <c r="BX143">
        <v>0</v>
      </c>
      <c r="BY143">
        <v>7.4</v>
      </c>
      <c r="BZ143">
        <v>6.7</v>
      </c>
      <c r="CA143">
        <v>7.7</v>
      </c>
      <c r="CB143">
        <v>0</v>
      </c>
      <c r="CC143">
        <v>7.9</v>
      </c>
      <c r="CD143">
        <v>0</v>
      </c>
      <c r="CE143">
        <v>0</v>
      </c>
      <c r="CF143">
        <v>0</v>
      </c>
      <c r="CG143">
        <v>0</v>
      </c>
      <c r="CH143">
        <v>0</v>
      </c>
      <c r="CI143">
        <v>0</v>
      </c>
      <c r="CJ143">
        <v>0</v>
      </c>
      <c r="CK143">
        <v>0</v>
      </c>
      <c r="CL143">
        <v>0</v>
      </c>
      <c r="CM143">
        <v>7.2</v>
      </c>
      <c r="CN143">
        <v>6.7</v>
      </c>
      <c r="CO143">
        <v>7.3</v>
      </c>
      <c r="CP143">
        <v>9.6999999999999993</v>
      </c>
      <c r="CQ143">
        <v>7.7</v>
      </c>
      <c r="CR143">
        <v>0</v>
      </c>
      <c r="CS143">
        <v>0</v>
      </c>
      <c r="CT143">
        <v>8</v>
      </c>
      <c r="CU143">
        <v>7.6</v>
      </c>
      <c r="CV143">
        <v>8.6</v>
      </c>
      <c r="CW143">
        <v>0</v>
      </c>
      <c r="CX143">
        <v>8.4</v>
      </c>
      <c r="CY143">
        <v>0</v>
      </c>
      <c r="CZ143">
        <v>0</v>
      </c>
      <c r="DA143">
        <v>0</v>
      </c>
      <c r="DB143">
        <v>0</v>
      </c>
      <c r="DC143">
        <v>0</v>
      </c>
      <c r="DD143">
        <v>0</v>
      </c>
      <c r="DE143">
        <v>0</v>
      </c>
      <c r="DF143">
        <v>0</v>
      </c>
      <c r="DG143">
        <v>0</v>
      </c>
      <c r="DH143">
        <v>8.5</v>
      </c>
      <c r="DI143">
        <v>7.7</v>
      </c>
      <c r="DJ143">
        <v>8.6999999999999993</v>
      </c>
      <c r="DK143">
        <v>9.6999999999999993</v>
      </c>
      <c r="DL143">
        <v>8.6</v>
      </c>
      <c r="DM143">
        <v>0</v>
      </c>
      <c r="DN143">
        <v>0</v>
      </c>
      <c r="DO143">
        <v>8.3000000000000007</v>
      </c>
      <c r="DP143">
        <v>8.3000000000000007</v>
      </c>
      <c r="DQ143">
        <v>8.6999999999999993</v>
      </c>
      <c r="DR143">
        <v>0</v>
      </c>
      <c r="DS143">
        <v>9.1999999999999993</v>
      </c>
      <c r="DT143">
        <v>0</v>
      </c>
      <c r="DU143">
        <v>0</v>
      </c>
      <c r="DV143">
        <v>0</v>
      </c>
      <c r="DW143">
        <v>0</v>
      </c>
      <c r="DX143">
        <v>0</v>
      </c>
      <c r="DY143">
        <v>0</v>
      </c>
      <c r="DZ143">
        <v>0</v>
      </c>
      <c r="EA143">
        <v>0</v>
      </c>
      <c r="EB143">
        <v>0</v>
      </c>
      <c r="EC143">
        <v>5.25</v>
      </c>
      <c r="ED143">
        <v>7.25</v>
      </c>
      <c r="EE143"/>
      <c r="EF143"/>
      <c r="EG143">
        <v>5.5</v>
      </c>
      <c r="EH143"/>
      <c r="EI143"/>
      <c r="EJ143">
        <v>6</v>
      </c>
      <c r="EK143"/>
      <c r="EL143"/>
      <c r="EM143"/>
      <c r="EN143"/>
      <c r="EO143"/>
      <c r="EP143"/>
      <c r="EQ143"/>
      <c r="ER143"/>
      <c r="ES143"/>
      <c r="ET143"/>
      <c r="EU143"/>
      <c r="EV143"/>
      <c r="EW143"/>
      <c r="EX143"/>
      <c r="EY143"/>
      <c r="EZ143"/>
      <c r="FA143"/>
      <c r="FB143"/>
      <c r="FC143"/>
      <c r="FD143"/>
    </row>
    <row r="144" spans="1:160" x14ac:dyDescent="0.25">
      <c r="A144" s="1" t="str">
        <f t="shared" si="2"/>
        <v>079208042443</v>
      </c>
      <c r="B144" t="s">
        <v>3036</v>
      </c>
      <c r="C144" t="s">
        <v>3037</v>
      </c>
      <c r="D144" t="s">
        <v>3038</v>
      </c>
      <c r="E144" t="s">
        <v>280</v>
      </c>
      <c r="F144" t="s">
        <v>2056</v>
      </c>
      <c r="G144" t="s">
        <v>3039</v>
      </c>
      <c r="H144" t="s">
        <v>3040</v>
      </c>
      <c r="I144" t="s">
        <v>2916</v>
      </c>
      <c r="J144" t="s">
        <v>3041</v>
      </c>
      <c r="K144" t="s">
        <v>286</v>
      </c>
      <c r="L144"/>
      <c r="M144" t="s">
        <v>287</v>
      </c>
      <c r="N144" t="s">
        <v>288</v>
      </c>
      <c r="O144"/>
      <c r="P144" t="s">
        <v>289</v>
      </c>
      <c r="Q144" t="s">
        <v>3042</v>
      </c>
      <c r="R144" t="s">
        <v>287</v>
      </c>
      <c r="S144" t="s">
        <v>287</v>
      </c>
      <c r="T144" t="s">
        <v>287</v>
      </c>
      <c r="U144"/>
      <c r="V144"/>
      <c r="W144" t="s">
        <v>3043</v>
      </c>
      <c r="X144" t="s">
        <v>3044</v>
      </c>
      <c r="Y144" t="s">
        <v>3045</v>
      </c>
      <c r="Z144" t="s">
        <v>2944</v>
      </c>
      <c r="AA144" t="s">
        <v>596</v>
      </c>
      <c r="AB144" t="s">
        <v>3046</v>
      </c>
      <c r="AC144" t="s">
        <v>566</v>
      </c>
      <c r="AD144" t="s">
        <v>3047</v>
      </c>
      <c r="AE144" t="s">
        <v>3048</v>
      </c>
      <c r="AF144" t="s">
        <v>706</v>
      </c>
      <c r="AG144" t="s">
        <v>3049</v>
      </c>
      <c r="AH144" t="s">
        <v>2238</v>
      </c>
      <c r="AI144" t="s">
        <v>706</v>
      </c>
      <c r="AJ144" t="s">
        <v>3049</v>
      </c>
      <c r="AK144" t="s">
        <v>2238</v>
      </c>
      <c r="AL144" t="s">
        <v>706</v>
      </c>
      <c r="AM144" t="s">
        <v>3049</v>
      </c>
      <c r="AN144" t="s">
        <v>2238</v>
      </c>
      <c r="AO144" t="s">
        <v>299</v>
      </c>
      <c r="AP144" t="s">
        <v>603</v>
      </c>
      <c r="AQ144" t="s">
        <v>1003</v>
      </c>
      <c r="AR144" t="s">
        <v>1806</v>
      </c>
      <c r="AS144" t="s">
        <v>3050</v>
      </c>
      <c r="AT144" t="s">
        <v>1003</v>
      </c>
      <c r="AU144" t="s">
        <v>305</v>
      </c>
      <c r="AV144"/>
      <c r="AW144" t="s">
        <v>332</v>
      </c>
      <c r="AX144" t="s">
        <v>333</v>
      </c>
      <c r="AY144" t="s">
        <v>444</v>
      </c>
      <c r="AZ144" t="s">
        <v>445</v>
      </c>
      <c r="BA144" t="s">
        <v>330</v>
      </c>
      <c r="BB144" t="s">
        <v>331</v>
      </c>
      <c r="BC144" t="s">
        <v>669</v>
      </c>
      <c r="BD144" t="s">
        <v>353</v>
      </c>
      <c r="BE144"/>
      <c r="BF144" t="s">
        <v>314</v>
      </c>
      <c r="BG144"/>
      <c r="BH144"/>
      <c r="BI144"/>
      <c r="BJ144"/>
      <c r="BK144"/>
      <c r="BL144"/>
      <c r="BM144" t="s">
        <v>305</v>
      </c>
      <c r="BN144" t="s">
        <v>354</v>
      </c>
      <c r="BO144" t="s">
        <v>3051</v>
      </c>
      <c r="BP144" t="s">
        <v>3052</v>
      </c>
      <c r="BQ144"/>
      <c r="BR144">
        <v>9</v>
      </c>
      <c r="BS144">
        <v>8.3000000000000007</v>
      </c>
      <c r="BT144">
        <v>9.1999999999999993</v>
      </c>
      <c r="BU144">
        <v>9.1999999999999993</v>
      </c>
      <c r="BV144">
        <v>9.4</v>
      </c>
      <c r="BW144">
        <v>9.4</v>
      </c>
      <c r="BX144">
        <v>0</v>
      </c>
      <c r="BY144">
        <v>8.8000000000000007</v>
      </c>
      <c r="BZ144">
        <v>8.1999999999999993</v>
      </c>
      <c r="CA144">
        <v>0</v>
      </c>
      <c r="CB144">
        <v>9.5</v>
      </c>
      <c r="CC144">
        <v>0</v>
      </c>
      <c r="CD144">
        <v>0</v>
      </c>
      <c r="CE144">
        <v>0</v>
      </c>
      <c r="CF144">
        <v>0</v>
      </c>
      <c r="CG144">
        <v>0</v>
      </c>
      <c r="CH144">
        <v>0</v>
      </c>
      <c r="CI144">
        <v>0</v>
      </c>
      <c r="CJ144">
        <v>0</v>
      </c>
      <c r="CK144">
        <v>0</v>
      </c>
      <c r="CL144">
        <v>0</v>
      </c>
      <c r="CM144">
        <v>8.9</v>
      </c>
      <c r="CN144">
        <v>8.8000000000000007</v>
      </c>
      <c r="CO144">
        <v>9.3000000000000007</v>
      </c>
      <c r="CP144">
        <v>9.5</v>
      </c>
      <c r="CQ144">
        <v>9.4</v>
      </c>
      <c r="CR144">
        <v>9.5</v>
      </c>
      <c r="CS144">
        <v>0</v>
      </c>
      <c r="CT144">
        <v>9.3000000000000007</v>
      </c>
      <c r="CU144">
        <v>8.5</v>
      </c>
      <c r="CV144">
        <v>0</v>
      </c>
      <c r="CW144">
        <v>9.4</v>
      </c>
      <c r="CX144">
        <v>0</v>
      </c>
      <c r="CY144">
        <v>0</v>
      </c>
      <c r="CZ144">
        <v>0</v>
      </c>
      <c r="DA144">
        <v>0</v>
      </c>
      <c r="DB144">
        <v>0</v>
      </c>
      <c r="DC144">
        <v>0</v>
      </c>
      <c r="DD144">
        <v>0</v>
      </c>
      <c r="DE144">
        <v>0</v>
      </c>
      <c r="DF144">
        <v>0</v>
      </c>
      <c r="DG144">
        <v>0</v>
      </c>
      <c r="DH144">
        <v>8.1999999999999993</v>
      </c>
      <c r="DI144">
        <v>8.3000000000000007</v>
      </c>
      <c r="DJ144">
        <v>9</v>
      </c>
      <c r="DK144">
        <v>9.1</v>
      </c>
      <c r="DL144">
        <v>9.3000000000000007</v>
      </c>
      <c r="DM144">
        <v>9.4</v>
      </c>
      <c r="DN144">
        <v>0</v>
      </c>
      <c r="DO144">
        <v>8.6999999999999993</v>
      </c>
      <c r="DP144">
        <v>8.4</v>
      </c>
      <c r="DQ144">
        <v>0</v>
      </c>
      <c r="DR144">
        <v>9.4</v>
      </c>
      <c r="DS144">
        <v>0</v>
      </c>
      <c r="DT144">
        <v>0</v>
      </c>
      <c r="DU144">
        <v>0</v>
      </c>
      <c r="DV144">
        <v>0</v>
      </c>
      <c r="DW144">
        <v>0</v>
      </c>
      <c r="DX144">
        <v>0</v>
      </c>
      <c r="DY144">
        <v>0</v>
      </c>
      <c r="DZ144">
        <v>0</v>
      </c>
      <c r="EA144">
        <v>0</v>
      </c>
      <c r="EB144">
        <v>0</v>
      </c>
      <c r="EC144">
        <v>8.25</v>
      </c>
      <c r="ED144">
        <v>7.25</v>
      </c>
      <c r="EE144">
        <v>6.5</v>
      </c>
      <c r="EF144"/>
      <c r="EG144"/>
      <c r="EH144"/>
      <c r="EI144"/>
      <c r="EJ144">
        <v>8</v>
      </c>
      <c r="EK144"/>
      <c r="EL144"/>
      <c r="EM144"/>
      <c r="EN144"/>
      <c r="EO144"/>
      <c r="EP144"/>
      <c r="EQ144"/>
      <c r="ER144"/>
      <c r="ES144"/>
      <c r="ET144"/>
      <c r="EU144"/>
      <c r="EV144"/>
      <c r="EW144"/>
      <c r="EX144"/>
      <c r="EY144"/>
      <c r="EZ144"/>
      <c r="FA144"/>
      <c r="FB144">
        <v>105.5</v>
      </c>
      <c r="FC144"/>
      <c r="FD144"/>
    </row>
    <row r="145" spans="1:160" x14ac:dyDescent="0.25">
      <c r="A145" s="1" t="str">
        <f t="shared" si="2"/>
        <v>096307008557</v>
      </c>
      <c r="B145" t="s">
        <v>3053</v>
      </c>
      <c r="C145" t="s">
        <v>1052</v>
      </c>
      <c r="D145" t="s">
        <v>3054</v>
      </c>
      <c r="E145" t="s">
        <v>278</v>
      </c>
      <c r="F145" t="s">
        <v>3055</v>
      </c>
      <c r="G145" t="s">
        <v>3056</v>
      </c>
      <c r="H145" t="s">
        <v>3057</v>
      </c>
      <c r="I145" t="s">
        <v>3058</v>
      </c>
      <c r="J145" t="s">
        <v>3059</v>
      </c>
      <c r="K145" t="s">
        <v>476</v>
      </c>
      <c r="L145"/>
      <c r="M145" t="s">
        <v>287</v>
      </c>
      <c r="N145" t="s">
        <v>288</v>
      </c>
      <c r="O145"/>
      <c r="P145" t="s">
        <v>655</v>
      </c>
      <c r="Q145" t="s">
        <v>3060</v>
      </c>
      <c r="R145" t="s">
        <v>287</v>
      </c>
      <c r="S145" t="s">
        <v>287</v>
      </c>
      <c r="T145" t="s">
        <v>287</v>
      </c>
      <c r="U145"/>
      <c r="V145"/>
      <c r="W145"/>
      <c r="X145"/>
      <c r="Y145"/>
      <c r="Z145"/>
      <c r="AA145" t="s">
        <v>287</v>
      </c>
      <c r="AB145"/>
      <c r="AC145"/>
      <c r="AD145"/>
      <c r="AE145"/>
      <c r="AF145" t="s">
        <v>663</v>
      </c>
      <c r="AG145" t="s">
        <v>2334</v>
      </c>
      <c r="AH145" t="s">
        <v>3061</v>
      </c>
      <c r="AI145" t="s">
        <v>663</v>
      </c>
      <c r="AJ145" t="s">
        <v>2334</v>
      </c>
      <c r="AK145" t="s">
        <v>3061</v>
      </c>
      <c r="AL145" t="s">
        <v>663</v>
      </c>
      <c r="AM145" t="s">
        <v>2334</v>
      </c>
      <c r="AN145" t="s">
        <v>3061</v>
      </c>
      <c r="AO145" t="s">
        <v>299</v>
      </c>
      <c r="AP145" t="s">
        <v>388</v>
      </c>
      <c r="AQ145" t="s">
        <v>3062</v>
      </c>
      <c r="AR145" t="s">
        <v>3063</v>
      </c>
      <c r="AS145" t="s">
        <v>840</v>
      </c>
      <c r="AT145" t="s">
        <v>1831</v>
      </c>
      <c r="AU145" t="s">
        <v>354</v>
      </c>
      <c r="AV145"/>
      <c r="AW145" t="s">
        <v>349</v>
      </c>
      <c r="AX145" t="s">
        <v>350</v>
      </c>
      <c r="AY145" t="s">
        <v>608</v>
      </c>
      <c r="AZ145" t="s">
        <v>609</v>
      </c>
      <c r="BA145" t="s">
        <v>372</v>
      </c>
      <c r="BB145" t="s">
        <v>373</v>
      </c>
      <c r="BC145" t="s">
        <v>669</v>
      </c>
      <c r="BD145" t="s">
        <v>1339</v>
      </c>
      <c r="BE145" t="s">
        <v>3064</v>
      </c>
      <c r="BF145" t="s">
        <v>314</v>
      </c>
      <c r="BG145"/>
      <c r="BH145"/>
      <c r="BI145"/>
      <c r="BJ145"/>
      <c r="BK145"/>
      <c r="BL145"/>
      <c r="BM145" t="s">
        <v>354</v>
      </c>
      <c r="BN145" t="s">
        <v>354</v>
      </c>
      <c r="BO145"/>
      <c r="BP145"/>
      <c r="BQ145"/>
      <c r="BR145">
        <v>6.6</v>
      </c>
      <c r="BS145">
        <v>5.9</v>
      </c>
      <c r="BT145">
        <v>5.7</v>
      </c>
      <c r="BU145">
        <v>9.6999999999999993</v>
      </c>
      <c r="BV145">
        <v>6.8</v>
      </c>
      <c r="BW145">
        <v>6.6</v>
      </c>
      <c r="BX145">
        <v>6.6</v>
      </c>
      <c r="BY145">
        <v>7</v>
      </c>
      <c r="BZ145">
        <v>0</v>
      </c>
      <c r="CA145">
        <v>0</v>
      </c>
      <c r="CB145">
        <v>0</v>
      </c>
      <c r="CC145">
        <v>9.6</v>
      </c>
      <c r="CD145">
        <v>0</v>
      </c>
      <c r="CE145">
        <v>0</v>
      </c>
      <c r="CF145">
        <v>0</v>
      </c>
      <c r="CG145">
        <v>0</v>
      </c>
      <c r="CH145">
        <v>0</v>
      </c>
      <c r="CI145">
        <v>0</v>
      </c>
      <c r="CJ145">
        <v>0</v>
      </c>
      <c r="CK145">
        <v>0</v>
      </c>
      <c r="CL145">
        <v>0</v>
      </c>
      <c r="CM145">
        <v>4.9000000000000004</v>
      </c>
      <c r="CN145">
        <v>6.1</v>
      </c>
      <c r="CO145">
        <v>6.9</v>
      </c>
      <c r="CP145">
        <v>10</v>
      </c>
      <c r="CQ145">
        <v>7.4</v>
      </c>
      <c r="CR145">
        <v>7.3</v>
      </c>
      <c r="CS145">
        <v>6.7</v>
      </c>
      <c r="CT145">
        <v>5</v>
      </c>
      <c r="CU145">
        <v>0</v>
      </c>
      <c r="CV145">
        <v>0</v>
      </c>
      <c r="CW145">
        <v>0</v>
      </c>
      <c r="CX145">
        <v>8.6999999999999993</v>
      </c>
      <c r="CY145">
        <v>0</v>
      </c>
      <c r="CZ145">
        <v>0</v>
      </c>
      <c r="DA145">
        <v>0</v>
      </c>
      <c r="DB145">
        <v>0</v>
      </c>
      <c r="DC145">
        <v>0</v>
      </c>
      <c r="DD145">
        <v>0</v>
      </c>
      <c r="DE145">
        <v>0</v>
      </c>
      <c r="DF145">
        <v>0</v>
      </c>
      <c r="DG145">
        <v>0</v>
      </c>
      <c r="DH145">
        <v>6.2</v>
      </c>
      <c r="DI145">
        <v>7.7</v>
      </c>
      <c r="DJ145">
        <v>5</v>
      </c>
      <c r="DK145">
        <v>10</v>
      </c>
      <c r="DL145">
        <v>7.9</v>
      </c>
      <c r="DM145">
        <v>7.2</v>
      </c>
      <c r="DN145">
        <v>7.6</v>
      </c>
      <c r="DO145">
        <v>6.6</v>
      </c>
      <c r="DP145">
        <v>0</v>
      </c>
      <c r="DQ145">
        <v>0</v>
      </c>
      <c r="DR145">
        <v>0</v>
      </c>
      <c r="DS145">
        <v>8.4</v>
      </c>
      <c r="DT145">
        <v>0</v>
      </c>
      <c r="DU145">
        <v>0</v>
      </c>
      <c r="DV145">
        <v>0</v>
      </c>
      <c r="DW145">
        <v>0</v>
      </c>
      <c r="DX145">
        <v>0</v>
      </c>
      <c r="DY145">
        <v>0</v>
      </c>
      <c r="DZ145">
        <v>0</v>
      </c>
      <c r="EA145">
        <v>0</v>
      </c>
      <c r="EB145">
        <v>0</v>
      </c>
      <c r="EC145"/>
      <c r="ED145"/>
      <c r="EE145"/>
      <c r="EF145"/>
      <c r="EG145"/>
      <c r="EH145"/>
      <c r="EI145"/>
      <c r="EJ145"/>
      <c r="EK145"/>
      <c r="EL145"/>
      <c r="EM145"/>
      <c r="EN145"/>
      <c r="EO145"/>
      <c r="EP145"/>
      <c r="EQ145"/>
      <c r="ER145"/>
      <c r="ES145"/>
      <c r="ET145"/>
      <c r="EU145"/>
      <c r="EV145"/>
      <c r="EW145"/>
      <c r="EX145"/>
      <c r="EY145"/>
      <c r="EZ145"/>
      <c r="FA145"/>
      <c r="FB145"/>
      <c r="FC145"/>
      <c r="FD145"/>
    </row>
    <row r="146" spans="1:160" x14ac:dyDescent="0.25">
      <c r="A146" s="1" t="str">
        <f t="shared" si="2"/>
        <v>044208010722</v>
      </c>
      <c r="B146" t="s">
        <v>3066</v>
      </c>
      <c r="C146" t="s">
        <v>3067</v>
      </c>
      <c r="D146" t="s">
        <v>3068</v>
      </c>
      <c r="E146" t="s">
        <v>280</v>
      </c>
      <c r="F146" t="s">
        <v>2112</v>
      </c>
      <c r="G146" t="s">
        <v>3069</v>
      </c>
      <c r="H146" t="s">
        <v>3070</v>
      </c>
      <c r="I146" t="s">
        <v>2918</v>
      </c>
      <c r="J146" t="s">
        <v>3071</v>
      </c>
      <c r="K146" t="s">
        <v>321</v>
      </c>
      <c r="L146"/>
      <c r="M146" t="s">
        <v>287</v>
      </c>
      <c r="N146" t="s">
        <v>288</v>
      </c>
      <c r="O146"/>
      <c r="P146" t="s">
        <v>289</v>
      </c>
      <c r="Q146" t="s">
        <v>3072</v>
      </c>
      <c r="R146" t="s">
        <v>287</v>
      </c>
      <c r="S146" t="s">
        <v>287</v>
      </c>
      <c r="T146" t="s">
        <v>287</v>
      </c>
      <c r="U146"/>
      <c r="V146"/>
      <c r="W146" t="s">
        <v>294</v>
      </c>
      <c r="X146" t="s">
        <v>3073</v>
      </c>
      <c r="Y146" t="s">
        <v>3074</v>
      </c>
      <c r="Z146" t="s">
        <v>3075</v>
      </c>
      <c r="AA146" t="s">
        <v>596</v>
      </c>
      <c r="AB146" t="s">
        <v>3076</v>
      </c>
      <c r="AC146" t="s">
        <v>1278</v>
      </c>
      <c r="AD146" t="s">
        <v>3077</v>
      </c>
      <c r="AE146" t="s">
        <v>3078</v>
      </c>
      <c r="AF146" t="s">
        <v>3079</v>
      </c>
      <c r="AG146" t="s">
        <v>3080</v>
      </c>
      <c r="AH146" t="s">
        <v>3081</v>
      </c>
      <c r="AI146" t="s">
        <v>3079</v>
      </c>
      <c r="AJ146" t="s">
        <v>3080</v>
      </c>
      <c r="AK146" t="s">
        <v>3081</v>
      </c>
      <c r="AL146" t="s">
        <v>3079</v>
      </c>
      <c r="AM146" t="s">
        <v>3080</v>
      </c>
      <c r="AN146" t="s">
        <v>3081</v>
      </c>
      <c r="AO146" t="s">
        <v>299</v>
      </c>
      <c r="AP146" t="s">
        <v>348</v>
      </c>
      <c r="AQ146" t="s">
        <v>1509</v>
      </c>
      <c r="AR146" t="s">
        <v>779</v>
      </c>
      <c r="AS146" t="s">
        <v>2113</v>
      </c>
      <c r="AT146" t="s">
        <v>606</v>
      </c>
      <c r="AU146" t="s">
        <v>305</v>
      </c>
      <c r="AV146"/>
      <c r="AW146" t="s">
        <v>608</v>
      </c>
      <c r="AX146" t="s">
        <v>609</v>
      </c>
      <c r="AY146" t="s">
        <v>332</v>
      </c>
      <c r="AZ146" t="s">
        <v>333</v>
      </c>
      <c r="BA146" t="s">
        <v>562</v>
      </c>
      <c r="BB146" t="s">
        <v>563</v>
      </c>
      <c r="BC146" t="s">
        <v>669</v>
      </c>
      <c r="BD146" t="s">
        <v>353</v>
      </c>
      <c r="BE146" t="s">
        <v>1616</v>
      </c>
      <c r="BF146" t="s">
        <v>314</v>
      </c>
      <c r="BG146"/>
      <c r="BH146"/>
      <c r="BI146"/>
      <c r="BJ146"/>
      <c r="BK146"/>
      <c r="BL146"/>
      <c r="BM146" t="s">
        <v>305</v>
      </c>
      <c r="BN146" t="s">
        <v>354</v>
      </c>
      <c r="BO146" t="s">
        <v>3082</v>
      </c>
      <c r="BP146" t="s">
        <v>3083</v>
      </c>
      <c r="BQ146"/>
      <c r="BR146">
        <v>8.5</v>
      </c>
      <c r="BS146">
        <v>7.6</v>
      </c>
      <c r="BT146">
        <v>9.6</v>
      </c>
      <c r="BU146">
        <v>8.4</v>
      </c>
      <c r="BV146">
        <v>8.5</v>
      </c>
      <c r="BW146">
        <v>0</v>
      </c>
      <c r="BX146">
        <v>0</v>
      </c>
      <c r="BY146">
        <v>8.4</v>
      </c>
      <c r="BZ146">
        <v>8.5</v>
      </c>
      <c r="CA146">
        <v>8.1999999999999993</v>
      </c>
      <c r="CB146">
        <v>0</v>
      </c>
      <c r="CC146">
        <v>8.5</v>
      </c>
      <c r="CD146">
        <v>0</v>
      </c>
      <c r="CE146">
        <v>0</v>
      </c>
      <c r="CF146">
        <v>0</v>
      </c>
      <c r="CG146">
        <v>0</v>
      </c>
      <c r="CH146">
        <v>0</v>
      </c>
      <c r="CI146">
        <v>0</v>
      </c>
      <c r="CJ146">
        <v>0</v>
      </c>
      <c r="CK146">
        <v>0</v>
      </c>
      <c r="CL146">
        <v>0</v>
      </c>
      <c r="CM146">
        <v>8.5</v>
      </c>
      <c r="CN146">
        <v>7.7</v>
      </c>
      <c r="CO146">
        <v>9.5</v>
      </c>
      <c r="CP146">
        <v>8.6999999999999993</v>
      </c>
      <c r="CQ146">
        <v>8.3000000000000007</v>
      </c>
      <c r="CR146">
        <v>0</v>
      </c>
      <c r="CS146">
        <v>0</v>
      </c>
      <c r="CT146">
        <v>8.3000000000000007</v>
      </c>
      <c r="CU146">
        <v>7.1</v>
      </c>
      <c r="CV146">
        <v>8.3000000000000007</v>
      </c>
      <c r="CW146">
        <v>0</v>
      </c>
      <c r="CX146">
        <v>8.9</v>
      </c>
      <c r="CY146">
        <v>0</v>
      </c>
      <c r="CZ146">
        <v>0</v>
      </c>
      <c r="DA146">
        <v>0</v>
      </c>
      <c r="DB146">
        <v>0</v>
      </c>
      <c r="DC146">
        <v>0</v>
      </c>
      <c r="DD146">
        <v>0</v>
      </c>
      <c r="DE146">
        <v>0</v>
      </c>
      <c r="DF146">
        <v>0</v>
      </c>
      <c r="DG146">
        <v>0</v>
      </c>
      <c r="DH146">
        <v>8</v>
      </c>
      <c r="DI146">
        <v>7.4</v>
      </c>
      <c r="DJ146">
        <v>9.4</v>
      </c>
      <c r="DK146">
        <v>8.5</v>
      </c>
      <c r="DL146">
        <v>8.3000000000000007</v>
      </c>
      <c r="DM146">
        <v>0</v>
      </c>
      <c r="DN146">
        <v>0</v>
      </c>
      <c r="DO146">
        <v>8.4</v>
      </c>
      <c r="DP146">
        <v>6.6</v>
      </c>
      <c r="DQ146">
        <v>8.1</v>
      </c>
      <c r="DR146">
        <v>0</v>
      </c>
      <c r="DS146">
        <v>8.3000000000000007</v>
      </c>
      <c r="DT146">
        <v>0</v>
      </c>
      <c r="DU146">
        <v>0</v>
      </c>
      <c r="DV146">
        <v>0</v>
      </c>
      <c r="DW146">
        <v>0</v>
      </c>
      <c r="DX146">
        <v>0</v>
      </c>
      <c r="DY146">
        <v>0</v>
      </c>
      <c r="DZ146">
        <v>0</v>
      </c>
      <c r="EA146">
        <v>0</v>
      </c>
      <c r="EB146">
        <v>0</v>
      </c>
      <c r="EC146">
        <v>7.5</v>
      </c>
      <c r="ED146">
        <v>6.5</v>
      </c>
      <c r="EE146">
        <v>6.75</v>
      </c>
      <c r="EF146"/>
      <c r="EG146"/>
      <c r="EH146"/>
      <c r="EI146"/>
      <c r="EJ146">
        <v>8.5</v>
      </c>
      <c r="EK146"/>
      <c r="EL146"/>
      <c r="EM146"/>
      <c r="EN146"/>
      <c r="EO146"/>
      <c r="EP146"/>
      <c r="EQ146"/>
      <c r="ER146"/>
      <c r="ES146"/>
      <c r="ET146"/>
      <c r="EU146"/>
      <c r="EV146"/>
      <c r="EW146"/>
      <c r="EX146"/>
      <c r="EY146"/>
      <c r="EZ146"/>
      <c r="FA146"/>
      <c r="FB146"/>
      <c r="FC146"/>
      <c r="FD146"/>
    </row>
    <row r="147" spans="1:160" x14ac:dyDescent="0.25">
      <c r="A147" s="1" t="str">
        <f t="shared" si="2"/>
        <v>066308006122</v>
      </c>
      <c r="B147" t="s">
        <v>3084</v>
      </c>
      <c r="C147" t="s">
        <v>3085</v>
      </c>
      <c r="D147" t="s">
        <v>3086</v>
      </c>
      <c r="E147" t="s">
        <v>278</v>
      </c>
      <c r="F147" t="s">
        <v>2206</v>
      </c>
      <c r="G147" t="s">
        <v>3087</v>
      </c>
      <c r="H147" t="s">
        <v>3088</v>
      </c>
      <c r="I147" t="s">
        <v>2917</v>
      </c>
      <c r="J147" t="s">
        <v>3089</v>
      </c>
      <c r="K147" t="s">
        <v>476</v>
      </c>
      <c r="L147" t="s">
        <v>477</v>
      </c>
      <c r="M147" t="s">
        <v>477</v>
      </c>
      <c r="N147" t="s">
        <v>3090</v>
      </c>
      <c r="O147"/>
      <c r="P147" t="s">
        <v>289</v>
      </c>
      <c r="Q147" t="s">
        <v>3091</v>
      </c>
      <c r="R147" t="s">
        <v>287</v>
      </c>
      <c r="S147" t="s">
        <v>287</v>
      </c>
      <c r="T147" t="s">
        <v>287</v>
      </c>
      <c r="U147"/>
      <c r="V147"/>
      <c r="W147"/>
      <c r="X147"/>
      <c r="Y147"/>
      <c r="Z147"/>
      <c r="AA147" t="s">
        <v>287</v>
      </c>
      <c r="AB147"/>
      <c r="AC147"/>
      <c r="AD147"/>
      <c r="AE147"/>
      <c r="AF147" t="s">
        <v>1303</v>
      </c>
      <c r="AG147" t="s">
        <v>3092</v>
      </c>
      <c r="AH147" t="s">
        <v>3093</v>
      </c>
      <c r="AI147" t="s">
        <v>1303</v>
      </c>
      <c r="AJ147" t="s">
        <v>3092</v>
      </c>
      <c r="AK147" t="s">
        <v>3093</v>
      </c>
      <c r="AL147" t="s">
        <v>1303</v>
      </c>
      <c r="AM147" t="s">
        <v>3092</v>
      </c>
      <c r="AN147" t="s">
        <v>3093</v>
      </c>
      <c r="AO147" t="s">
        <v>299</v>
      </c>
      <c r="AP147" t="s">
        <v>348</v>
      </c>
      <c r="AQ147" t="s">
        <v>729</v>
      </c>
      <c r="AR147" t="s">
        <v>612</v>
      </c>
      <c r="AS147" t="s">
        <v>1614</v>
      </c>
      <c r="AT147" t="s">
        <v>302</v>
      </c>
      <c r="AU147" t="s">
        <v>354</v>
      </c>
      <c r="AV147"/>
      <c r="AW147" t="s">
        <v>444</v>
      </c>
      <c r="AX147" t="s">
        <v>445</v>
      </c>
      <c r="AY147" t="s">
        <v>332</v>
      </c>
      <c r="AZ147" t="s">
        <v>333</v>
      </c>
      <c r="BA147" t="s">
        <v>608</v>
      </c>
      <c r="BB147" t="s">
        <v>609</v>
      </c>
      <c r="BC147" t="s">
        <v>312</v>
      </c>
      <c r="BD147" t="s">
        <v>353</v>
      </c>
      <c r="BE147"/>
      <c r="BF147" t="s">
        <v>314</v>
      </c>
      <c r="BG147"/>
      <c r="BH147"/>
      <c r="BI147"/>
      <c r="BJ147"/>
      <c r="BK147"/>
      <c r="BL147"/>
      <c r="BM147" t="s">
        <v>305</v>
      </c>
      <c r="BN147" t="s">
        <v>354</v>
      </c>
      <c r="BO147" t="s">
        <v>3094</v>
      </c>
      <c r="BP147"/>
      <c r="BQ147"/>
      <c r="BR147">
        <v>6.3</v>
      </c>
      <c r="BS147">
        <v>7.6</v>
      </c>
      <c r="BT147">
        <v>6.3</v>
      </c>
      <c r="BU147">
        <v>8.3000000000000007</v>
      </c>
      <c r="BV147">
        <v>7.7</v>
      </c>
      <c r="BW147">
        <v>0</v>
      </c>
      <c r="BX147">
        <v>0</v>
      </c>
      <c r="BY147">
        <v>0</v>
      </c>
      <c r="BZ147">
        <v>0</v>
      </c>
      <c r="CA147">
        <v>8</v>
      </c>
      <c r="CB147">
        <v>8.5</v>
      </c>
      <c r="CC147">
        <v>8.3000000000000007</v>
      </c>
      <c r="CD147">
        <v>0</v>
      </c>
      <c r="CE147">
        <v>0</v>
      </c>
      <c r="CF147">
        <v>0</v>
      </c>
      <c r="CG147">
        <v>0</v>
      </c>
      <c r="CH147">
        <v>0</v>
      </c>
      <c r="CI147">
        <v>0</v>
      </c>
      <c r="CJ147">
        <v>0</v>
      </c>
      <c r="CK147">
        <v>0</v>
      </c>
      <c r="CL147">
        <v>0</v>
      </c>
      <c r="CM147">
        <v>7.1</v>
      </c>
      <c r="CN147">
        <v>7.3</v>
      </c>
      <c r="CO147">
        <v>8.1999999999999993</v>
      </c>
      <c r="CP147">
        <v>8.5</v>
      </c>
      <c r="CQ147">
        <v>8.1999999999999993</v>
      </c>
      <c r="CR147">
        <v>0</v>
      </c>
      <c r="CS147">
        <v>0</v>
      </c>
      <c r="CT147">
        <v>0</v>
      </c>
      <c r="CU147">
        <v>0</v>
      </c>
      <c r="CV147">
        <v>8.6</v>
      </c>
      <c r="CW147">
        <v>8.5</v>
      </c>
      <c r="CX147">
        <v>8</v>
      </c>
      <c r="CY147">
        <v>0</v>
      </c>
      <c r="CZ147">
        <v>0</v>
      </c>
      <c r="DA147">
        <v>0</v>
      </c>
      <c r="DB147">
        <v>0</v>
      </c>
      <c r="DC147">
        <v>0</v>
      </c>
      <c r="DD147">
        <v>0</v>
      </c>
      <c r="DE147">
        <v>0</v>
      </c>
      <c r="DF147">
        <v>0</v>
      </c>
      <c r="DG147">
        <v>0</v>
      </c>
      <c r="DH147">
        <v>7.7</v>
      </c>
      <c r="DI147">
        <v>8.1</v>
      </c>
      <c r="DJ147">
        <v>8.9</v>
      </c>
      <c r="DK147">
        <v>8.3000000000000007</v>
      </c>
      <c r="DL147">
        <v>8.4</v>
      </c>
      <c r="DM147">
        <v>0</v>
      </c>
      <c r="DN147">
        <v>0</v>
      </c>
      <c r="DO147">
        <v>0</v>
      </c>
      <c r="DP147">
        <v>0</v>
      </c>
      <c r="DQ147">
        <v>8.4</v>
      </c>
      <c r="DR147">
        <v>9</v>
      </c>
      <c r="DS147">
        <v>9.3000000000000007</v>
      </c>
      <c r="DT147">
        <v>0</v>
      </c>
      <c r="DU147">
        <v>0</v>
      </c>
      <c r="DV147">
        <v>0</v>
      </c>
      <c r="DW147">
        <v>0</v>
      </c>
      <c r="DX147">
        <v>0</v>
      </c>
      <c r="DY147">
        <v>0</v>
      </c>
      <c r="DZ147">
        <v>0</v>
      </c>
      <c r="EA147">
        <v>0</v>
      </c>
      <c r="EB147">
        <v>0</v>
      </c>
      <c r="EC147">
        <v>6.25</v>
      </c>
      <c r="ED147">
        <v>7.75</v>
      </c>
      <c r="EE147">
        <v>3.75</v>
      </c>
      <c r="EF147"/>
      <c r="EG147">
        <v>5.75</v>
      </c>
      <c r="EH147"/>
      <c r="EI147"/>
      <c r="EJ147"/>
      <c r="EK147"/>
      <c r="EL147"/>
      <c r="EM147"/>
      <c r="EN147"/>
      <c r="EO147"/>
      <c r="EP147"/>
      <c r="EQ147"/>
      <c r="ER147"/>
      <c r="ES147"/>
      <c r="ET147"/>
      <c r="EU147"/>
      <c r="EV147"/>
      <c r="EW147"/>
      <c r="EX147"/>
      <c r="EY147"/>
      <c r="EZ147"/>
      <c r="FA147"/>
      <c r="FB147"/>
      <c r="FC147"/>
      <c r="FD147"/>
    </row>
    <row r="148" spans="1:160" x14ac:dyDescent="0.25">
      <c r="A148" s="1" t="str">
        <f t="shared" si="2"/>
        <v>079208045387</v>
      </c>
      <c r="B148" t="s">
        <v>3095</v>
      </c>
      <c r="C148" t="s">
        <v>3096</v>
      </c>
      <c r="D148" t="s">
        <v>3097</v>
      </c>
      <c r="E148" t="s">
        <v>280</v>
      </c>
      <c r="F148" t="s">
        <v>1945</v>
      </c>
      <c r="G148" t="s">
        <v>3098</v>
      </c>
      <c r="H148" t="s">
        <v>3099</v>
      </c>
      <c r="I148" t="s">
        <v>3100</v>
      </c>
      <c r="J148" t="s">
        <v>3101</v>
      </c>
      <c r="K148" t="s">
        <v>321</v>
      </c>
      <c r="L148"/>
      <c r="M148" t="s">
        <v>287</v>
      </c>
      <c r="N148" t="s">
        <v>288</v>
      </c>
      <c r="O148"/>
      <c r="P148" t="s">
        <v>289</v>
      </c>
      <c r="Q148" t="s">
        <v>3102</v>
      </c>
      <c r="R148" t="s">
        <v>287</v>
      </c>
      <c r="S148" t="s">
        <v>287</v>
      </c>
      <c r="T148" t="s">
        <v>287</v>
      </c>
      <c r="U148"/>
      <c r="V148"/>
      <c r="W148"/>
      <c r="X148"/>
      <c r="Y148"/>
      <c r="Z148"/>
      <c r="AA148" t="s">
        <v>287</v>
      </c>
      <c r="AB148"/>
      <c r="AC148"/>
      <c r="AD148"/>
      <c r="AE148"/>
      <c r="AF148" t="s">
        <v>323</v>
      </c>
      <c r="AG148" t="s">
        <v>324</v>
      </c>
      <c r="AH148" t="s">
        <v>325</v>
      </c>
      <c r="AI148" t="s">
        <v>323</v>
      </c>
      <c r="AJ148" t="s">
        <v>324</v>
      </c>
      <c r="AK148" t="s">
        <v>325</v>
      </c>
      <c r="AL148" t="s">
        <v>323</v>
      </c>
      <c r="AM148" t="s">
        <v>324</v>
      </c>
      <c r="AN148" t="s">
        <v>325</v>
      </c>
      <c r="AO148" t="s">
        <v>299</v>
      </c>
      <c r="AP148" t="s">
        <v>348</v>
      </c>
      <c r="AQ148" t="s">
        <v>3103</v>
      </c>
      <c r="AR148" t="s">
        <v>893</v>
      </c>
      <c r="AS148" t="s">
        <v>2139</v>
      </c>
      <c r="AT148" t="s">
        <v>1957</v>
      </c>
      <c r="AU148" t="s">
        <v>354</v>
      </c>
      <c r="AV148"/>
      <c r="AW148" t="s">
        <v>562</v>
      </c>
      <c r="AX148" t="s">
        <v>563</v>
      </c>
      <c r="AY148" t="s">
        <v>545</v>
      </c>
      <c r="AZ148" t="s">
        <v>546</v>
      </c>
      <c r="BA148" t="s">
        <v>372</v>
      </c>
      <c r="BB148" t="s">
        <v>373</v>
      </c>
      <c r="BC148" t="s">
        <v>312</v>
      </c>
      <c r="BD148" t="s">
        <v>353</v>
      </c>
      <c r="BE148" t="s">
        <v>3104</v>
      </c>
      <c r="BF148" t="s">
        <v>314</v>
      </c>
      <c r="BG148"/>
      <c r="BH148"/>
      <c r="BI148"/>
      <c r="BJ148"/>
      <c r="BK148"/>
      <c r="BL148"/>
      <c r="BM148" t="s">
        <v>305</v>
      </c>
      <c r="BN148" t="s">
        <v>354</v>
      </c>
      <c r="BO148" t="s">
        <v>3105</v>
      </c>
      <c r="BP148"/>
      <c r="BQ148"/>
      <c r="BR148">
        <v>8.4</v>
      </c>
      <c r="BS148">
        <v>7.2</v>
      </c>
      <c r="BT148">
        <v>9</v>
      </c>
      <c r="BU148">
        <v>9</v>
      </c>
      <c r="BV148">
        <v>9.1</v>
      </c>
      <c r="BW148">
        <v>9.6</v>
      </c>
      <c r="BX148">
        <v>7.9</v>
      </c>
      <c r="BY148">
        <v>0</v>
      </c>
      <c r="BZ148">
        <v>9.4</v>
      </c>
      <c r="CA148">
        <v>0</v>
      </c>
      <c r="CB148">
        <v>0</v>
      </c>
      <c r="CC148">
        <v>9.6999999999999993</v>
      </c>
      <c r="CD148">
        <v>0</v>
      </c>
      <c r="CE148">
        <v>0</v>
      </c>
      <c r="CF148">
        <v>0</v>
      </c>
      <c r="CG148">
        <v>0</v>
      </c>
      <c r="CH148">
        <v>0</v>
      </c>
      <c r="CI148">
        <v>0</v>
      </c>
      <c r="CJ148">
        <v>0</v>
      </c>
      <c r="CK148">
        <v>0</v>
      </c>
      <c r="CL148">
        <v>0</v>
      </c>
      <c r="CM148">
        <v>8.3000000000000007</v>
      </c>
      <c r="CN148">
        <v>6.5</v>
      </c>
      <c r="CO148">
        <v>9.1</v>
      </c>
      <c r="CP148">
        <v>9.1999999999999993</v>
      </c>
      <c r="CQ148">
        <v>9.3000000000000007</v>
      </c>
      <c r="CR148">
        <v>9.4</v>
      </c>
      <c r="CS148">
        <v>8.8000000000000007</v>
      </c>
      <c r="CT148">
        <v>0</v>
      </c>
      <c r="CU148">
        <v>9</v>
      </c>
      <c r="CV148">
        <v>0</v>
      </c>
      <c r="CW148">
        <v>0</v>
      </c>
      <c r="CX148">
        <v>9.3000000000000007</v>
      </c>
      <c r="CY148">
        <v>0</v>
      </c>
      <c r="CZ148">
        <v>0</v>
      </c>
      <c r="DA148">
        <v>0</v>
      </c>
      <c r="DB148">
        <v>0</v>
      </c>
      <c r="DC148">
        <v>0</v>
      </c>
      <c r="DD148">
        <v>0</v>
      </c>
      <c r="DE148">
        <v>0</v>
      </c>
      <c r="DF148">
        <v>0</v>
      </c>
      <c r="DG148">
        <v>0</v>
      </c>
      <c r="DH148">
        <v>9.1</v>
      </c>
      <c r="DI148">
        <v>7.4</v>
      </c>
      <c r="DJ148">
        <v>9.1999999999999993</v>
      </c>
      <c r="DK148">
        <v>9.9</v>
      </c>
      <c r="DL148">
        <v>9.3000000000000007</v>
      </c>
      <c r="DM148">
        <v>9.8000000000000007</v>
      </c>
      <c r="DN148">
        <v>8</v>
      </c>
      <c r="DO148">
        <v>0</v>
      </c>
      <c r="DP148">
        <v>8.5</v>
      </c>
      <c r="DQ148">
        <v>0</v>
      </c>
      <c r="DR148">
        <v>0</v>
      </c>
      <c r="DS148">
        <v>9.4</v>
      </c>
      <c r="DT148">
        <v>0</v>
      </c>
      <c r="DU148">
        <v>0</v>
      </c>
      <c r="DV148">
        <v>0</v>
      </c>
      <c r="DW148">
        <v>0</v>
      </c>
      <c r="DX148">
        <v>0</v>
      </c>
      <c r="DY148">
        <v>0</v>
      </c>
      <c r="DZ148">
        <v>0</v>
      </c>
      <c r="EA148">
        <v>0</v>
      </c>
      <c r="EB148">
        <v>0</v>
      </c>
      <c r="EC148">
        <v>7.5</v>
      </c>
      <c r="ED148">
        <v>7</v>
      </c>
      <c r="EE148"/>
      <c r="EF148"/>
      <c r="EG148">
        <v>8.25</v>
      </c>
      <c r="EH148"/>
      <c r="EI148"/>
      <c r="EJ148"/>
      <c r="EK148">
        <v>5.0999999999999996</v>
      </c>
      <c r="EL148"/>
      <c r="EM148"/>
      <c r="EN148"/>
      <c r="EO148"/>
      <c r="EP148"/>
      <c r="EQ148"/>
      <c r="ER148"/>
      <c r="ES148"/>
      <c r="ET148"/>
      <c r="EU148"/>
      <c r="EV148"/>
      <c r="EW148"/>
      <c r="EX148"/>
      <c r="EY148"/>
      <c r="EZ148"/>
      <c r="FA148"/>
      <c r="FB148"/>
      <c r="FC148"/>
      <c r="FD148"/>
    </row>
    <row r="149" spans="1:160" x14ac:dyDescent="0.25">
      <c r="A149" s="1" t="str">
        <f t="shared" si="2"/>
        <v>091308007372</v>
      </c>
      <c r="B149" t="s">
        <v>3106</v>
      </c>
      <c r="C149" t="s">
        <v>3107</v>
      </c>
      <c r="D149" t="s">
        <v>3108</v>
      </c>
      <c r="E149" t="s">
        <v>278</v>
      </c>
      <c r="F149" t="s">
        <v>617</v>
      </c>
      <c r="G149" t="s">
        <v>3109</v>
      </c>
      <c r="H149" t="s">
        <v>3110</v>
      </c>
      <c r="I149" t="s">
        <v>3111</v>
      </c>
      <c r="J149" t="s">
        <v>3112</v>
      </c>
      <c r="K149" t="s">
        <v>321</v>
      </c>
      <c r="L149"/>
      <c r="M149" t="s">
        <v>287</v>
      </c>
      <c r="N149" t="s">
        <v>288</v>
      </c>
      <c r="O149"/>
      <c r="P149" t="s">
        <v>289</v>
      </c>
      <c r="Q149" t="s">
        <v>3113</v>
      </c>
      <c r="R149" t="s">
        <v>287</v>
      </c>
      <c r="S149" t="s">
        <v>287</v>
      </c>
      <c r="T149" t="s">
        <v>287</v>
      </c>
      <c r="U149"/>
      <c r="V149"/>
      <c r="W149"/>
      <c r="X149"/>
      <c r="Y149"/>
      <c r="Z149"/>
      <c r="AA149" t="s">
        <v>287</v>
      </c>
      <c r="AB149"/>
      <c r="AC149"/>
      <c r="AD149"/>
      <c r="AE149"/>
      <c r="AF149" t="s">
        <v>401</v>
      </c>
      <c r="AG149" t="s">
        <v>3114</v>
      </c>
      <c r="AH149" t="s">
        <v>3115</v>
      </c>
      <c r="AI149" t="s">
        <v>401</v>
      </c>
      <c r="AJ149" t="s">
        <v>3116</v>
      </c>
      <c r="AK149" t="s">
        <v>3117</v>
      </c>
      <c r="AL149" t="s">
        <v>401</v>
      </c>
      <c r="AM149" t="s">
        <v>3118</v>
      </c>
      <c r="AN149" t="s">
        <v>3119</v>
      </c>
      <c r="AO149" t="s">
        <v>299</v>
      </c>
      <c r="AP149" t="s">
        <v>388</v>
      </c>
      <c r="AQ149" t="s">
        <v>1655</v>
      </c>
      <c r="AR149" t="s">
        <v>1520</v>
      </c>
      <c r="AS149" t="s">
        <v>3120</v>
      </c>
      <c r="AT149" t="s">
        <v>1819</v>
      </c>
      <c r="AU149" t="s">
        <v>354</v>
      </c>
      <c r="AV149"/>
      <c r="AW149" t="s">
        <v>308</v>
      </c>
      <c r="AX149" t="s">
        <v>309</v>
      </c>
      <c r="AY149" t="s">
        <v>608</v>
      </c>
      <c r="AZ149" t="s">
        <v>609</v>
      </c>
      <c r="BA149" t="s">
        <v>332</v>
      </c>
      <c r="BB149" t="s">
        <v>333</v>
      </c>
      <c r="BC149" t="s">
        <v>312</v>
      </c>
      <c r="BD149" t="s">
        <v>353</v>
      </c>
      <c r="BE149"/>
      <c r="BF149" t="s">
        <v>314</v>
      </c>
      <c r="BG149"/>
      <c r="BH149"/>
      <c r="BI149"/>
      <c r="BJ149"/>
      <c r="BK149"/>
      <c r="BL149"/>
      <c r="BM149" t="s">
        <v>305</v>
      </c>
      <c r="BN149" t="s">
        <v>305</v>
      </c>
      <c r="BO149" t="s">
        <v>3121</v>
      </c>
      <c r="BP149"/>
      <c r="BQ149" t="s">
        <v>3122</v>
      </c>
      <c r="BR149">
        <v>7</v>
      </c>
      <c r="BS149">
        <v>6.7</v>
      </c>
      <c r="BT149">
        <v>7.8</v>
      </c>
      <c r="BU149">
        <v>8.1</v>
      </c>
      <c r="BV149">
        <v>8</v>
      </c>
      <c r="BW149">
        <v>0</v>
      </c>
      <c r="BX149">
        <v>0</v>
      </c>
      <c r="BY149">
        <v>7.3</v>
      </c>
      <c r="BZ149">
        <v>7.8</v>
      </c>
      <c r="CA149">
        <v>8.1999999999999993</v>
      </c>
      <c r="CB149">
        <v>9</v>
      </c>
      <c r="CC149">
        <v>0</v>
      </c>
      <c r="CD149">
        <v>0</v>
      </c>
      <c r="CE149">
        <v>0</v>
      </c>
      <c r="CF149">
        <v>0</v>
      </c>
      <c r="CG149">
        <v>0</v>
      </c>
      <c r="CH149">
        <v>0</v>
      </c>
      <c r="CI149">
        <v>0</v>
      </c>
      <c r="CJ149">
        <v>0</v>
      </c>
      <c r="CK149">
        <v>0</v>
      </c>
      <c r="CL149">
        <v>0</v>
      </c>
      <c r="CM149">
        <v>6.1</v>
      </c>
      <c r="CN149">
        <v>6.5</v>
      </c>
      <c r="CO149">
        <v>5.3</v>
      </c>
      <c r="CP149">
        <v>6.7</v>
      </c>
      <c r="CQ149">
        <v>8.1999999999999993</v>
      </c>
      <c r="CR149">
        <v>0</v>
      </c>
      <c r="CS149">
        <v>0</v>
      </c>
      <c r="CT149">
        <v>5.5</v>
      </c>
      <c r="CU149">
        <v>5.2</v>
      </c>
      <c r="CV149">
        <v>7.1</v>
      </c>
      <c r="CW149">
        <v>0</v>
      </c>
      <c r="CX149">
        <v>7.6</v>
      </c>
      <c r="CY149">
        <v>0</v>
      </c>
      <c r="CZ149">
        <v>0</v>
      </c>
      <c r="DA149">
        <v>0</v>
      </c>
      <c r="DB149">
        <v>0</v>
      </c>
      <c r="DC149">
        <v>0</v>
      </c>
      <c r="DD149">
        <v>0</v>
      </c>
      <c r="DE149">
        <v>0</v>
      </c>
      <c r="DF149">
        <v>0</v>
      </c>
      <c r="DG149">
        <v>0</v>
      </c>
      <c r="DH149">
        <v>6.7</v>
      </c>
      <c r="DI149">
        <v>6.3</v>
      </c>
      <c r="DJ149">
        <v>7.5</v>
      </c>
      <c r="DK149">
        <v>9.3000000000000007</v>
      </c>
      <c r="DL149">
        <v>8.9</v>
      </c>
      <c r="DM149">
        <v>0</v>
      </c>
      <c r="DN149">
        <v>0</v>
      </c>
      <c r="DO149">
        <v>7.9</v>
      </c>
      <c r="DP149">
        <v>7.5</v>
      </c>
      <c r="DQ149">
        <v>7.6</v>
      </c>
      <c r="DR149">
        <v>0</v>
      </c>
      <c r="DS149">
        <v>8</v>
      </c>
      <c r="DT149">
        <v>0</v>
      </c>
      <c r="DU149">
        <v>0</v>
      </c>
      <c r="DV149">
        <v>0</v>
      </c>
      <c r="DW149">
        <v>0</v>
      </c>
      <c r="DX149">
        <v>0</v>
      </c>
      <c r="DY149">
        <v>0</v>
      </c>
      <c r="DZ149">
        <v>0</v>
      </c>
      <c r="EA149">
        <v>0</v>
      </c>
      <c r="EB149">
        <v>0</v>
      </c>
      <c r="EC149">
        <v>6.25</v>
      </c>
      <c r="ED149">
        <v>6.75</v>
      </c>
      <c r="EE149"/>
      <c r="EF149"/>
      <c r="EG149">
        <v>6.35</v>
      </c>
      <c r="EH149"/>
      <c r="EI149"/>
      <c r="EJ149">
        <v>3.25</v>
      </c>
      <c r="EK149"/>
      <c r="EL149"/>
      <c r="EM149"/>
      <c r="EN149"/>
      <c r="EO149"/>
      <c r="EP149"/>
      <c r="EQ149"/>
      <c r="ER149"/>
      <c r="ES149"/>
      <c r="ET149"/>
      <c r="EU149"/>
      <c r="EV149"/>
      <c r="EW149">
        <v>53.5</v>
      </c>
      <c r="EX149">
        <v>104</v>
      </c>
      <c r="EY149">
        <v>52.5</v>
      </c>
      <c r="EZ149">
        <v>63</v>
      </c>
      <c r="FA149"/>
      <c r="FB149"/>
      <c r="FC149"/>
      <c r="FD149"/>
    </row>
    <row r="150" spans="1:160" x14ac:dyDescent="0.25">
      <c r="A150" s="1" t="str">
        <f t="shared" si="2"/>
        <v>091207002268</v>
      </c>
      <c r="B150" t="s">
        <v>3123</v>
      </c>
      <c r="C150" t="s">
        <v>3124</v>
      </c>
      <c r="D150" t="s">
        <v>3125</v>
      </c>
      <c r="E150" t="s">
        <v>280</v>
      </c>
      <c r="F150" t="s">
        <v>3126</v>
      </c>
      <c r="G150" t="s">
        <v>3127</v>
      </c>
      <c r="H150" t="s">
        <v>3128</v>
      </c>
      <c r="I150" t="s">
        <v>3129</v>
      </c>
      <c r="J150" t="s">
        <v>3130</v>
      </c>
      <c r="K150" t="s">
        <v>516</v>
      </c>
      <c r="L150"/>
      <c r="M150" t="s">
        <v>287</v>
      </c>
      <c r="N150" t="s">
        <v>288</v>
      </c>
      <c r="O150"/>
      <c r="P150" t="s">
        <v>289</v>
      </c>
      <c r="Q150" t="s">
        <v>3131</v>
      </c>
      <c r="R150" t="s">
        <v>287</v>
      </c>
      <c r="S150" t="s">
        <v>287</v>
      </c>
      <c r="T150" t="s">
        <v>287</v>
      </c>
      <c r="U150"/>
      <c r="V150"/>
      <c r="W150"/>
      <c r="X150"/>
      <c r="Y150"/>
      <c r="Z150"/>
      <c r="AA150" t="s">
        <v>287</v>
      </c>
      <c r="AB150"/>
      <c r="AC150"/>
      <c r="AD150"/>
      <c r="AE150"/>
      <c r="AF150" t="s">
        <v>401</v>
      </c>
      <c r="AG150" t="s">
        <v>3132</v>
      </c>
      <c r="AH150" t="s">
        <v>3133</v>
      </c>
      <c r="AI150" t="s">
        <v>401</v>
      </c>
      <c r="AJ150" t="s">
        <v>3132</v>
      </c>
      <c r="AK150" t="s">
        <v>3133</v>
      </c>
      <c r="AL150" t="s">
        <v>401</v>
      </c>
      <c r="AM150" t="s">
        <v>3132</v>
      </c>
      <c r="AN150" t="s">
        <v>3133</v>
      </c>
      <c r="AO150" t="s">
        <v>299</v>
      </c>
      <c r="AP150" t="s">
        <v>388</v>
      </c>
      <c r="AQ150" t="s">
        <v>3134</v>
      </c>
      <c r="AR150" t="s">
        <v>3135</v>
      </c>
      <c r="AS150" t="s">
        <v>3136</v>
      </c>
      <c r="AT150" t="s">
        <v>606</v>
      </c>
      <c r="AU150" t="s">
        <v>354</v>
      </c>
      <c r="AV150"/>
      <c r="AW150" t="s">
        <v>310</v>
      </c>
      <c r="AX150" t="s">
        <v>311</v>
      </c>
      <c r="AY150" t="s">
        <v>308</v>
      </c>
      <c r="AZ150" t="s">
        <v>309</v>
      </c>
      <c r="BA150" t="s">
        <v>349</v>
      </c>
      <c r="BB150" t="s">
        <v>350</v>
      </c>
      <c r="BC150" t="s">
        <v>312</v>
      </c>
      <c r="BD150" t="s">
        <v>313</v>
      </c>
      <c r="BE150" t="s">
        <v>3137</v>
      </c>
      <c r="BF150" t="s">
        <v>314</v>
      </c>
      <c r="BG150"/>
      <c r="BH150"/>
      <c r="BI150"/>
      <c r="BJ150"/>
      <c r="BK150"/>
      <c r="BL150"/>
      <c r="BM150" t="s">
        <v>305</v>
      </c>
      <c r="BN150" t="s">
        <v>354</v>
      </c>
      <c r="BO150" t="s">
        <v>3138</v>
      </c>
      <c r="BP150"/>
      <c r="BQ150"/>
      <c r="BR150">
        <v>5.8</v>
      </c>
      <c r="BS150">
        <v>5.2</v>
      </c>
      <c r="BT150">
        <v>6.2</v>
      </c>
      <c r="BU150">
        <v>9</v>
      </c>
      <c r="BV150">
        <v>6.2</v>
      </c>
      <c r="BW150">
        <v>6.4</v>
      </c>
      <c r="BX150">
        <v>6.2</v>
      </c>
      <c r="BY150">
        <v>5.8</v>
      </c>
      <c r="BZ150">
        <v>5.3</v>
      </c>
      <c r="CA150">
        <v>0</v>
      </c>
      <c r="CB150">
        <v>0</v>
      </c>
      <c r="CC150">
        <v>0</v>
      </c>
      <c r="CD150">
        <v>0</v>
      </c>
      <c r="CE150">
        <v>0</v>
      </c>
      <c r="CF150">
        <v>0</v>
      </c>
      <c r="CG150">
        <v>0</v>
      </c>
      <c r="CH150">
        <v>0</v>
      </c>
      <c r="CI150">
        <v>0</v>
      </c>
      <c r="CJ150">
        <v>0</v>
      </c>
      <c r="CK150">
        <v>0</v>
      </c>
      <c r="CL150">
        <v>0</v>
      </c>
      <c r="CM150">
        <v>5.6</v>
      </c>
      <c r="CN150">
        <v>4.5</v>
      </c>
      <c r="CO150">
        <v>6.3</v>
      </c>
      <c r="CP150">
        <v>8.3000000000000007</v>
      </c>
      <c r="CQ150">
        <v>7.4</v>
      </c>
      <c r="CR150">
        <v>6.7</v>
      </c>
      <c r="CS150">
        <v>7.5</v>
      </c>
      <c r="CT150">
        <v>6.7</v>
      </c>
      <c r="CU150">
        <v>6.6</v>
      </c>
      <c r="CV150">
        <v>0</v>
      </c>
      <c r="CW150">
        <v>0</v>
      </c>
      <c r="CX150">
        <v>0</v>
      </c>
      <c r="CY150">
        <v>0</v>
      </c>
      <c r="CZ150">
        <v>0</v>
      </c>
      <c r="DA150">
        <v>0</v>
      </c>
      <c r="DB150">
        <v>0</v>
      </c>
      <c r="DC150">
        <v>0</v>
      </c>
      <c r="DD150">
        <v>0</v>
      </c>
      <c r="DE150">
        <v>0</v>
      </c>
      <c r="DF150">
        <v>0</v>
      </c>
      <c r="DG150">
        <v>0</v>
      </c>
      <c r="DH150">
        <v>6.7</v>
      </c>
      <c r="DI150">
        <v>5.0999999999999996</v>
      </c>
      <c r="DJ150">
        <v>8.4</v>
      </c>
      <c r="DK150">
        <v>9.6999999999999993</v>
      </c>
      <c r="DL150">
        <v>8.4</v>
      </c>
      <c r="DM150">
        <v>8.9</v>
      </c>
      <c r="DN150">
        <v>9.6999999999999993</v>
      </c>
      <c r="DO150">
        <v>8.1</v>
      </c>
      <c r="DP150">
        <v>8</v>
      </c>
      <c r="DQ150">
        <v>0</v>
      </c>
      <c r="DR150">
        <v>0</v>
      </c>
      <c r="DS150">
        <v>0</v>
      </c>
      <c r="DT150">
        <v>0</v>
      </c>
      <c r="DU150">
        <v>0</v>
      </c>
      <c r="DV150">
        <v>0</v>
      </c>
      <c r="DW150">
        <v>0</v>
      </c>
      <c r="DX150">
        <v>0</v>
      </c>
      <c r="DY150">
        <v>0</v>
      </c>
      <c r="DZ150">
        <v>0</v>
      </c>
      <c r="EA150">
        <v>0</v>
      </c>
      <c r="EB150">
        <v>0</v>
      </c>
      <c r="EC150">
        <v>3.75</v>
      </c>
      <c r="ED150">
        <v>5.5</v>
      </c>
      <c r="EE150">
        <v>2.75</v>
      </c>
      <c r="EF150"/>
      <c r="EG150"/>
      <c r="EH150"/>
      <c r="EI150">
        <v>6</v>
      </c>
      <c r="EJ150"/>
      <c r="EK150"/>
      <c r="EL150"/>
      <c r="EM150"/>
      <c r="EN150"/>
      <c r="EO150"/>
      <c r="EP150"/>
      <c r="EQ150"/>
      <c r="ER150"/>
      <c r="ES150"/>
      <c r="ET150"/>
      <c r="EU150"/>
      <c r="EV150"/>
      <c r="EW150"/>
      <c r="EX150"/>
      <c r="EY150"/>
      <c r="EZ150"/>
      <c r="FA150"/>
      <c r="FB150"/>
      <c r="FC150"/>
      <c r="FD150"/>
    </row>
    <row r="151" spans="1:160" x14ac:dyDescent="0.25">
      <c r="A151" s="1" t="str">
        <f t="shared" si="2"/>
        <v>091208003108</v>
      </c>
      <c r="B151" t="s">
        <v>3139</v>
      </c>
      <c r="C151" t="s">
        <v>3140</v>
      </c>
      <c r="D151" t="s">
        <v>3141</v>
      </c>
      <c r="E151" t="s">
        <v>280</v>
      </c>
      <c r="F151" t="s">
        <v>2998</v>
      </c>
      <c r="G151" t="s">
        <v>3142</v>
      </c>
      <c r="H151" t="s">
        <v>3143</v>
      </c>
      <c r="I151" t="s">
        <v>3144</v>
      </c>
      <c r="J151" t="s">
        <v>3145</v>
      </c>
      <c r="K151" t="s">
        <v>321</v>
      </c>
      <c r="L151"/>
      <c r="M151" t="s">
        <v>287</v>
      </c>
      <c r="N151" t="s">
        <v>288</v>
      </c>
      <c r="O151"/>
      <c r="P151" t="s">
        <v>289</v>
      </c>
      <c r="Q151" t="s">
        <v>3146</v>
      </c>
      <c r="R151" t="s">
        <v>287</v>
      </c>
      <c r="S151" t="s">
        <v>287</v>
      </c>
      <c r="T151" t="s">
        <v>287</v>
      </c>
      <c r="U151"/>
      <c r="V151"/>
      <c r="W151"/>
      <c r="X151"/>
      <c r="Y151"/>
      <c r="Z151"/>
      <c r="AA151" t="s">
        <v>287</v>
      </c>
      <c r="AB151"/>
      <c r="AC151"/>
      <c r="AD151"/>
      <c r="AE151"/>
      <c r="AF151" t="s">
        <v>401</v>
      </c>
      <c r="AG151" t="s">
        <v>3147</v>
      </c>
      <c r="AH151" t="s">
        <v>3148</v>
      </c>
      <c r="AI151" t="s">
        <v>401</v>
      </c>
      <c r="AJ151" t="s">
        <v>3147</v>
      </c>
      <c r="AK151" t="s">
        <v>3148</v>
      </c>
      <c r="AL151" t="s">
        <v>401</v>
      </c>
      <c r="AM151" t="s">
        <v>3147</v>
      </c>
      <c r="AN151" t="s">
        <v>3148</v>
      </c>
      <c r="AO151" t="s">
        <v>299</v>
      </c>
      <c r="AP151" t="s">
        <v>603</v>
      </c>
      <c r="AQ151" t="s">
        <v>1119</v>
      </c>
      <c r="AR151" t="s">
        <v>2249</v>
      </c>
      <c r="AS151" t="s">
        <v>1388</v>
      </c>
      <c r="AT151" t="s">
        <v>627</v>
      </c>
      <c r="AU151" t="s">
        <v>354</v>
      </c>
      <c r="AV151"/>
      <c r="AW151" t="s">
        <v>310</v>
      </c>
      <c r="AX151" t="s">
        <v>311</v>
      </c>
      <c r="AY151" t="s">
        <v>545</v>
      </c>
      <c r="AZ151" t="s">
        <v>546</v>
      </c>
      <c r="BA151" t="s">
        <v>444</v>
      </c>
      <c r="BB151" t="s">
        <v>445</v>
      </c>
      <c r="BC151" t="s">
        <v>669</v>
      </c>
      <c r="BD151" t="s">
        <v>353</v>
      </c>
      <c r="BE151" t="s">
        <v>3149</v>
      </c>
      <c r="BF151" t="s">
        <v>314</v>
      </c>
      <c r="BG151"/>
      <c r="BH151"/>
      <c r="BI151"/>
      <c r="BJ151"/>
      <c r="BK151"/>
      <c r="BL151"/>
      <c r="BM151" t="s">
        <v>305</v>
      </c>
      <c r="BN151" t="s">
        <v>354</v>
      </c>
      <c r="BO151" t="s">
        <v>3150</v>
      </c>
      <c r="BP151"/>
      <c r="BQ151"/>
      <c r="BR151">
        <v>6.3</v>
      </c>
      <c r="BS151">
        <v>7.2</v>
      </c>
      <c r="BT151">
        <v>7.7</v>
      </c>
      <c r="BU151">
        <v>8.4</v>
      </c>
      <c r="BV151">
        <v>7.3</v>
      </c>
      <c r="BW151">
        <v>0</v>
      </c>
      <c r="BX151">
        <v>7</v>
      </c>
      <c r="BY151">
        <v>5.8</v>
      </c>
      <c r="BZ151">
        <v>7.2</v>
      </c>
      <c r="CA151">
        <v>0</v>
      </c>
      <c r="CB151">
        <v>7</v>
      </c>
      <c r="CC151">
        <v>0</v>
      </c>
      <c r="CD151">
        <v>0</v>
      </c>
      <c r="CE151">
        <v>0</v>
      </c>
      <c r="CF151">
        <v>0</v>
      </c>
      <c r="CG151">
        <v>0</v>
      </c>
      <c r="CH151">
        <v>0</v>
      </c>
      <c r="CI151">
        <v>0</v>
      </c>
      <c r="CJ151">
        <v>0</v>
      </c>
      <c r="CK151">
        <v>0</v>
      </c>
      <c r="CL151">
        <v>0</v>
      </c>
      <c r="CM151">
        <v>6.5</v>
      </c>
      <c r="CN151">
        <v>7.7</v>
      </c>
      <c r="CO151">
        <v>7.3</v>
      </c>
      <c r="CP151">
        <v>9.1</v>
      </c>
      <c r="CQ151">
        <v>7.3</v>
      </c>
      <c r="CR151">
        <v>0</v>
      </c>
      <c r="CS151">
        <v>8.3000000000000007</v>
      </c>
      <c r="CT151">
        <v>6.6</v>
      </c>
      <c r="CU151">
        <v>6.8</v>
      </c>
      <c r="CV151">
        <v>0</v>
      </c>
      <c r="CW151">
        <v>6.6</v>
      </c>
      <c r="CX151">
        <v>0</v>
      </c>
      <c r="CY151">
        <v>0</v>
      </c>
      <c r="CZ151">
        <v>0</v>
      </c>
      <c r="DA151">
        <v>0</v>
      </c>
      <c r="DB151">
        <v>0</v>
      </c>
      <c r="DC151">
        <v>0</v>
      </c>
      <c r="DD151">
        <v>0</v>
      </c>
      <c r="DE151">
        <v>0</v>
      </c>
      <c r="DF151">
        <v>0</v>
      </c>
      <c r="DG151">
        <v>0</v>
      </c>
      <c r="DH151">
        <v>9</v>
      </c>
      <c r="DI151">
        <v>8.6999999999999993</v>
      </c>
      <c r="DJ151">
        <v>8.1</v>
      </c>
      <c r="DK151">
        <v>8.8000000000000007</v>
      </c>
      <c r="DL151">
        <v>8.1</v>
      </c>
      <c r="DM151">
        <v>0</v>
      </c>
      <c r="DN151">
        <v>8.5</v>
      </c>
      <c r="DO151">
        <v>8.1999999999999993</v>
      </c>
      <c r="DP151">
        <v>8.1999999999999993</v>
      </c>
      <c r="DQ151">
        <v>0</v>
      </c>
      <c r="DR151">
        <v>7.9</v>
      </c>
      <c r="DS151">
        <v>0</v>
      </c>
      <c r="DT151">
        <v>0</v>
      </c>
      <c r="DU151">
        <v>0</v>
      </c>
      <c r="DV151">
        <v>0</v>
      </c>
      <c r="DW151">
        <v>0</v>
      </c>
      <c r="DX151">
        <v>0</v>
      </c>
      <c r="DY151">
        <v>0</v>
      </c>
      <c r="DZ151">
        <v>0</v>
      </c>
      <c r="EA151">
        <v>0</v>
      </c>
      <c r="EB151">
        <v>0</v>
      </c>
      <c r="EC151">
        <v>7.5</v>
      </c>
      <c r="ED151">
        <v>6.5</v>
      </c>
      <c r="EE151">
        <v>3.75</v>
      </c>
      <c r="EF151"/>
      <c r="EG151"/>
      <c r="EH151"/>
      <c r="EI151"/>
      <c r="EJ151">
        <v>4.5</v>
      </c>
      <c r="EK151"/>
      <c r="EL151"/>
      <c r="EM151"/>
      <c r="EN151"/>
      <c r="EO151"/>
      <c r="EP151"/>
      <c r="EQ151"/>
      <c r="ER151"/>
      <c r="ES151"/>
      <c r="ET151"/>
      <c r="EU151"/>
      <c r="EV151"/>
      <c r="EW151"/>
      <c r="EX151"/>
      <c r="EY151"/>
      <c r="EZ151"/>
      <c r="FA151"/>
      <c r="FB151"/>
      <c r="FC151"/>
      <c r="FD151"/>
    </row>
    <row r="152" spans="1:160" x14ac:dyDescent="0.25">
      <c r="A152" s="1" t="str">
        <f t="shared" si="2"/>
        <v>079306007462</v>
      </c>
      <c r="B152" t="s">
        <v>3189</v>
      </c>
      <c r="C152" t="s">
        <v>3190</v>
      </c>
      <c r="D152" t="s">
        <v>3191</v>
      </c>
      <c r="E152" t="s">
        <v>278</v>
      </c>
      <c r="F152" t="s">
        <v>3192</v>
      </c>
      <c r="G152" t="s">
        <v>3193</v>
      </c>
      <c r="H152" t="s">
        <v>3194</v>
      </c>
      <c r="I152" t="s">
        <v>3195</v>
      </c>
      <c r="J152" t="s">
        <v>3196</v>
      </c>
      <c r="K152" t="s">
        <v>286</v>
      </c>
      <c r="L152"/>
      <c r="M152" t="s">
        <v>287</v>
      </c>
      <c r="N152" t="s">
        <v>288</v>
      </c>
      <c r="O152"/>
      <c r="P152" t="s">
        <v>2136</v>
      </c>
      <c r="Q152" t="s">
        <v>3197</v>
      </c>
      <c r="R152" t="s">
        <v>287</v>
      </c>
      <c r="S152" t="s">
        <v>287</v>
      </c>
      <c r="T152" t="s">
        <v>287</v>
      </c>
      <c r="U152"/>
      <c r="V152"/>
      <c r="W152" t="s">
        <v>294</v>
      </c>
      <c r="X152" t="s">
        <v>3198</v>
      </c>
      <c r="Y152" t="s">
        <v>3199</v>
      </c>
      <c r="Z152" t="s">
        <v>1923</v>
      </c>
      <c r="AA152" t="s">
        <v>287</v>
      </c>
      <c r="AB152"/>
      <c r="AC152"/>
      <c r="AD152"/>
      <c r="AE152"/>
      <c r="AF152" t="s">
        <v>706</v>
      </c>
      <c r="AG152" t="s">
        <v>1182</v>
      </c>
      <c r="AH152" t="s">
        <v>2218</v>
      </c>
      <c r="AI152" t="s">
        <v>706</v>
      </c>
      <c r="AJ152" t="s">
        <v>1182</v>
      </c>
      <c r="AK152" t="s">
        <v>2218</v>
      </c>
      <c r="AL152" t="s">
        <v>706</v>
      </c>
      <c r="AM152" t="s">
        <v>1182</v>
      </c>
      <c r="AN152" t="s">
        <v>2218</v>
      </c>
      <c r="AO152" t="s">
        <v>299</v>
      </c>
      <c r="AP152" t="s">
        <v>388</v>
      </c>
      <c r="AQ152" t="s">
        <v>3200</v>
      </c>
      <c r="AR152" t="s">
        <v>2071</v>
      </c>
      <c r="AS152" t="s">
        <v>1057</v>
      </c>
      <c r="AT152" t="s">
        <v>1819</v>
      </c>
      <c r="AU152" t="s">
        <v>305</v>
      </c>
      <c r="AV152"/>
      <c r="AW152" t="s">
        <v>332</v>
      </c>
      <c r="AX152" t="s">
        <v>333</v>
      </c>
      <c r="AY152" t="s">
        <v>444</v>
      </c>
      <c r="AZ152" t="s">
        <v>445</v>
      </c>
      <c r="BA152" t="s">
        <v>545</v>
      </c>
      <c r="BB152" t="s">
        <v>546</v>
      </c>
      <c r="BC152" t="s">
        <v>669</v>
      </c>
      <c r="BD152" t="s">
        <v>1339</v>
      </c>
      <c r="BE152" t="s">
        <v>3201</v>
      </c>
      <c r="BF152" t="s">
        <v>314</v>
      </c>
      <c r="BG152"/>
      <c r="BH152"/>
      <c r="BI152"/>
      <c r="BJ152"/>
      <c r="BK152"/>
      <c r="BL152"/>
      <c r="BM152" t="s">
        <v>305</v>
      </c>
      <c r="BN152" t="s">
        <v>354</v>
      </c>
      <c r="BO152" t="s">
        <v>3202</v>
      </c>
      <c r="BP152" t="s">
        <v>3203</v>
      </c>
      <c r="BQ152"/>
      <c r="BR152">
        <v>5.6</v>
      </c>
      <c r="BS152">
        <v>7.6</v>
      </c>
      <c r="BT152">
        <v>7.5</v>
      </c>
      <c r="BU152">
        <v>8.6999999999999993</v>
      </c>
      <c r="BV152">
        <v>8.6999999999999993</v>
      </c>
      <c r="BW152">
        <v>0</v>
      </c>
      <c r="BX152">
        <v>7.8</v>
      </c>
      <c r="BY152">
        <v>7.8</v>
      </c>
      <c r="BZ152">
        <v>7</v>
      </c>
      <c r="CA152">
        <v>7.5</v>
      </c>
      <c r="CB152">
        <v>8.6999999999999993</v>
      </c>
      <c r="CC152">
        <v>8.3000000000000007</v>
      </c>
      <c r="CD152">
        <v>0</v>
      </c>
      <c r="CE152">
        <v>8.9</v>
      </c>
      <c r="CF152">
        <v>0</v>
      </c>
      <c r="CG152">
        <v>0</v>
      </c>
      <c r="CH152">
        <v>0</v>
      </c>
      <c r="CI152">
        <v>0</v>
      </c>
      <c r="CJ152">
        <v>0</v>
      </c>
      <c r="CK152">
        <v>0</v>
      </c>
      <c r="CL152">
        <v>0</v>
      </c>
      <c r="CM152">
        <v>6.3</v>
      </c>
      <c r="CN152">
        <v>7.9</v>
      </c>
      <c r="CO152">
        <v>7.3</v>
      </c>
      <c r="CP152">
        <v>8.6999999999999993</v>
      </c>
      <c r="CQ152">
        <v>8.1999999999999993</v>
      </c>
      <c r="CR152">
        <v>0</v>
      </c>
      <c r="CS152">
        <v>8.1999999999999993</v>
      </c>
      <c r="CT152">
        <v>6.7</v>
      </c>
      <c r="CU152">
        <v>6.1</v>
      </c>
      <c r="CV152">
        <v>8</v>
      </c>
      <c r="CW152">
        <v>9</v>
      </c>
      <c r="CX152">
        <v>7.9</v>
      </c>
      <c r="CY152">
        <v>0</v>
      </c>
      <c r="CZ152">
        <v>9.4</v>
      </c>
      <c r="DA152">
        <v>0</v>
      </c>
      <c r="DB152">
        <v>0</v>
      </c>
      <c r="DC152">
        <v>0</v>
      </c>
      <c r="DD152">
        <v>0</v>
      </c>
      <c r="DE152">
        <v>0</v>
      </c>
      <c r="DF152">
        <v>0</v>
      </c>
      <c r="DG152">
        <v>0</v>
      </c>
      <c r="DH152">
        <v>6.5</v>
      </c>
      <c r="DI152">
        <v>7.7</v>
      </c>
      <c r="DJ152">
        <v>7.7</v>
      </c>
      <c r="DK152">
        <v>9.4</v>
      </c>
      <c r="DL152">
        <v>8.4</v>
      </c>
      <c r="DM152">
        <v>0</v>
      </c>
      <c r="DN152">
        <v>8.1999999999999993</v>
      </c>
      <c r="DO152">
        <v>5.9</v>
      </c>
      <c r="DP152">
        <v>6.3</v>
      </c>
      <c r="DQ152">
        <v>8.4</v>
      </c>
      <c r="DR152">
        <v>7.6</v>
      </c>
      <c r="DS152">
        <v>9.1999999999999993</v>
      </c>
      <c r="DT152">
        <v>0</v>
      </c>
      <c r="DU152">
        <v>7.6</v>
      </c>
      <c r="DV152">
        <v>0</v>
      </c>
      <c r="DW152">
        <v>0</v>
      </c>
      <c r="DX152">
        <v>0</v>
      </c>
      <c r="DY152">
        <v>0</v>
      </c>
      <c r="DZ152">
        <v>0</v>
      </c>
      <c r="EA152">
        <v>0</v>
      </c>
      <c r="EB152">
        <v>0</v>
      </c>
      <c r="EC152">
        <v>6</v>
      </c>
      <c r="ED152">
        <v>6.25</v>
      </c>
      <c r="EE152">
        <v>4.75</v>
      </c>
      <c r="EF152"/>
      <c r="EG152"/>
      <c r="EH152"/>
      <c r="EI152"/>
      <c r="EJ152"/>
      <c r="EK152"/>
      <c r="EL152"/>
      <c r="EM152"/>
      <c r="EN152"/>
      <c r="EO152"/>
      <c r="EP152"/>
      <c r="EQ152"/>
      <c r="ER152"/>
      <c r="ES152"/>
      <c r="ET152"/>
      <c r="EU152"/>
      <c r="EV152"/>
      <c r="EW152"/>
      <c r="EX152"/>
      <c r="EY152"/>
      <c r="EZ152"/>
      <c r="FA152"/>
      <c r="FB152"/>
      <c r="FC152"/>
      <c r="FD152"/>
    </row>
    <row r="153" spans="1:160" x14ac:dyDescent="0.25">
      <c r="A153" s="1" t="str">
        <f t="shared" si="2"/>
        <v>083308007749</v>
      </c>
      <c r="B153" t="s">
        <v>3204</v>
      </c>
      <c r="C153" t="s">
        <v>3205</v>
      </c>
      <c r="D153" t="s">
        <v>3206</v>
      </c>
      <c r="E153" t="s">
        <v>278</v>
      </c>
      <c r="F153" t="s">
        <v>3207</v>
      </c>
      <c r="G153" t="s">
        <v>3208</v>
      </c>
      <c r="H153" t="s">
        <v>3209</v>
      </c>
      <c r="I153" t="s">
        <v>3188</v>
      </c>
      <c r="J153" t="s">
        <v>3210</v>
      </c>
      <c r="K153" t="s">
        <v>321</v>
      </c>
      <c r="L153"/>
      <c r="M153" t="s">
        <v>287</v>
      </c>
      <c r="N153" t="s">
        <v>288</v>
      </c>
      <c r="O153"/>
      <c r="P153" t="s">
        <v>289</v>
      </c>
      <c r="Q153" t="s">
        <v>3211</v>
      </c>
      <c r="R153" t="s">
        <v>287</v>
      </c>
      <c r="S153" t="s">
        <v>287</v>
      </c>
      <c r="T153" t="s">
        <v>287</v>
      </c>
      <c r="U153" t="s">
        <v>3212</v>
      </c>
      <c r="V153" t="s">
        <v>3213</v>
      </c>
      <c r="W153" t="s">
        <v>3214</v>
      </c>
      <c r="X153" t="s">
        <v>3215</v>
      </c>
      <c r="Y153" t="s">
        <v>3216</v>
      </c>
      <c r="Z153" t="s">
        <v>3217</v>
      </c>
      <c r="AA153" t="s">
        <v>287</v>
      </c>
      <c r="AB153"/>
      <c r="AC153"/>
      <c r="AD153"/>
      <c r="AE153"/>
      <c r="AF153" t="s">
        <v>421</v>
      </c>
      <c r="AG153" t="s">
        <v>439</v>
      </c>
      <c r="AH153" t="s">
        <v>440</v>
      </c>
      <c r="AI153" t="s">
        <v>421</v>
      </c>
      <c r="AJ153" t="s">
        <v>439</v>
      </c>
      <c r="AK153" t="s">
        <v>440</v>
      </c>
      <c r="AL153" t="s">
        <v>421</v>
      </c>
      <c r="AM153" t="s">
        <v>439</v>
      </c>
      <c r="AN153" t="s">
        <v>440</v>
      </c>
      <c r="AO153" t="s">
        <v>299</v>
      </c>
      <c r="AP153" t="s">
        <v>348</v>
      </c>
      <c r="AQ153" t="s">
        <v>892</v>
      </c>
      <c r="AR153" t="s">
        <v>368</v>
      </c>
      <c r="AS153" t="s">
        <v>3218</v>
      </c>
      <c r="AT153" t="s">
        <v>3065</v>
      </c>
      <c r="AU153" t="s">
        <v>305</v>
      </c>
      <c r="AV153"/>
      <c r="AW153" t="s">
        <v>332</v>
      </c>
      <c r="AX153" t="s">
        <v>333</v>
      </c>
      <c r="AY153" t="s">
        <v>308</v>
      </c>
      <c r="AZ153" t="s">
        <v>309</v>
      </c>
      <c r="BA153"/>
      <c r="BB153"/>
      <c r="BC153" t="s">
        <v>312</v>
      </c>
      <c r="BD153" t="s">
        <v>353</v>
      </c>
      <c r="BE153" t="s">
        <v>1929</v>
      </c>
      <c r="BF153" t="s">
        <v>314</v>
      </c>
      <c r="BG153"/>
      <c r="BH153"/>
      <c r="BI153"/>
      <c r="BJ153"/>
      <c r="BK153"/>
      <c r="BL153"/>
      <c r="BM153" t="s">
        <v>305</v>
      </c>
      <c r="BN153" t="s">
        <v>354</v>
      </c>
      <c r="BO153" t="s">
        <v>3219</v>
      </c>
      <c r="BP153" t="s">
        <v>3220</v>
      </c>
      <c r="BQ153"/>
      <c r="BR153">
        <v>9.1999999999999993</v>
      </c>
      <c r="BS153">
        <v>7.4</v>
      </c>
      <c r="BT153">
        <v>9.6999999999999993</v>
      </c>
      <c r="BU153">
        <v>8.6</v>
      </c>
      <c r="BV153">
        <v>8.6</v>
      </c>
      <c r="BW153">
        <v>8.9</v>
      </c>
      <c r="BX153">
        <v>7.6</v>
      </c>
      <c r="BY153">
        <v>8.9</v>
      </c>
      <c r="BZ153">
        <v>0</v>
      </c>
      <c r="CA153">
        <v>0</v>
      </c>
      <c r="CB153">
        <v>0</v>
      </c>
      <c r="CC153">
        <v>7.2</v>
      </c>
      <c r="CD153">
        <v>0</v>
      </c>
      <c r="CE153">
        <v>0</v>
      </c>
      <c r="CF153">
        <v>0</v>
      </c>
      <c r="CG153">
        <v>0</v>
      </c>
      <c r="CH153">
        <v>0</v>
      </c>
      <c r="CI153">
        <v>0</v>
      </c>
      <c r="CJ153">
        <v>0</v>
      </c>
      <c r="CK153">
        <v>0</v>
      </c>
      <c r="CL153">
        <v>0</v>
      </c>
      <c r="CM153">
        <v>9.8000000000000007</v>
      </c>
      <c r="CN153">
        <v>8.3000000000000007</v>
      </c>
      <c r="CO153">
        <v>9.9</v>
      </c>
      <c r="CP153">
        <v>9.1999999999999993</v>
      </c>
      <c r="CQ153">
        <v>9.4</v>
      </c>
      <c r="CR153">
        <v>9.6999999999999993</v>
      </c>
      <c r="CS153">
        <v>9.6</v>
      </c>
      <c r="CT153">
        <v>9.6</v>
      </c>
      <c r="CU153">
        <v>0</v>
      </c>
      <c r="CV153">
        <v>0</v>
      </c>
      <c r="CW153">
        <v>0</v>
      </c>
      <c r="CX153">
        <v>9.6999999999999993</v>
      </c>
      <c r="CY153">
        <v>0</v>
      </c>
      <c r="CZ153">
        <v>0</v>
      </c>
      <c r="DA153">
        <v>0</v>
      </c>
      <c r="DB153">
        <v>0</v>
      </c>
      <c r="DC153">
        <v>0</v>
      </c>
      <c r="DD153">
        <v>0</v>
      </c>
      <c r="DE153">
        <v>0</v>
      </c>
      <c r="DF153">
        <v>0</v>
      </c>
      <c r="DG153">
        <v>0</v>
      </c>
      <c r="DH153">
        <v>9.6999999999999993</v>
      </c>
      <c r="DI153">
        <v>8</v>
      </c>
      <c r="DJ153">
        <v>9.9</v>
      </c>
      <c r="DK153">
        <v>9.4</v>
      </c>
      <c r="DL153">
        <v>9.6</v>
      </c>
      <c r="DM153">
        <v>9.6999999999999993</v>
      </c>
      <c r="DN153">
        <v>9</v>
      </c>
      <c r="DO153">
        <v>9.8000000000000007</v>
      </c>
      <c r="DP153">
        <v>0</v>
      </c>
      <c r="DQ153">
        <v>0</v>
      </c>
      <c r="DR153">
        <v>0</v>
      </c>
      <c r="DS153">
        <v>9.5</v>
      </c>
      <c r="DT153">
        <v>0</v>
      </c>
      <c r="DU153">
        <v>0</v>
      </c>
      <c r="DV153">
        <v>0</v>
      </c>
      <c r="DW153">
        <v>0</v>
      </c>
      <c r="DX153">
        <v>0</v>
      </c>
      <c r="DY153">
        <v>0</v>
      </c>
      <c r="DZ153">
        <v>0</v>
      </c>
      <c r="EA153">
        <v>0</v>
      </c>
      <c r="EB153">
        <v>0</v>
      </c>
      <c r="EC153">
        <v>8.5</v>
      </c>
      <c r="ED153">
        <v>5.5</v>
      </c>
      <c r="EE153">
        <v>7.75</v>
      </c>
      <c r="EF153"/>
      <c r="EG153"/>
      <c r="EH153">
        <v>7.25</v>
      </c>
      <c r="EI153"/>
      <c r="EJ153"/>
      <c r="EK153"/>
      <c r="EL153"/>
      <c r="EM153"/>
      <c r="EN153"/>
      <c r="EO153"/>
      <c r="EP153"/>
      <c r="EQ153"/>
      <c r="ER153"/>
      <c r="ES153"/>
      <c r="ET153"/>
      <c r="EU153"/>
      <c r="EV153"/>
      <c r="EW153"/>
      <c r="EX153"/>
      <c r="EY153"/>
      <c r="EZ153"/>
      <c r="FA153"/>
      <c r="FB153"/>
      <c r="FC153"/>
      <c r="FD153"/>
    </row>
    <row r="154" spans="1:160" x14ac:dyDescent="0.25">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row>
    <row r="155" spans="1:160" x14ac:dyDescent="0.2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row>
    <row r="156" spans="1:160" x14ac:dyDescent="0.25">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row>
    <row r="157" spans="1:160" x14ac:dyDescent="0.25">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row>
    <row r="158" spans="1:160" x14ac:dyDescent="0.25">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row>
    <row r="159" spans="1:160" x14ac:dyDescent="0.25">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row>
    <row r="160" spans="1:160" x14ac:dyDescent="0.25">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row>
    <row r="161" spans="2:160" x14ac:dyDescent="0.25">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row>
    <row r="162" spans="2:160" x14ac:dyDescent="0.25">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row>
    <row r="163" spans="2:160" x14ac:dyDescent="0.25">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row>
    <row r="164" spans="2:160" x14ac:dyDescent="0.25">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row>
    <row r="165" spans="2:160" x14ac:dyDescent="0.2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row>
    <row r="166" spans="2:160" x14ac:dyDescent="0.25">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row>
    <row r="167" spans="2:160" x14ac:dyDescent="0.25">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row>
    <row r="168" spans="2:160" x14ac:dyDescent="0.25">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row>
    <row r="169" spans="2:160" x14ac:dyDescent="0.25">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row>
    <row r="170" spans="2:160" x14ac:dyDescent="0.25">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row>
    <row r="171" spans="2:160" x14ac:dyDescent="0.25">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row>
    <row r="172" spans="2:160" x14ac:dyDescent="0.25">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row>
    <row r="173" spans="2:160" x14ac:dyDescent="0.25">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row>
    <row r="174" spans="2:160" x14ac:dyDescent="0.25">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row>
    <row r="175" spans="2:160" x14ac:dyDescent="0.2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row>
    <row r="176" spans="2:160" x14ac:dyDescent="0.25">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row>
    <row r="177" spans="2:160" x14ac:dyDescent="0.25">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row>
    <row r="178" spans="2:160" x14ac:dyDescent="0.25">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row>
    <row r="179" spans="2:160" x14ac:dyDescent="0.25">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row>
    <row r="180" spans="2:160" x14ac:dyDescent="0.25">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row>
    <row r="181" spans="2:160" x14ac:dyDescent="0.25">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row>
    <row r="182" spans="2:160" x14ac:dyDescent="0.25">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row>
    <row r="183" spans="2:160" x14ac:dyDescent="0.25">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row>
    <row r="184" spans="2:160" x14ac:dyDescent="0.25">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row>
    <row r="185" spans="2:160" x14ac:dyDescent="0.2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row>
    <row r="186" spans="2:160" x14ac:dyDescent="0.25">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row>
    <row r="187" spans="2:160" x14ac:dyDescent="0.25">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row>
    <row r="188" spans="2:160" x14ac:dyDescent="0.25">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row>
    <row r="189" spans="2:160" x14ac:dyDescent="0.25">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row>
    <row r="190" spans="2:160" x14ac:dyDescent="0.25">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row>
    <row r="191" spans="2:160" x14ac:dyDescent="0.25">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row>
    <row r="192" spans="2:160" x14ac:dyDescent="0.25">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row>
    <row r="193" spans="2:160" x14ac:dyDescent="0.25">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row>
    <row r="194" spans="2:160" x14ac:dyDescent="0.25">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row>
    <row r="195" spans="2:160" x14ac:dyDescent="0.2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row>
    <row r="196" spans="2:160" x14ac:dyDescent="0.25">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row>
    <row r="197" spans="2:160" x14ac:dyDescent="0.25">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row>
    <row r="198" spans="2:160" x14ac:dyDescent="0.25">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row>
    <row r="199" spans="2:160" x14ac:dyDescent="0.25">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row>
    <row r="200" spans="2:160" x14ac:dyDescent="0.25">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row>
    <row r="201" spans="2:160" x14ac:dyDescent="0.25">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row>
    <row r="202" spans="2:160" x14ac:dyDescent="0.25">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row>
    <row r="203" spans="2:160" x14ac:dyDescent="0.25">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row>
    <row r="204" spans="2:160" x14ac:dyDescent="0.25">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row>
    <row r="205" spans="2:160" x14ac:dyDescent="0.2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row>
    <row r="206" spans="2:160" x14ac:dyDescent="0.25">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row>
    <row r="207" spans="2:160" x14ac:dyDescent="0.25">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row>
    <row r="208" spans="2:160" x14ac:dyDescent="0.25">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row>
    <row r="209" spans="2:160" x14ac:dyDescent="0.25">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row>
    <row r="210" spans="2:160" x14ac:dyDescent="0.25">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row>
    <row r="211" spans="2:160" x14ac:dyDescent="0.25">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row>
    <row r="212" spans="2:160" x14ac:dyDescent="0.25">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row>
    <row r="213" spans="2:160" x14ac:dyDescent="0.25">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row>
    <row r="214" spans="2:160" x14ac:dyDescent="0.25">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row>
    <row r="215" spans="2:160" x14ac:dyDescent="0.2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row>
    <row r="216" spans="2:160" x14ac:dyDescent="0.25">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row>
    <row r="217" spans="2:160" x14ac:dyDescent="0.25">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row>
    <row r="218" spans="2:160" x14ac:dyDescent="0.25">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row>
    <row r="219" spans="2:160" x14ac:dyDescent="0.25">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row>
    <row r="220" spans="2:160" x14ac:dyDescent="0.25">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row>
    <row r="221" spans="2:160" x14ac:dyDescent="0.25">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row>
    <row r="222" spans="2:160" x14ac:dyDescent="0.25">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row>
    <row r="223" spans="2:160" x14ac:dyDescent="0.25">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row>
    <row r="224" spans="2:160" x14ac:dyDescent="0.25">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row>
    <row r="225" spans="2:160" x14ac:dyDescent="0.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row>
    <row r="226" spans="2:160" x14ac:dyDescent="0.25">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row>
    <row r="227" spans="2:160" x14ac:dyDescent="0.25">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row>
    <row r="228" spans="2:160" x14ac:dyDescent="0.25">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row>
    <row r="229" spans="2:160" x14ac:dyDescent="0.25">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row>
    <row r="230" spans="2:160" x14ac:dyDescent="0.25">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row>
    <row r="231" spans="2:160" x14ac:dyDescent="0.25">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row>
    <row r="232" spans="2:160" x14ac:dyDescent="0.25">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row>
    <row r="233" spans="2:160" x14ac:dyDescent="0.25">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row>
    <row r="234" spans="2:160" x14ac:dyDescent="0.25">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row>
    <row r="235" spans="2:160" x14ac:dyDescent="0.2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row>
    <row r="236" spans="2:160" x14ac:dyDescent="0.25">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row>
    <row r="237" spans="2:160" x14ac:dyDescent="0.25">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row>
    <row r="238" spans="2:160" x14ac:dyDescent="0.25">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row>
    <row r="239" spans="2:160" x14ac:dyDescent="0.25">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row>
    <row r="240" spans="2:160" x14ac:dyDescent="0.25">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row>
    <row r="241" spans="2:160" x14ac:dyDescent="0.25">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row>
    <row r="242" spans="2:160" x14ac:dyDescent="0.25">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row>
    <row r="243" spans="2:160" x14ac:dyDescent="0.25">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row>
    <row r="244" spans="2:160" x14ac:dyDescent="0.25">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row>
    <row r="245" spans="2:160" x14ac:dyDescent="0.2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row>
    <row r="246" spans="2:160" x14ac:dyDescent="0.25">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row>
    <row r="247" spans="2:160" x14ac:dyDescent="0.25">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row>
    <row r="248" spans="2:160" x14ac:dyDescent="0.25">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row>
    <row r="249" spans="2:160" x14ac:dyDescent="0.25">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row>
    <row r="250" spans="2:160" x14ac:dyDescent="0.25">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row>
    <row r="251" spans="2:160" x14ac:dyDescent="0.25">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row>
    <row r="252" spans="2:160" x14ac:dyDescent="0.25">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row>
    <row r="253" spans="2:160" x14ac:dyDescent="0.25">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row>
    <row r="254" spans="2:160" x14ac:dyDescent="0.25">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row>
    <row r="255" spans="2:160" x14ac:dyDescent="0.2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row>
    <row r="256" spans="2:160" x14ac:dyDescent="0.25">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row>
    <row r="257" spans="2:160" x14ac:dyDescent="0.25">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row>
    <row r="258" spans="2:160" x14ac:dyDescent="0.25">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row>
    <row r="259" spans="2:160" x14ac:dyDescent="0.25">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row>
    <row r="260" spans="2:160" x14ac:dyDescent="0.25">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row>
    <row r="261" spans="2:160" x14ac:dyDescent="0.25">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row>
    <row r="262" spans="2:160" x14ac:dyDescent="0.25">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row>
    <row r="263" spans="2:160" x14ac:dyDescent="0.25">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row>
    <row r="264" spans="2:160" x14ac:dyDescent="0.25">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row>
    <row r="265" spans="2:160" x14ac:dyDescent="0.2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row>
    <row r="266" spans="2:160" x14ac:dyDescent="0.25">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row>
    <row r="267" spans="2:160" x14ac:dyDescent="0.25">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row>
    <row r="268" spans="2:160" x14ac:dyDescent="0.25">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row>
  </sheetData>
  <autoFilter ref="A2:FD229" xr:uid="{B432B6F7-B073-4EE2-927B-5C62D174A6E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9A0CD-8D9E-4191-A181-64044BEC6FF5}">
  <dimension ref="A1:BX150"/>
  <sheetViews>
    <sheetView topLeftCell="AL1" zoomScaleNormal="100" workbookViewId="0">
      <pane ySplit="2" topLeftCell="A3" activePane="bottomLeft" state="frozenSplit"/>
      <selection pane="bottomLeft" sqref="A1:BX1"/>
    </sheetView>
  </sheetViews>
  <sheetFormatPr defaultRowHeight="15" x14ac:dyDescent="0.25"/>
  <cols>
    <col min="1" max="1" width="9.140625" style="61"/>
    <col min="2" max="3" width="6.42578125" style="61" customWidth="1"/>
    <col min="4" max="4" width="10.5703125" style="61" customWidth="1"/>
    <col min="5" max="5" width="10.7109375" style="61" customWidth="1"/>
    <col min="6" max="6" width="14.85546875" style="61" customWidth="1"/>
    <col min="7" max="7" width="16" style="61" customWidth="1"/>
    <col min="8" max="8" width="28" style="61" customWidth="1"/>
    <col min="9" max="9" width="12.7109375" style="61" customWidth="1"/>
    <col min="10" max="11" width="9.7109375" style="61" customWidth="1"/>
    <col min="12" max="12" width="14.85546875" style="61" customWidth="1"/>
    <col min="13" max="13" width="28.5703125" style="61" customWidth="1"/>
    <col min="14" max="14" width="9.140625" style="61"/>
    <col min="15" max="15" width="13.42578125" style="61" customWidth="1"/>
    <col min="16" max="17" width="9.140625" style="61"/>
    <col min="18" max="18" width="13.140625" style="61" customWidth="1"/>
    <col min="19" max="21" width="18.42578125" style="61" customWidth="1"/>
    <col min="22" max="22" width="10.85546875" style="61" customWidth="1"/>
    <col min="23" max="23" width="9.140625" style="61"/>
    <col min="24" max="24" width="16.5703125" style="61" customWidth="1"/>
    <col min="25" max="25" width="22.5703125" style="61" customWidth="1"/>
    <col min="26" max="27" width="9.140625" style="61"/>
    <col min="28" max="28" width="18.42578125" style="61" customWidth="1"/>
    <col min="29" max="40" width="9.140625" style="61"/>
    <col min="41" max="41" width="7.85546875" style="61" customWidth="1"/>
    <col min="42" max="42" width="39.42578125" style="61" customWidth="1"/>
    <col min="43" max="43" width="42.7109375" style="61" customWidth="1"/>
    <col min="44" max="44" width="14.7109375" style="61" customWidth="1"/>
    <col min="45" max="45" width="16.7109375" style="61" customWidth="1"/>
    <col min="46" max="46" width="19.28515625" style="61" customWidth="1"/>
    <col min="47" max="257" width="9.140625" style="61"/>
    <col min="258" max="259" width="6.42578125" style="61" customWidth="1"/>
    <col min="260" max="260" width="10.5703125" style="61" customWidth="1"/>
    <col min="261" max="261" width="10.7109375" style="61" customWidth="1"/>
    <col min="262" max="262" width="14.85546875" style="61" customWidth="1"/>
    <col min="263" max="263" width="16" style="61" customWidth="1"/>
    <col min="264" max="264" width="28" style="61" customWidth="1"/>
    <col min="265" max="265" width="12.7109375" style="61" customWidth="1"/>
    <col min="266" max="267" width="9.7109375" style="61" customWidth="1"/>
    <col min="268" max="268" width="14.85546875" style="61" customWidth="1"/>
    <col min="269" max="269" width="28.5703125" style="61" customWidth="1"/>
    <col min="270" max="270" width="9.140625" style="61"/>
    <col min="271" max="271" width="13.42578125" style="61" customWidth="1"/>
    <col min="272" max="273" width="9.140625" style="61"/>
    <col min="274" max="274" width="13.140625" style="61" customWidth="1"/>
    <col min="275" max="277" width="18.42578125" style="61" customWidth="1"/>
    <col min="278" max="278" width="10.85546875" style="61" customWidth="1"/>
    <col min="279" max="279" width="9.140625" style="61"/>
    <col min="280" max="280" width="16.5703125" style="61" customWidth="1"/>
    <col min="281" max="281" width="22.5703125" style="61" customWidth="1"/>
    <col min="282" max="283" width="9.140625" style="61"/>
    <col min="284" max="284" width="18.42578125" style="61" customWidth="1"/>
    <col min="285" max="296" width="9.140625" style="61"/>
    <col min="297" max="297" width="7.85546875" style="61" customWidth="1"/>
    <col min="298" max="298" width="39.42578125" style="61" customWidth="1"/>
    <col min="299" max="299" width="42.7109375" style="61" customWidth="1"/>
    <col min="300" max="300" width="14.7109375" style="61" customWidth="1"/>
    <col min="301" max="301" width="16.7109375" style="61" customWidth="1"/>
    <col min="302" max="302" width="19.28515625" style="61" customWidth="1"/>
    <col min="303" max="513" width="9.140625" style="61"/>
    <col min="514" max="515" width="6.42578125" style="61" customWidth="1"/>
    <col min="516" max="516" width="10.5703125" style="61" customWidth="1"/>
    <col min="517" max="517" width="10.7109375" style="61" customWidth="1"/>
    <col min="518" max="518" width="14.85546875" style="61" customWidth="1"/>
    <col min="519" max="519" width="16" style="61" customWidth="1"/>
    <col min="520" max="520" width="28" style="61" customWidth="1"/>
    <col min="521" max="521" width="12.7109375" style="61" customWidth="1"/>
    <col min="522" max="523" width="9.7109375" style="61" customWidth="1"/>
    <col min="524" max="524" width="14.85546875" style="61" customWidth="1"/>
    <col min="525" max="525" width="28.5703125" style="61" customWidth="1"/>
    <col min="526" max="526" width="9.140625" style="61"/>
    <col min="527" max="527" width="13.42578125" style="61" customWidth="1"/>
    <col min="528" max="529" width="9.140625" style="61"/>
    <col min="530" max="530" width="13.140625" style="61" customWidth="1"/>
    <col min="531" max="533" width="18.42578125" style="61" customWidth="1"/>
    <col min="534" max="534" width="10.85546875" style="61" customWidth="1"/>
    <col min="535" max="535" width="9.140625" style="61"/>
    <col min="536" max="536" width="16.5703125" style="61" customWidth="1"/>
    <col min="537" max="537" width="22.5703125" style="61" customWidth="1"/>
    <col min="538" max="539" width="9.140625" style="61"/>
    <col min="540" max="540" width="18.42578125" style="61" customWidth="1"/>
    <col min="541" max="552" width="9.140625" style="61"/>
    <col min="553" max="553" width="7.85546875" style="61" customWidth="1"/>
    <col min="554" max="554" width="39.42578125" style="61" customWidth="1"/>
    <col min="555" max="555" width="42.7109375" style="61" customWidth="1"/>
    <col min="556" max="556" width="14.7109375" style="61" customWidth="1"/>
    <col min="557" max="557" width="16.7109375" style="61" customWidth="1"/>
    <col min="558" max="558" width="19.28515625" style="61" customWidth="1"/>
    <col min="559" max="769" width="9.140625" style="61"/>
    <col min="770" max="771" width="6.42578125" style="61" customWidth="1"/>
    <col min="772" max="772" width="10.5703125" style="61" customWidth="1"/>
    <col min="773" max="773" width="10.7109375" style="61" customWidth="1"/>
    <col min="774" max="774" width="14.85546875" style="61" customWidth="1"/>
    <col min="775" max="775" width="16" style="61" customWidth="1"/>
    <col min="776" max="776" width="28" style="61" customWidth="1"/>
    <col min="777" max="777" width="12.7109375" style="61" customWidth="1"/>
    <col min="778" max="779" width="9.7109375" style="61" customWidth="1"/>
    <col min="780" max="780" width="14.85546875" style="61" customWidth="1"/>
    <col min="781" max="781" width="28.5703125" style="61" customWidth="1"/>
    <col min="782" max="782" width="9.140625" style="61"/>
    <col min="783" max="783" width="13.42578125" style="61" customWidth="1"/>
    <col min="784" max="785" width="9.140625" style="61"/>
    <col min="786" max="786" width="13.140625" style="61" customWidth="1"/>
    <col min="787" max="789" width="18.42578125" style="61" customWidth="1"/>
    <col min="790" max="790" width="10.85546875" style="61" customWidth="1"/>
    <col min="791" max="791" width="9.140625" style="61"/>
    <col min="792" max="792" width="16.5703125" style="61" customWidth="1"/>
    <col min="793" max="793" width="22.5703125" style="61" customWidth="1"/>
    <col min="794" max="795" width="9.140625" style="61"/>
    <col min="796" max="796" width="18.42578125" style="61" customWidth="1"/>
    <col min="797" max="808" width="9.140625" style="61"/>
    <col min="809" max="809" width="7.85546875" style="61" customWidth="1"/>
    <col min="810" max="810" width="39.42578125" style="61" customWidth="1"/>
    <col min="811" max="811" width="42.7109375" style="61" customWidth="1"/>
    <col min="812" max="812" width="14.7109375" style="61" customWidth="1"/>
    <col min="813" max="813" width="16.7109375" style="61" customWidth="1"/>
    <col min="814" max="814" width="19.28515625" style="61" customWidth="1"/>
    <col min="815" max="1025" width="9.140625" style="61"/>
    <col min="1026" max="1027" width="6.42578125" style="61" customWidth="1"/>
    <col min="1028" max="1028" width="10.5703125" style="61" customWidth="1"/>
    <col min="1029" max="1029" width="10.7109375" style="61" customWidth="1"/>
    <col min="1030" max="1030" width="14.85546875" style="61" customWidth="1"/>
    <col min="1031" max="1031" width="16" style="61" customWidth="1"/>
    <col min="1032" max="1032" width="28" style="61" customWidth="1"/>
    <col min="1033" max="1033" width="12.7109375" style="61" customWidth="1"/>
    <col min="1034" max="1035" width="9.7109375" style="61" customWidth="1"/>
    <col min="1036" max="1036" width="14.85546875" style="61" customWidth="1"/>
    <col min="1037" max="1037" width="28.5703125" style="61" customWidth="1"/>
    <col min="1038" max="1038" width="9.140625" style="61"/>
    <col min="1039" max="1039" width="13.42578125" style="61" customWidth="1"/>
    <col min="1040" max="1041" width="9.140625" style="61"/>
    <col min="1042" max="1042" width="13.140625" style="61" customWidth="1"/>
    <col min="1043" max="1045" width="18.42578125" style="61" customWidth="1"/>
    <col min="1046" max="1046" width="10.85546875" style="61" customWidth="1"/>
    <col min="1047" max="1047" width="9.140625" style="61"/>
    <col min="1048" max="1048" width="16.5703125" style="61" customWidth="1"/>
    <col min="1049" max="1049" width="22.5703125" style="61" customWidth="1"/>
    <col min="1050" max="1051" width="9.140625" style="61"/>
    <col min="1052" max="1052" width="18.42578125" style="61" customWidth="1"/>
    <col min="1053" max="1064" width="9.140625" style="61"/>
    <col min="1065" max="1065" width="7.85546875" style="61" customWidth="1"/>
    <col min="1066" max="1066" width="39.42578125" style="61" customWidth="1"/>
    <col min="1067" max="1067" width="42.7109375" style="61" customWidth="1"/>
    <col min="1068" max="1068" width="14.7109375" style="61" customWidth="1"/>
    <col min="1069" max="1069" width="16.7109375" style="61" customWidth="1"/>
    <col min="1070" max="1070" width="19.28515625" style="61" customWidth="1"/>
    <col min="1071" max="1281" width="9.140625" style="61"/>
    <col min="1282" max="1283" width="6.42578125" style="61" customWidth="1"/>
    <col min="1284" max="1284" width="10.5703125" style="61" customWidth="1"/>
    <col min="1285" max="1285" width="10.7109375" style="61" customWidth="1"/>
    <col min="1286" max="1286" width="14.85546875" style="61" customWidth="1"/>
    <col min="1287" max="1287" width="16" style="61" customWidth="1"/>
    <col min="1288" max="1288" width="28" style="61" customWidth="1"/>
    <col min="1289" max="1289" width="12.7109375" style="61" customWidth="1"/>
    <col min="1290" max="1291" width="9.7109375" style="61" customWidth="1"/>
    <col min="1292" max="1292" width="14.85546875" style="61" customWidth="1"/>
    <col min="1293" max="1293" width="28.5703125" style="61" customWidth="1"/>
    <col min="1294" max="1294" width="9.140625" style="61"/>
    <col min="1295" max="1295" width="13.42578125" style="61" customWidth="1"/>
    <col min="1296" max="1297" width="9.140625" style="61"/>
    <col min="1298" max="1298" width="13.140625" style="61" customWidth="1"/>
    <col min="1299" max="1301" width="18.42578125" style="61" customWidth="1"/>
    <col min="1302" max="1302" width="10.85546875" style="61" customWidth="1"/>
    <col min="1303" max="1303" width="9.140625" style="61"/>
    <col min="1304" max="1304" width="16.5703125" style="61" customWidth="1"/>
    <col min="1305" max="1305" width="22.5703125" style="61" customWidth="1"/>
    <col min="1306" max="1307" width="9.140625" style="61"/>
    <col min="1308" max="1308" width="18.42578125" style="61" customWidth="1"/>
    <col min="1309" max="1320" width="9.140625" style="61"/>
    <col min="1321" max="1321" width="7.85546875" style="61" customWidth="1"/>
    <col min="1322" max="1322" width="39.42578125" style="61" customWidth="1"/>
    <col min="1323" max="1323" width="42.7109375" style="61" customWidth="1"/>
    <col min="1324" max="1324" width="14.7109375" style="61" customWidth="1"/>
    <col min="1325" max="1325" width="16.7109375" style="61" customWidth="1"/>
    <col min="1326" max="1326" width="19.28515625" style="61" customWidth="1"/>
    <col min="1327" max="1537" width="9.140625" style="61"/>
    <col min="1538" max="1539" width="6.42578125" style="61" customWidth="1"/>
    <col min="1540" max="1540" width="10.5703125" style="61" customWidth="1"/>
    <col min="1541" max="1541" width="10.7109375" style="61" customWidth="1"/>
    <col min="1542" max="1542" width="14.85546875" style="61" customWidth="1"/>
    <col min="1543" max="1543" width="16" style="61" customWidth="1"/>
    <col min="1544" max="1544" width="28" style="61" customWidth="1"/>
    <col min="1545" max="1545" width="12.7109375" style="61" customWidth="1"/>
    <col min="1546" max="1547" width="9.7109375" style="61" customWidth="1"/>
    <col min="1548" max="1548" width="14.85546875" style="61" customWidth="1"/>
    <col min="1549" max="1549" width="28.5703125" style="61" customWidth="1"/>
    <col min="1550" max="1550" width="9.140625" style="61"/>
    <col min="1551" max="1551" width="13.42578125" style="61" customWidth="1"/>
    <col min="1552" max="1553" width="9.140625" style="61"/>
    <col min="1554" max="1554" width="13.140625" style="61" customWidth="1"/>
    <col min="1555" max="1557" width="18.42578125" style="61" customWidth="1"/>
    <col min="1558" max="1558" width="10.85546875" style="61" customWidth="1"/>
    <col min="1559" max="1559" width="9.140625" style="61"/>
    <col min="1560" max="1560" width="16.5703125" style="61" customWidth="1"/>
    <col min="1561" max="1561" width="22.5703125" style="61" customWidth="1"/>
    <col min="1562" max="1563" width="9.140625" style="61"/>
    <col min="1564" max="1564" width="18.42578125" style="61" customWidth="1"/>
    <col min="1565" max="1576" width="9.140625" style="61"/>
    <col min="1577" max="1577" width="7.85546875" style="61" customWidth="1"/>
    <col min="1578" max="1578" width="39.42578125" style="61" customWidth="1"/>
    <col min="1579" max="1579" width="42.7109375" style="61" customWidth="1"/>
    <col min="1580" max="1580" width="14.7109375" style="61" customWidth="1"/>
    <col min="1581" max="1581" width="16.7109375" style="61" customWidth="1"/>
    <col min="1582" max="1582" width="19.28515625" style="61" customWidth="1"/>
    <col min="1583" max="1793" width="9.140625" style="61"/>
    <col min="1794" max="1795" width="6.42578125" style="61" customWidth="1"/>
    <col min="1796" max="1796" width="10.5703125" style="61" customWidth="1"/>
    <col min="1797" max="1797" width="10.7109375" style="61" customWidth="1"/>
    <col min="1798" max="1798" width="14.85546875" style="61" customWidth="1"/>
    <col min="1799" max="1799" width="16" style="61" customWidth="1"/>
    <col min="1800" max="1800" width="28" style="61" customWidth="1"/>
    <col min="1801" max="1801" width="12.7109375" style="61" customWidth="1"/>
    <col min="1802" max="1803" width="9.7109375" style="61" customWidth="1"/>
    <col min="1804" max="1804" width="14.85546875" style="61" customWidth="1"/>
    <col min="1805" max="1805" width="28.5703125" style="61" customWidth="1"/>
    <col min="1806" max="1806" width="9.140625" style="61"/>
    <col min="1807" max="1807" width="13.42578125" style="61" customWidth="1"/>
    <col min="1808" max="1809" width="9.140625" style="61"/>
    <col min="1810" max="1810" width="13.140625" style="61" customWidth="1"/>
    <col min="1811" max="1813" width="18.42578125" style="61" customWidth="1"/>
    <col min="1814" max="1814" width="10.85546875" style="61" customWidth="1"/>
    <col min="1815" max="1815" width="9.140625" style="61"/>
    <col min="1816" max="1816" width="16.5703125" style="61" customWidth="1"/>
    <col min="1817" max="1817" width="22.5703125" style="61" customWidth="1"/>
    <col min="1818" max="1819" width="9.140625" style="61"/>
    <col min="1820" max="1820" width="18.42578125" style="61" customWidth="1"/>
    <col min="1821" max="1832" width="9.140625" style="61"/>
    <col min="1833" max="1833" width="7.85546875" style="61" customWidth="1"/>
    <col min="1834" max="1834" width="39.42578125" style="61" customWidth="1"/>
    <col min="1835" max="1835" width="42.7109375" style="61" customWidth="1"/>
    <col min="1836" max="1836" width="14.7109375" style="61" customWidth="1"/>
    <col min="1837" max="1837" width="16.7109375" style="61" customWidth="1"/>
    <col min="1838" max="1838" width="19.28515625" style="61" customWidth="1"/>
    <col min="1839" max="2049" width="9.140625" style="61"/>
    <col min="2050" max="2051" width="6.42578125" style="61" customWidth="1"/>
    <col min="2052" max="2052" width="10.5703125" style="61" customWidth="1"/>
    <col min="2053" max="2053" width="10.7109375" style="61" customWidth="1"/>
    <col min="2054" max="2054" width="14.85546875" style="61" customWidth="1"/>
    <col min="2055" max="2055" width="16" style="61" customWidth="1"/>
    <col min="2056" max="2056" width="28" style="61" customWidth="1"/>
    <col min="2057" max="2057" width="12.7109375" style="61" customWidth="1"/>
    <col min="2058" max="2059" width="9.7109375" style="61" customWidth="1"/>
    <col min="2060" max="2060" width="14.85546875" style="61" customWidth="1"/>
    <col min="2061" max="2061" width="28.5703125" style="61" customWidth="1"/>
    <col min="2062" max="2062" width="9.140625" style="61"/>
    <col min="2063" max="2063" width="13.42578125" style="61" customWidth="1"/>
    <col min="2064" max="2065" width="9.140625" style="61"/>
    <col min="2066" max="2066" width="13.140625" style="61" customWidth="1"/>
    <col min="2067" max="2069" width="18.42578125" style="61" customWidth="1"/>
    <col min="2070" max="2070" width="10.85546875" style="61" customWidth="1"/>
    <col min="2071" max="2071" width="9.140625" style="61"/>
    <col min="2072" max="2072" width="16.5703125" style="61" customWidth="1"/>
    <col min="2073" max="2073" width="22.5703125" style="61" customWidth="1"/>
    <col min="2074" max="2075" width="9.140625" style="61"/>
    <col min="2076" max="2076" width="18.42578125" style="61" customWidth="1"/>
    <col min="2077" max="2088" width="9.140625" style="61"/>
    <col min="2089" max="2089" width="7.85546875" style="61" customWidth="1"/>
    <col min="2090" max="2090" width="39.42578125" style="61" customWidth="1"/>
    <col min="2091" max="2091" width="42.7109375" style="61" customWidth="1"/>
    <col min="2092" max="2092" width="14.7109375" style="61" customWidth="1"/>
    <col min="2093" max="2093" width="16.7109375" style="61" customWidth="1"/>
    <col min="2094" max="2094" width="19.28515625" style="61" customWidth="1"/>
    <col min="2095" max="2305" width="9.140625" style="61"/>
    <col min="2306" max="2307" width="6.42578125" style="61" customWidth="1"/>
    <col min="2308" max="2308" width="10.5703125" style="61" customWidth="1"/>
    <col min="2309" max="2309" width="10.7109375" style="61" customWidth="1"/>
    <col min="2310" max="2310" width="14.85546875" style="61" customWidth="1"/>
    <col min="2311" max="2311" width="16" style="61" customWidth="1"/>
    <col min="2312" max="2312" width="28" style="61" customWidth="1"/>
    <col min="2313" max="2313" width="12.7109375" style="61" customWidth="1"/>
    <col min="2314" max="2315" width="9.7109375" style="61" customWidth="1"/>
    <col min="2316" max="2316" width="14.85546875" style="61" customWidth="1"/>
    <col min="2317" max="2317" width="28.5703125" style="61" customWidth="1"/>
    <col min="2318" max="2318" width="9.140625" style="61"/>
    <col min="2319" max="2319" width="13.42578125" style="61" customWidth="1"/>
    <col min="2320" max="2321" width="9.140625" style="61"/>
    <col min="2322" max="2322" width="13.140625" style="61" customWidth="1"/>
    <col min="2323" max="2325" width="18.42578125" style="61" customWidth="1"/>
    <col min="2326" max="2326" width="10.85546875" style="61" customWidth="1"/>
    <col min="2327" max="2327" width="9.140625" style="61"/>
    <col min="2328" max="2328" width="16.5703125" style="61" customWidth="1"/>
    <col min="2329" max="2329" width="22.5703125" style="61" customWidth="1"/>
    <col min="2330" max="2331" width="9.140625" style="61"/>
    <col min="2332" max="2332" width="18.42578125" style="61" customWidth="1"/>
    <col min="2333" max="2344" width="9.140625" style="61"/>
    <col min="2345" max="2345" width="7.85546875" style="61" customWidth="1"/>
    <col min="2346" max="2346" width="39.42578125" style="61" customWidth="1"/>
    <col min="2347" max="2347" width="42.7109375" style="61" customWidth="1"/>
    <col min="2348" max="2348" width="14.7109375" style="61" customWidth="1"/>
    <col min="2349" max="2349" width="16.7109375" style="61" customWidth="1"/>
    <col min="2350" max="2350" width="19.28515625" style="61" customWidth="1"/>
    <col min="2351" max="2561" width="9.140625" style="61"/>
    <col min="2562" max="2563" width="6.42578125" style="61" customWidth="1"/>
    <col min="2564" max="2564" width="10.5703125" style="61" customWidth="1"/>
    <col min="2565" max="2565" width="10.7109375" style="61" customWidth="1"/>
    <col min="2566" max="2566" width="14.85546875" style="61" customWidth="1"/>
    <col min="2567" max="2567" width="16" style="61" customWidth="1"/>
    <col min="2568" max="2568" width="28" style="61" customWidth="1"/>
    <col min="2569" max="2569" width="12.7109375" style="61" customWidth="1"/>
    <col min="2570" max="2571" width="9.7109375" style="61" customWidth="1"/>
    <col min="2572" max="2572" width="14.85546875" style="61" customWidth="1"/>
    <col min="2573" max="2573" width="28.5703125" style="61" customWidth="1"/>
    <col min="2574" max="2574" width="9.140625" style="61"/>
    <col min="2575" max="2575" width="13.42578125" style="61" customWidth="1"/>
    <col min="2576" max="2577" width="9.140625" style="61"/>
    <col min="2578" max="2578" width="13.140625" style="61" customWidth="1"/>
    <col min="2579" max="2581" width="18.42578125" style="61" customWidth="1"/>
    <col min="2582" max="2582" width="10.85546875" style="61" customWidth="1"/>
    <col min="2583" max="2583" width="9.140625" style="61"/>
    <col min="2584" max="2584" width="16.5703125" style="61" customWidth="1"/>
    <col min="2585" max="2585" width="22.5703125" style="61" customWidth="1"/>
    <col min="2586" max="2587" width="9.140625" style="61"/>
    <col min="2588" max="2588" width="18.42578125" style="61" customWidth="1"/>
    <col min="2589" max="2600" width="9.140625" style="61"/>
    <col min="2601" max="2601" width="7.85546875" style="61" customWidth="1"/>
    <col min="2602" max="2602" width="39.42578125" style="61" customWidth="1"/>
    <col min="2603" max="2603" width="42.7109375" style="61" customWidth="1"/>
    <col min="2604" max="2604" width="14.7109375" style="61" customWidth="1"/>
    <col min="2605" max="2605" width="16.7109375" style="61" customWidth="1"/>
    <col min="2606" max="2606" width="19.28515625" style="61" customWidth="1"/>
    <col min="2607" max="2817" width="9.140625" style="61"/>
    <col min="2818" max="2819" width="6.42578125" style="61" customWidth="1"/>
    <col min="2820" max="2820" width="10.5703125" style="61" customWidth="1"/>
    <col min="2821" max="2821" width="10.7109375" style="61" customWidth="1"/>
    <col min="2822" max="2822" width="14.85546875" style="61" customWidth="1"/>
    <col min="2823" max="2823" width="16" style="61" customWidth="1"/>
    <col min="2824" max="2824" width="28" style="61" customWidth="1"/>
    <col min="2825" max="2825" width="12.7109375" style="61" customWidth="1"/>
    <col min="2826" max="2827" width="9.7109375" style="61" customWidth="1"/>
    <col min="2828" max="2828" width="14.85546875" style="61" customWidth="1"/>
    <col min="2829" max="2829" width="28.5703125" style="61" customWidth="1"/>
    <col min="2830" max="2830" width="9.140625" style="61"/>
    <col min="2831" max="2831" width="13.42578125" style="61" customWidth="1"/>
    <col min="2832" max="2833" width="9.140625" style="61"/>
    <col min="2834" max="2834" width="13.140625" style="61" customWidth="1"/>
    <col min="2835" max="2837" width="18.42578125" style="61" customWidth="1"/>
    <col min="2838" max="2838" width="10.85546875" style="61" customWidth="1"/>
    <col min="2839" max="2839" width="9.140625" style="61"/>
    <col min="2840" max="2840" width="16.5703125" style="61" customWidth="1"/>
    <col min="2841" max="2841" width="22.5703125" style="61" customWidth="1"/>
    <col min="2842" max="2843" width="9.140625" style="61"/>
    <col min="2844" max="2844" width="18.42578125" style="61" customWidth="1"/>
    <col min="2845" max="2856" width="9.140625" style="61"/>
    <col min="2857" max="2857" width="7.85546875" style="61" customWidth="1"/>
    <col min="2858" max="2858" width="39.42578125" style="61" customWidth="1"/>
    <col min="2859" max="2859" width="42.7109375" style="61" customWidth="1"/>
    <col min="2860" max="2860" width="14.7109375" style="61" customWidth="1"/>
    <col min="2861" max="2861" width="16.7109375" style="61" customWidth="1"/>
    <col min="2862" max="2862" width="19.28515625" style="61" customWidth="1"/>
    <col min="2863" max="3073" width="9.140625" style="61"/>
    <col min="3074" max="3075" width="6.42578125" style="61" customWidth="1"/>
    <col min="3076" max="3076" width="10.5703125" style="61" customWidth="1"/>
    <col min="3077" max="3077" width="10.7109375" style="61" customWidth="1"/>
    <col min="3078" max="3078" width="14.85546875" style="61" customWidth="1"/>
    <col min="3079" max="3079" width="16" style="61" customWidth="1"/>
    <col min="3080" max="3080" width="28" style="61" customWidth="1"/>
    <col min="3081" max="3081" width="12.7109375" style="61" customWidth="1"/>
    <col min="3082" max="3083" width="9.7109375" style="61" customWidth="1"/>
    <col min="3084" max="3084" width="14.85546875" style="61" customWidth="1"/>
    <col min="3085" max="3085" width="28.5703125" style="61" customWidth="1"/>
    <col min="3086" max="3086" width="9.140625" style="61"/>
    <col min="3087" max="3087" width="13.42578125" style="61" customWidth="1"/>
    <col min="3088" max="3089" width="9.140625" style="61"/>
    <col min="3090" max="3090" width="13.140625" style="61" customWidth="1"/>
    <col min="3091" max="3093" width="18.42578125" style="61" customWidth="1"/>
    <col min="3094" max="3094" width="10.85546875" style="61" customWidth="1"/>
    <col min="3095" max="3095" width="9.140625" style="61"/>
    <col min="3096" max="3096" width="16.5703125" style="61" customWidth="1"/>
    <col min="3097" max="3097" width="22.5703125" style="61" customWidth="1"/>
    <col min="3098" max="3099" width="9.140625" style="61"/>
    <col min="3100" max="3100" width="18.42578125" style="61" customWidth="1"/>
    <col min="3101" max="3112" width="9.140625" style="61"/>
    <col min="3113" max="3113" width="7.85546875" style="61" customWidth="1"/>
    <col min="3114" max="3114" width="39.42578125" style="61" customWidth="1"/>
    <col min="3115" max="3115" width="42.7109375" style="61" customWidth="1"/>
    <col min="3116" max="3116" width="14.7109375" style="61" customWidth="1"/>
    <col min="3117" max="3117" width="16.7109375" style="61" customWidth="1"/>
    <col min="3118" max="3118" width="19.28515625" style="61" customWidth="1"/>
    <col min="3119" max="3329" width="9.140625" style="61"/>
    <col min="3330" max="3331" width="6.42578125" style="61" customWidth="1"/>
    <col min="3332" max="3332" width="10.5703125" style="61" customWidth="1"/>
    <col min="3333" max="3333" width="10.7109375" style="61" customWidth="1"/>
    <col min="3334" max="3334" width="14.85546875" style="61" customWidth="1"/>
    <col min="3335" max="3335" width="16" style="61" customWidth="1"/>
    <col min="3336" max="3336" width="28" style="61" customWidth="1"/>
    <col min="3337" max="3337" width="12.7109375" style="61" customWidth="1"/>
    <col min="3338" max="3339" width="9.7109375" style="61" customWidth="1"/>
    <col min="3340" max="3340" width="14.85546875" style="61" customWidth="1"/>
    <col min="3341" max="3341" width="28.5703125" style="61" customWidth="1"/>
    <col min="3342" max="3342" width="9.140625" style="61"/>
    <col min="3343" max="3343" width="13.42578125" style="61" customWidth="1"/>
    <col min="3344" max="3345" width="9.140625" style="61"/>
    <col min="3346" max="3346" width="13.140625" style="61" customWidth="1"/>
    <col min="3347" max="3349" width="18.42578125" style="61" customWidth="1"/>
    <col min="3350" max="3350" width="10.85546875" style="61" customWidth="1"/>
    <col min="3351" max="3351" width="9.140625" style="61"/>
    <col min="3352" max="3352" width="16.5703125" style="61" customWidth="1"/>
    <col min="3353" max="3353" width="22.5703125" style="61" customWidth="1"/>
    <col min="3354" max="3355" width="9.140625" style="61"/>
    <col min="3356" max="3356" width="18.42578125" style="61" customWidth="1"/>
    <col min="3357" max="3368" width="9.140625" style="61"/>
    <col min="3369" max="3369" width="7.85546875" style="61" customWidth="1"/>
    <col min="3370" max="3370" width="39.42578125" style="61" customWidth="1"/>
    <col min="3371" max="3371" width="42.7109375" style="61" customWidth="1"/>
    <col min="3372" max="3372" width="14.7109375" style="61" customWidth="1"/>
    <col min="3373" max="3373" width="16.7109375" style="61" customWidth="1"/>
    <col min="3374" max="3374" width="19.28515625" style="61" customWidth="1"/>
    <col min="3375" max="3585" width="9.140625" style="61"/>
    <col min="3586" max="3587" width="6.42578125" style="61" customWidth="1"/>
    <col min="3588" max="3588" width="10.5703125" style="61" customWidth="1"/>
    <col min="3589" max="3589" width="10.7109375" style="61" customWidth="1"/>
    <col min="3590" max="3590" width="14.85546875" style="61" customWidth="1"/>
    <col min="3591" max="3591" width="16" style="61" customWidth="1"/>
    <col min="3592" max="3592" width="28" style="61" customWidth="1"/>
    <col min="3593" max="3593" width="12.7109375" style="61" customWidth="1"/>
    <col min="3594" max="3595" width="9.7109375" style="61" customWidth="1"/>
    <col min="3596" max="3596" width="14.85546875" style="61" customWidth="1"/>
    <col min="3597" max="3597" width="28.5703125" style="61" customWidth="1"/>
    <col min="3598" max="3598" width="9.140625" style="61"/>
    <col min="3599" max="3599" width="13.42578125" style="61" customWidth="1"/>
    <col min="3600" max="3601" width="9.140625" style="61"/>
    <col min="3602" max="3602" width="13.140625" style="61" customWidth="1"/>
    <col min="3603" max="3605" width="18.42578125" style="61" customWidth="1"/>
    <col min="3606" max="3606" width="10.85546875" style="61" customWidth="1"/>
    <col min="3607" max="3607" width="9.140625" style="61"/>
    <col min="3608" max="3608" width="16.5703125" style="61" customWidth="1"/>
    <col min="3609" max="3609" width="22.5703125" style="61" customWidth="1"/>
    <col min="3610" max="3611" width="9.140625" style="61"/>
    <col min="3612" max="3612" width="18.42578125" style="61" customWidth="1"/>
    <col min="3613" max="3624" width="9.140625" style="61"/>
    <col min="3625" max="3625" width="7.85546875" style="61" customWidth="1"/>
    <col min="3626" max="3626" width="39.42578125" style="61" customWidth="1"/>
    <col min="3627" max="3627" width="42.7109375" style="61" customWidth="1"/>
    <col min="3628" max="3628" width="14.7109375" style="61" customWidth="1"/>
    <col min="3629" max="3629" width="16.7109375" style="61" customWidth="1"/>
    <col min="3630" max="3630" width="19.28515625" style="61" customWidth="1"/>
    <col min="3631" max="3841" width="9.140625" style="61"/>
    <col min="3842" max="3843" width="6.42578125" style="61" customWidth="1"/>
    <col min="3844" max="3844" width="10.5703125" style="61" customWidth="1"/>
    <col min="3845" max="3845" width="10.7109375" style="61" customWidth="1"/>
    <col min="3846" max="3846" width="14.85546875" style="61" customWidth="1"/>
    <col min="3847" max="3847" width="16" style="61" customWidth="1"/>
    <col min="3848" max="3848" width="28" style="61" customWidth="1"/>
    <col min="3849" max="3849" width="12.7109375" style="61" customWidth="1"/>
    <col min="3850" max="3851" width="9.7109375" style="61" customWidth="1"/>
    <col min="3852" max="3852" width="14.85546875" style="61" customWidth="1"/>
    <col min="3853" max="3853" width="28.5703125" style="61" customWidth="1"/>
    <col min="3854" max="3854" width="9.140625" style="61"/>
    <col min="3855" max="3855" width="13.42578125" style="61" customWidth="1"/>
    <col min="3856" max="3857" width="9.140625" style="61"/>
    <col min="3858" max="3858" width="13.140625" style="61" customWidth="1"/>
    <col min="3859" max="3861" width="18.42578125" style="61" customWidth="1"/>
    <col min="3862" max="3862" width="10.85546875" style="61" customWidth="1"/>
    <col min="3863" max="3863" width="9.140625" style="61"/>
    <col min="3864" max="3864" width="16.5703125" style="61" customWidth="1"/>
    <col min="3865" max="3865" width="22.5703125" style="61" customWidth="1"/>
    <col min="3866" max="3867" width="9.140625" style="61"/>
    <col min="3868" max="3868" width="18.42578125" style="61" customWidth="1"/>
    <col min="3869" max="3880" width="9.140625" style="61"/>
    <col min="3881" max="3881" width="7.85546875" style="61" customWidth="1"/>
    <col min="3882" max="3882" width="39.42578125" style="61" customWidth="1"/>
    <col min="3883" max="3883" width="42.7109375" style="61" customWidth="1"/>
    <col min="3884" max="3884" width="14.7109375" style="61" customWidth="1"/>
    <col min="3885" max="3885" width="16.7109375" style="61" customWidth="1"/>
    <col min="3886" max="3886" width="19.28515625" style="61" customWidth="1"/>
    <col min="3887" max="4097" width="9.140625" style="61"/>
    <col min="4098" max="4099" width="6.42578125" style="61" customWidth="1"/>
    <col min="4100" max="4100" width="10.5703125" style="61" customWidth="1"/>
    <col min="4101" max="4101" width="10.7109375" style="61" customWidth="1"/>
    <col min="4102" max="4102" width="14.85546875" style="61" customWidth="1"/>
    <col min="4103" max="4103" width="16" style="61" customWidth="1"/>
    <col min="4104" max="4104" width="28" style="61" customWidth="1"/>
    <col min="4105" max="4105" width="12.7109375" style="61" customWidth="1"/>
    <col min="4106" max="4107" width="9.7109375" style="61" customWidth="1"/>
    <col min="4108" max="4108" width="14.85546875" style="61" customWidth="1"/>
    <col min="4109" max="4109" width="28.5703125" style="61" customWidth="1"/>
    <col min="4110" max="4110" width="9.140625" style="61"/>
    <col min="4111" max="4111" width="13.42578125" style="61" customWidth="1"/>
    <col min="4112" max="4113" width="9.140625" style="61"/>
    <col min="4114" max="4114" width="13.140625" style="61" customWidth="1"/>
    <col min="4115" max="4117" width="18.42578125" style="61" customWidth="1"/>
    <col min="4118" max="4118" width="10.85546875" style="61" customWidth="1"/>
    <col min="4119" max="4119" width="9.140625" style="61"/>
    <col min="4120" max="4120" width="16.5703125" style="61" customWidth="1"/>
    <col min="4121" max="4121" width="22.5703125" style="61" customWidth="1"/>
    <col min="4122" max="4123" width="9.140625" style="61"/>
    <col min="4124" max="4124" width="18.42578125" style="61" customWidth="1"/>
    <col min="4125" max="4136" width="9.140625" style="61"/>
    <col min="4137" max="4137" width="7.85546875" style="61" customWidth="1"/>
    <col min="4138" max="4138" width="39.42578125" style="61" customWidth="1"/>
    <col min="4139" max="4139" width="42.7109375" style="61" customWidth="1"/>
    <col min="4140" max="4140" width="14.7109375" style="61" customWidth="1"/>
    <col min="4141" max="4141" width="16.7109375" style="61" customWidth="1"/>
    <col min="4142" max="4142" width="19.28515625" style="61" customWidth="1"/>
    <col min="4143" max="4353" width="9.140625" style="61"/>
    <col min="4354" max="4355" width="6.42578125" style="61" customWidth="1"/>
    <col min="4356" max="4356" width="10.5703125" style="61" customWidth="1"/>
    <col min="4357" max="4357" width="10.7109375" style="61" customWidth="1"/>
    <col min="4358" max="4358" width="14.85546875" style="61" customWidth="1"/>
    <col min="4359" max="4359" width="16" style="61" customWidth="1"/>
    <col min="4360" max="4360" width="28" style="61" customWidth="1"/>
    <col min="4361" max="4361" width="12.7109375" style="61" customWidth="1"/>
    <col min="4362" max="4363" width="9.7109375" style="61" customWidth="1"/>
    <col min="4364" max="4364" width="14.85546875" style="61" customWidth="1"/>
    <col min="4365" max="4365" width="28.5703125" style="61" customWidth="1"/>
    <col min="4366" max="4366" width="9.140625" style="61"/>
    <col min="4367" max="4367" width="13.42578125" style="61" customWidth="1"/>
    <col min="4368" max="4369" width="9.140625" style="61"/>
    <col min="4370" max="4370" width="13.140625" style="61" customWidth="1"/>
    <col min="4371" max="4373" width="18.42578125" style="61" customWidth="1"/>
    <col min="4374" max="4374" width="10.85546875" style="61" customWidth="1"/>
    <col min="4375" max="4375" width="9.140625" style="61"/>
    <col min="4376" max="4376" width="16.5703125" style="61" customWidth="1"/>
    <col min="4377" max="4377" width="22.5703125" style="61" customWidth="1"/>
    <col min="4378" max="4379" width="9.140625" style="61"/>
    <col min="4380" max="4380" width="18.42578125" style="61" customWidth="1"/>
    <col min="4381" max="4392" width="9.140625" style="61"/>
    <col min="4393" max="4393" width="7.85546875" style="61" customWidth="1"/>
    <col min="4394" max="4394" width="39.42578125" style="61" customWidth="1"/>
    <col min="4395" max="4395" width="42.7109375" style="61" customWidth="1"/>
    <col min="4396" max="4396" width="14.7109375" style="61" customWidth="1"/>
    <col min="4397" max="4397" width="16.7109375" style="61" customWidth="1"/>
    <col min="4398" max="4398" width="19.28515625" style="61" customWidth="1"/>
    <col min="4399" max="4609" width="9.140625" style="61"/>
    <col min="4610" max="4611" width="6.42578125" style="61" customWidth="1"/>
    <col min="4612" max="4612" width="10.5703125" style="61" customWidth="1"/>
    <col min="4613" max="4613" width="10.7109375" style="61" customWidth="1"/>
    <col min="4614" max="4614" width="14.85546875" style="61" customWidth="1"/>
    <col min="4615" max="4615" width="16" style="61" customWidth="1"/>
    <col min="4616" max="4616" width="28" style="61" customWidth="1"/>
    <col min="4617" max="4617" width="12.7109375" style="61" customWidth="1"/>
    <col min="4618" max="4619" width="9.7109375" style="61" customWidth="1"/>
    <col min="4620" max="4620" width="14.85546875" style="61" customWidth="1"/>
    <col min="4621" max="4621" width="28.5703125" style="61" customWidth="1"/>
    <col min="4622" max="4622" width="9.140625" style="61"/>
    <col min="4623" max="4623" width="13.42578125" style="61" customWidth="1"/>
    <col min="4624" max="4625" width="9.140625" style="61"/>
    <col min="4626" max="4626" width="13.140625" style="61" customWidth="1"/>
    <col min="4627" max="4629" width="18.42578125" style="61" customWidth="1"/>
    <col min="4630" max="4630" width="10.85546875" style="61" customWidth="1"/>
    <col min="4631" max="4631" width="9.140625" style="61"/>
    <col min="4632" max="4632" width="16.5703125" style="61" customWidth="1"/>
    <col min="4633" max="4633" width="22.5703125" style="61" customWidth="1"/>
    <col min="4634" max="4635" width="9.140625" style="61"/>
    <col min="4636" max="4636" width="18.42578125" style="61" customWidth="1"/>
    <col min="4637" max="4648" width="9.140625" style="61"/>
    <col min="4649" max="4649" width="7.85546875" style="61" customWidth="1"/>
    <col min="4650" max="4650" width="39.42578125" style="61" customWidth="1"/>
    <col min="4651" max="4651" width="42.7109375" style="61" customWidth="1"/>
    <col min="4652" max="4652" width="14.7109375" style="61" customWidth="1"/>
    <col min="4653" max="4653" width="16.7109375" style="61" customWidth="1"/>
    <col min="4654" max="4654" width="19.28515625" style="61" customWidth="1"/>
    <col min="4655" max="4865" width="9.140625" style="61"/>
    <col min="4866" max="4867" width="6.42578125" style="61" customWidth="1"/>
    <col min="4868" max="4868" width="10.5703125" style="61" customWidth="1"/>
    <col min="4869" max="4869" width="10.7109375" style="61" customWidth="1"/>
    <col min="4870" max="4870" width="14.85546875" style="61" customWidth="1"/>
    <col min="4871" max="4871" width="16" style="61" customWidth="1"/>
    <col min="4872" max="4872" width="28" style="61" customWidth="1"/>
    <col min="4873" max="4873" width="12.7109375" style="61" customWidth="1"/>
    <col min="4874" max="4875" width="9.7109375" style="61" customWidth="1"/>
    <col min="4876" max="4876" width="14.85546875" style="61" customWidth="1"/>
    <col min="4877" max="4877" width="28.5703125" style="61" customWidth="1"/>
    <col min="4878" max="4878" width="9.140625" style="61"/>
    <col min="4879" max="4879" width="13.42578125" style="61" customWidth="1"/>
    <col min="4880" max="4881" width="9.140625" style="61"/>
    <col min="4882" max="4882" width="13.140625" style="61" customWidth="1"/>
    <col min="4883" max="4885" width="18.42578125" style="61" customWidth="1"/>
    <col min="4886" max="4886" width="10.85546875" style="61" customWidth="1"/>
    <col min="4887" max="4887" width="9.140625" style="61"/>
    <col min="4888" max="4888" width="16.5703125" style="61" customWidth="1"/>
    <col min="4889" max="4889" width="22.5703125" style="61" customWidth="1"/>
    <col min="4890" max="4891" width="9.140625" style="61"/>
    <col min="4892" max="4892" width="18.42578125" style="61" customWidth="1"/>
    <col min="4893" max="4904" width="9.140625" style="61"/>
    <col min="4905" max="4905" width="7.85546875" style="61" customWidth="1"/>
    <col min="4906" max="4906" width="39.42578125" style="61" customWidth="1"/>
    <col min="4907" max="4907" width="42.7109375" style="61" customWidth="1"/>
    <col min="4908" max="4908" width="14.7109375" style="61" customWidth="1"/>
    <col min="4909" max="4909" width="16.7109375" style="61" customWidth="1"/>
    <col min="4910" max="4910" width="19.28515625" style="61" customWidth="1"/>
    <col min="4911" max="5121" width="9.140625" style="61"/>
    <col min="5122" max="5123" width="6.42578125" style="61" customWidth="1"/>
    <col min="5124" max="5124" width="10.5703125" style="61" customWidth="1"/>
    <col min="5125" max="5125" width="10.7109375" style="61" customWidth="1"/>
    <col min="5126" max="5126" width="14.85546875" style="61" customWidth="1"/>
    <col min="5127" max="5127" width="16" style="61" customWidth="1"/>
    <col min="5128" max="5128" width="28" style="61" customWidth="1"/>
    <col min="5129" max="5129" width="12.7109375" style="61" customWidth="1"/>
    <col min="5130" max="5131" width="9.7109375" style="61" customWidth="1"/>
    <col min="5132" max="5132" width="14.85546875" style="61" customWidth="1"/>
    <col min="5133" max="5133" width="28.5703125" style="61" customWidth="1"/>
    <col min="5134" max="5134" width="9.140625" style="61"/>
    <col min="5135" max="5135" width="13.42578125" style="61" customWidth="1"/>
    <col min="5136" max="5137" width="9.140625" style="61"/>
    <col min="5138" max="5138" width="13.140625" style="61" customWidth="1"/>
    <col min="5139" max="5141" width="18.42578125" style="61" customWidth="1"/>
    <col min="5142" max="5142" width="10.85546875" style="61" customWidth="1"/>
    <col min="5143" max="5143" width="9.140625" style="61"/>
    <col min="5144" max="5144" width="16.5703125" style="61" customWidth="1"/>
    <col min="5145" max="5145" width="22.5703125" style="61" customWidth="1"/>
    <col min="5146" max="5147" width="9.140625" style="61"/>
    <col min="5148" max="5148" width="18.42578125" style="61" customWidth="1"/>
    <col min="5149" max="5160" width="9.140625" style="61"/>
    <col min="5161" max="5161" width="7.85546875" style="61" customWidth="1"/>
    <col min="5162" max="5162" width="39.42578125" style="61" customWidth="1"/>
    <col min="5163" max="5163" width="42.7109375" style="61" customWidth="1"/>
    <col min="5164" max="5164" width="14.7109375" style="61" customWidth="1"/>
    <col min="5165" max="5165" width="16.7109375" style="61" customWidth="1"/>
    <col min="5166" max="5166" width="19.28515625" style="61" customWidth="1"/>
    <col min="5167" max="5377" width="9.140625" style="61"/>
    <col min="5378" max="5379" width="6.42578125" style="61" customWidth="1"/>
    <col min="5380" max="5380" width="10.5703125" style="61" customWidth="1"/>
    <col min="5381" max="5381" width="10.7109375" style="61" customWidth="1"/>
    <col min="5382" max="5382" width="14.85546875" style="61" customWidth="1"/>
    <col min="5383" max="5383" width="16" style="61" customWidth="1"/>
    <col min="5384" max="5384" width="28" style="61" customWidth="1"/>
    <col min="5385" max="5385" width="12.7109375" style="61" customWidth="1"/>
    <col min="5386" max="5387" width="9.7109375" style="61" customWidth="1"/>
    <col min="5388" max="5388" width="14.85546875" style="61" customWidth="1"/>
    <col min="5389" max="5389" width="28.5703125" style="61" customWidth="1"/>
    <col min="5390" max="5390" width="9.140625" style="61"/>
    <col min="5391" max="5391" width="13.42578125" style="61" customWidth="1"/>
    <col min="5392" max="5393" width="9.140625" style="61"/>
    <col min="5394" max="5394" width="13.140625" style="61" customWidth="1"/>
    <col min="5395" max="5397" width="18.42578125" style="61" customWidth="1"/>
    <col min="5398" max="5398" width="10.85546875" style="61" customWidth="1"/>
    <col min="5399" max="5399" width="9.140625" style="61"/>
    <col min="5400" max="5400" width="16.5703125" style="61" customWidth="1"/>
    <col min="5401" max="5401" width="22.5703125" style="61" customWidth="1"/>
    <col min="5402" max="5403" width="9.140625" style="61"/>
    <col min="5404" max="5404" width="18.42578125" style="61" customWidth="1"/>
    <col min="5405" max="5416" width="9.140625" style="61"/>
    <col min="5417" max="5417" width="7.85546875" style="61" customWidth="1"/>
    <col min="5418" max="5418" width="39.42578125" style="61" customWidth="1"/>
    <col min="5419" max="5419" width="42.7109375" style="61" customWidth="1"/>
    <col min="5420" max="5420" width="14.7109375" style="61" customWidth="1"/>
    <col min="5421" max="5421" width="16.7109375" style="61" customWidth="1"/>
    <col min="5422" max="5422" width="19.28515625" style="61" customWidth="1"/>
    <col min="5423" max="5633" width="9.140625" style="61"/>
    <col min="5634" max="5635" width="6.42578125" style="61" customWidth="1"/>
    <col min="5636" max="5636" width="10.5703125" style="61" customWidth="1"/>
    <col min="5637" max="5637" width="10.7109375" style="61" customWidth="1"/>
    <col min="5638" max="5638" width="14.85546875" style="61" customWidth="1"/>
    <col min="5639" max="5639" width="16" style="61" customWidth="1"/>
    <col min="5640" max="5640" width="28" style="61" customWidth="1"/>
    <col min="5641" max="5641" width="12.7109375" style="61" customWidth="1"/>
    <col min="5642" max="5643" width="9.7109375" style="61" customWidth="1"/>
    <col min="5644" max="5644" width="14.85546875" style="61" customWidth="1"/>
    <col min="5645" max="5645" width="28.5703125" style="61" customWidth="1"/>
    <col min="5646" max="5646" width="9.140625" style="61"/>
    <col min="5647" max="5647" width="13.42578125" style="61" customWidth="1"/>
    <col min="5648" max="5649" width="9.140625" style="61"/>
    <col min="5650" max="5650" width="13.140625" style="61" customWidth="1"/>
    <col min="5651" max="5653" width="18.42578125" style="61" customWidth="1"/>
    <col min="5654" max="5654" width="10.85546875" style="61" customWidth="1"/>
    <col min="5655" max="5655" width="9.140625" style="61"/>
    <col min="5656" max="5656" width="16.5703125" style="61" customWidth="1"/>
    <col min="5657" max="5657" width="22.5703125" style="61" customWidth="1"/>
    <col min="5658" max="5659" width="9.140625" style="61"/>
    <col min="5660" max="5660" width="18.42578125" style="61" customWidth="1"/>
    <col min="5661" max="5672" width="9.140625" style="61"/>
    <col min="5673" max="5673" width="7.85546875" style="61" customWidth="1"/>
    <col min="5674" max="5674" width="39.42578125" style="61" customWidth="1"/>
    <col min="5675" max="5675" width="42.7109375" style="61" customWidth="1"/>
    <col min="5676" max="5676" width="14.7109375" style="61" customWidth="1"/>
    <col min="5677" max="5677" width="16.7109375" style="61" customWidth="1"/>
    <col min="5678" max="5678" width="19.28515625" style="61" customWidth="1"/>
    <col min="5679" max="5889" width="9.140625" style="61"/>
    <col min="5890" max="5891" width="6.42578125" style="61" customWidth="1"/>
    <col min="5892" max="5892" width="10.5703125" style="61" customWidth="1"/>
    <col min="5893" max="5893" width="10.7109375" style="61" customWidth="1"/>
    <col min="5894" max="5894" width="14.85546875" style="61" customWidth="1"/>
    <col min="5895" max="5895" width="16" style="61" customWidth="1"/>
    <col min="5896" max="5896" width="28" style="61" customWidth="1"/>
    <col min="5897" max="5897" width="12.7109375" style="61" customWidth="1"/>
    <col min="5898" max="5899" width="9.7109375" style="61" customWidth="1"/>
    <col min="5900" max="5900" width="14.85546875" style="61" customWidth="1"/>
    <col min="5901" max="5901" width="28.5703125" style="61" customWidth="1"/>
    <col min="5902" max="5902" width="9.140625" style="61"/>
    <col min="5903" max="5903" width="13.42578125" style="61" customWidth="1"/>
    <col min="5904" max="5905" width="9.140625" style="61"/>
    <col min="5906" max="5906" width="13.140625" style="61" customWidth="1"/>
    <col min="5907" max="5909" width="18.42578125" style="61" customWidth="1"/>
    <col min="5910" max="5910" width="10.85546875" style="61" customWidth="1"/>
    <col min="5911" max="5911" width="9.140625" style="61"/>
    <col min="5912" max="5912" width="16.5703125" style="61" customWidth="1"/>
    <col min="5913" max="5913" width="22.5703125" style="61" customWidth="1"/>
    <col min="5914" max="5915" width="9.140625" style="61"/>
    <col min="5916" max="5916" width="18.42578125" style="61" customWidth="1"/>
    <col min="5917" max="5928" width="9.140625" style="61"/>
    <col min="5929" max="5929" width="7.85546875" style="61" customWidth="1"/>
    <col min="5930" max="5930" width="39.42578125" style="61" customWidth="1"/>
    <col min="5931" max="5931" width="42.7109375" style="61" customWidth="1"/>
    <col min="5932" max="5932" width="14.7109375" style="61" customWidth="1"/>
    <col min="5933" max="5933" width="16.7109375" style="61" customWidth="1"/>
    <col min="5934" max="5934" width="19.28515625" style="61" customWidth="1"/>
    <col min="5935" max="6145" width="9.140625" style="61"/>
    <col min="6146" max="6147" width="6.42578125" style="61" customWidth="1"/>
    <col min="6148" max="6148" width="10.5703125" style="61" customWidth="1"/>
    <col min="6149" max="6149" width="10.7109375" style="61" customWidth="1"/>
    <col min="6150" max="6150" width="14.85546875" style="61" customWidth="1"/>
    <col min="6151" max="6151" width="16" style="61" customWidth="1"/>
    <col min="6152" max="6152" width="28" style="61" customWidth="1"/>
    <col min="6153" max="6153" width="12.7109375" style="61" customWidth="1"/>
    <col min="6154" max="6155" width="9.7109375" style="61" customWidth="1"/>
    <col min="6156" max="6156" width="14.85546875" style="61" customWidth="1"/>
    <col min="6157" max="6157" width="28.5703125" style="61" customWidth="1"/>
    <col min="6158" max="6158" width="9.140625" style="61"/>
    <col min="6159" max="6159" width="13.42578125" style="61" customWidth="1"/>
    <col min="6160" max="6161" width="9.140625" style="61"/>
    <col min="6162" max="6162" width="13.140625" style="61" customWidth="1"/>
    <col min="6163" max="6165" width="18.42578125" style="61" customWidth="1"/>
    <col min="6166" max="6166" width="10.85546875" style="61" customWidth="1"/>
    <col min="6167" max="6167" width="9.140625" style="61"/>
    <col min="6168" max="6168" width="16.5703125" style="61" customWidth="1"/>
    <col min="6169" max="6169" width="22.5703125" style="61" customWidth="1"/>
    <col min="6170" max="6171" width="9.140625" style="61"/>
    <col min="6172" max="6172" width="18.42578125" style="61" customWidth="1"/>
    <col min="6173" max="6184" width="9.140625" style="61"/>
    <col min="6185" max="6185" width="7.85546875" style="61" customWidth="1"/>
    <col min="6186" max="6186" width="39.42578125" style="61" customWidth="1"/>
    <col min="6187" max="6187" width="42.7109375" style="61" customWidth="1"/>
    <col min="6188" max="6188" width="14.7109375" style="61" customWidth="1"/>
    <col min="6189" max="6189" width="16.7109375" style="61" customWidth="1"/>
    <col min="6190" max="6190" width="19.28515625" style="61" customWidth="1"/>
    <col min="6191" max="6401" width="9.140625" style="61"/>
    <col min="6402" max="6403" width="6.42578125" style="61" customWidth="1"/>
    <col min="6404" max="6404" width="10.5703125" style="61" customWidth="1"/>
    <col min="6405" max="6405" width="10.7109375" style="61" customWidth="1"/>
    <col min="6406" max="6406" width="14.85546875" style="61" customWidth="1"/>
    <col min="6407" max="6407" width="16" style="61" customWidth="1"/>
    <col min="6408" max="6408" width="28" style="61" customWidth="1"/>
    <col min="6409" max="6409" width="12.7109375" style="61" customWidth="1"/>
    <col min="6410" max="6411" width="9.7109375" style="61" customWidth="1"/>
    <col min="6412" max="6412" width="14.85546875" style="61" customWidth="1"/>
    <col min="6413" max="6413" width="28.5703125" style="61" customWidth="1"/>
    <col min="6414" max="6414" width="9.140625" style="61"/>
    <col min="6415" max="6415" width="13.42578125" style="61" customWidth="1"/>
    <col min="6416" max="6417" width="9.140625" style="61"/>
    <col min="6418" max="6418" width="13.140625" style="61" customWidth="1"/>
    <col min="6419" max="6421" width="18.42578125" style="61" customWidth="1"/>
    <col min="6422" max="6422" width="10.85546875" style="61" customWidth="1"/>
    <col min="6423" max="6423" width="9.140625" style="61"/>
    <col min="6424" max="6424" width="16.5703125" style="61" customWidth="1"/>
    <col min="6425" max="6425" width="22.5703125" style="61" customWidth="1"/>
    <col min="6426" max="6427" width="9.140625" style="61"/>
    <col min="6428" max="6428" width="18.42578125" style="61" customWidth="1"/>
    <col min="6429" max="6440" width="9.140625" style="61"/>
    <col min="6441" max="6441" width="7.85546875" style="61" customWidth="1"/>
    <col min="6442" max="6442" width="39.42578125" style="61" customWidth="1"/>
    <col min="6443" max="6443" width="42.7109375" style="61" customWidth="1"/>
    <col min="6444" max="6444" width="14.7109375" style="61" customWidth="1"/>
    <col min="6445" max="6445" width="16.7109375" style="61" customWidth="1"/>
    <col min="6446" max="6446" width="19.28515625" style="61" customWidth="1"/>
    <col min="6447" max="6657" width="9.140625" style="61"/>
    <col min="6658" max="6659" width="6.42578125" style="61" customWidth="1"/>
    <col min="6660" max="6660" width="10.5703125" style="61" customWidth="1"/>
    <col min="6661" max="6661" width="10.7109375" style="61" customWidth="1"/>
    <col min="6662" max="6662" width="14.85546875" style="61" customWidth="1"/>
    <col min="6663" max="6663" width="16" style="61" customWidth="1"/>
    <col min="6664" max="6664" width="28" style="61" customWidth="1"/>
    <col min="6665" max="6665" width="12.7109375" style="61" customWidth="1"/>
    <col min="6666" max="6667" width="9.7109375" style="61" customWidth="1"/>
    <col min="6668" max="6668" width="14.85546875" style="61" customWidth="1"/>
    <col min="6669" max="6669" width="28.5703125" style="61" customWidth="1"/>
    <col min="6670" max="6670" width="9.140625" style="61"/>
    <col min="6671" max="6671" width="13.42578125" style="61" customWidth="1"/>
    <col min="6672" max="6673" width="9.140625" style="61"/>
    <col min="6674" max="6674" width="13.140625" style="61" customWidth="1"/>
    <col min="6675" max="6677" width="18.42578125" style="61" customWidth="1"/>
    <col min="6678" max="6678" width="10.85546875" style="61" customWidth="1"/>
    <col min="6679" max="6679" width="9.140625" style="61"/>
    <col min="6680" max="6680" width="16.5703125" style="61" customWidth="1"/>
    <col min="6681" max="6681" width="22.5703125" style="61" customWidth="1"/>
    <col min="6682" max="6683" width="9.140625" style="61"/>
    <col min="6684" max="6684" width="18.42578125" style="61" customWidth="1"/>
    <col min="6685" max="6696" width="9.140625" style="61"/>
    <col min="6697" max="6697" width="7.85546875" style="61" customWidth="1"/>
    <col min="6698" max="6698" width="39.42578125" style="61" customWidth="1"/>
    <col min="6699" max="6699" width="42.7109375" style="61" customWidth="1"/>
    <col min="6700" max="6700" width="14.7109375" style="61" customWidth="1"/>
    <col min="6701" max="6701" width="16.7109375" style="61" customWidth="1"/>
    <col min="6702" max="6702" width="19.28515625" style="61" customWidth="1"/>
    <col min="6703" max="6913" width="9.140625" style="61"/>
    <col min="6914" max="6915" width="6.42578125" style="61" customWidth="1"/>
    <col min="6916" max="6916" width="10.5703125" style="61" customWidth="1"/>
    <col min="6917" max="6917" width="10.7109375" style="61" customWidth="1"/>
    <col min="6918" max="6918" width="14.85546875" style="61" customWidth="1"/>
    <col min="6919" max="6919" width="16" style="61" customWidth="1"/>
    <col min="6920" max="6920" width="28" style="61" customWidth="1"/>
    <col min="6921" max="6921" width="12.7109375" style="61" customWidth="1"/>
    <col min="6922" max="6923" width="9.7109375" style="61" customWidth="1"/>
    <col min="6924" max="6924" width="14.85546875" style="61" customWidth="1"/>
    <col min="6925" max="6925" width="28.5703125" style="61" customWidth="1"/>
    <col min="6926" max="6926" width="9.140625" style="61"/>
    <col min="6927" max="6927" width="13.42578125" style="61" customWidth="1"/>
    <col min="6928" max="6929" width="9.140625" style="61"/>
    <col min="6930" max="6930" width="13.140625" style="61" customWidth="1"/>
    <col min="6931" max="6933" width="18.42578125" style="61" customWidth="1"/>
    <col min="6934" max="6934" width="10.85546875" style="61" customWidth="1"/>
    <col min="6935" max="6935" width="9.140625" style="61"/>
    <col min="6936" max="6936" width="16.5703125" style="61" customWidth="1"/>
    <col min="6937" max="6937" width="22.5703125" style="61" customWidth="1"/>
    <col min="6938" max="6939" width="9.140625" style="61"/>
    <col min="6940" max="6940" width="18.42578125" style="61" customWidth="1"/>
    <col min="6941" max="6952" width="9.140625" style="61"/>
    <col min="6953" max="6953" width="7.85546875" style="61" customWidth="1"/>
    <col min="6954" max="6954" width="39.42578125" style="61" customWidth="1"/>
    <col min="6955" max="6955" width="42.7109375" style="61" customWidth="1"/>
    <col min="6956" max="6956" width="14.7109375" style="61" customWidth="1"/>
    <col min="6957" max="6957" width="16.7109375" style="61" customWidth="1"/>
    <col min="6958" max="6958" width="19.28515625" style="61" customWidth="1"/>
    <col min="6959" max="7169" width="9.140625" style="61"/>
    <col min="7170" max="7171" width="6.42578125" style="61" customWidth="1"/>
    <col min="7172" max="7172" width="10.5703125" style="61" customWidth="1"/>
    <col min="7173" max="7173" width="10.7109375" style="61" customWidth="1"/>
    <col min="7174" max="7174" width="14.85546875" style="61" customWidth="1"/>
    <col min="7175" max="7175" width="16" style="61" customWidth="1"/>
    <col min="7176" max="7176" width="28" style="61" customWidth="1"/>
    <col min="7177" max="7177" width="12.7109375" style="61" customWidth="1"/>
    <col min="7178" max="7179" width="9.7109375" style="61" customWidth="1"/>
    <col min="7180" max="7180" width="14.85546875" style="61" customWidth="1"/>
    <col min="7181" max="7181" width="28.5703125" style="61" customWidth="1"/>
    <col min="7182" max="7182" width="9.140625" style="61"/>
    <col min="7183" max="7183" width="13.42578125" style="61" customWidth="1"/>
    <col min="7184" max="7185" width="9.140625" style="61"/>
    <col min="7186" max="7186" width="13.140625" style="61" customWidth="1"/>
    <col min="7187" max="7189" width="18.42578125" style="61" customWidth="1"/>
    <col min="7190" max="7190" width="10.85546875" style="61" customWidth="1"/>
    <col min="7191" max="7191" width="9.140625" style="61"/>
    <col min="7192" max="7192" width="16.5703125" style="61" customWidth="1"/>
    <col min="7193" max="7193" width="22.5703125" style="61" customWidth="1"/>
    <col min="7194" max="7195" width="9.140625" style="61"/>
    <col min="7196" max="7196" width="18.42578125" style="61" customWidth="1"/>
    <col min="7197" max="7208" width="9.140625" style="61"/>
    <col min="7209" max="7209" width="7.85546875" style="61" customWidth="1"/>
    <col min="7210" max="7210" width="39.42578125" style="61" customWidth="1"/>
    <col min="7211" max="7211" width="42.7109375" style="61" customWidth="1"/>
    <col min="7212" max="7212" width="14.7109375" style="61" customWidth="1"/>
    <col min="7213" max="7213" width="16.7109375" style="61" customWidth="1"/>
    <col min="7214" max="7214" width="19.28515625" style="61" customWidth="1"/>
    <col min="7215" max="7425" width="9.140625" style="61"/>
    <col min="7426" max="7427" width="6.42578125" style="61" customWidth="1"/>
    <col min="7428" max="7428" width="10.5703125" style="61" customWidth="1"/>
    <col min="7429" max="7429" width="10.7109375" style="61" customWidth="1"/>
    <col min="7430" max="7430" width="14.85546875" style="61" customWidth="1"/>
    <col min="7431" max="7431" width="16" style="61" customWidth="1"/>
    <col min="7432" max="7432" width="28" style="61" customWidth="1"/>
    <col min="7433" max="7433" width="12.7109375" style="61" customWidth="1"/>
    <col min="7434" max="7435" width="9.7109375" style="61" customWidth="1"/>
    <col min="7436" max="7436" width="14.85546875" style="61" customWidth="1"/>
    <col min="7437" max="7437" width="28.5703125" style="61" customWidth="1"/>
    <col min="7438" max="7438" width="9.140625" style="61"/>
    <col min="7439" max="7439" width="13.42578125" style="61" customWidth="1"/>
    <col min="7440" max="7441" width="9.140625" style="61"/>
    <col min="7442" max="7442" width="13.140625" style="61" customWidth="1"/>
    <col min="7443" max="7445" width="18.42578125" style="61" customWidth="1"/>
    <col min="7446" max="7446" width="10.85546875" style="61" customWidth="1"/>
    <col min="7447" max="7447" width="9.140625" style="61"/>
    <col min="7448" max="7448" width="16.5703125" style="61" customWidth="1"/>
    <col min="7449" max="7449" width="22.5703125" style="61" customWidth="1"/>
    <col min="7450" max="7451" width="9.140625" style="61"/>
    <col min="7452" max="7452" width="18.42578125" style="61" customWidth="1"/>
    <col min="7453" max="7464" width="9.140625" style="61"/>
    <col min="7465" max="7465" width="7.85546875" style="61" customWidth="1"/>
    <col min="7466" max="7466" width="39.42578125" style="61" customWidth="1"/>
    <col min="7467" max="7467" width="42.7109375" style="61" customWidth="1"/>
    <col min="7468" max="7468" width="14.7109375" style="61" customWidth="1"/>
    <col min="7469" max="7469" width="16.7109375" style="61" customWidth="1"/>
    <col min="7470" max="7470" width="19.28515625" style="61" customWidth="1"/>
    <col min="7471" max="7681" width="9.140625" style="61"/>
    <col min="7682" max="7683" width="6.42578125" style="61" customWidth="1"/>
    <col min="7684" max="7684" width="10.5703125" style="61" customWidth="1"/>
    <col min="7685" max="7685" width="10.7109375" style="61" customWidth="1"/>
    <col min="7686" max="7686" width="14.85546875" style="61" customWidth="1"/>
    <col min="7687" max="7687" width="16" style="61" customWidth="1"/>
    <col min="7688" max="7688" width="28" style="61" customWidth="1"/>
    <col min="7689" max="7689" width="12.7109375" style="61" customWidth="1"/>
    <col min="7690" max="7691" width="9.7109375" style="61" customWidth="1"/>
    <col min="7692" max="7692" width="14.85546875" style="61" customWidth="1"/>
    <col min="7693" max="7693" width="28.5703125" style="61" customWidth="1"/>
    <col min="7694" max="7694" width="9.140625" style="61"/>
    <col min="7695" max="7695" width="13.42578125" style="61" customWidth="1"/>
    <col min="7696" max="7697" width="9.140625" style="61"/>
    <col min="7698" max="7698" width="13.140625" style="61" customWidth="1"/>
    <col min="7699" max="7701" width="18.42578125" style="61" customWidth="1"/>
    <col min="7702" max="7702" width="10.85546875" style="61" customWidth="1"/>
    <col min="7703" max="7703" width="9.140625" style="61"/>
    <col min="7704" max="7704" width="16.5703125" style="61" customWidth="1"/>
    <col min="7705" max="7705" width="22.5703125" style="61" customWidth="1"/>
    <col min="7706" max="7707" width="9.140625" style="61"/>
    <col min="7708" max="7708" width="18.42578125" style="61" customWidth="1"/>
    <col min="7709" max="7720" width="9.140625" style="61"/>
    <col min="7721" max="7721" width="7.85546875" style="61" customWidth="1"/>
    <col min="7722" max="7722" width="39.42578125" style="61" customWidth="1"/>
    <col min="7723" max="7723" width="42.7109375" style="61" customWidth="1"/>
    <col min="7724" max="7724" width="14.7109375" style="61" customWidth="1"/>
    <col min="7725" max="7725" width="16.7109375" style="61" customWidth="1"/>
    <col min="7726" max="7726" width="19.28515625" style="61" customWidth="1"/>
    <col min="7727" max="7937" width="9.140625" style="61"/>
    <col min="7938" max="7939" width="6.42578125" style="61" customWidth="1"/>
    <col min="7940" max="7940" width="10.5703125" style="61" customWidth="1"/>
    <col min="7941" max="7941" width="10.7109375" style="61" customWidth="1"/>
    <col min="7942" max="7942" width="14.85546875" style="61" customWidth="1"/>
    <col min="7943" max="7943" width="16" style="61" customWidth="1"/>
    <col min="7944" max="7944" width="28" style="61" customWidth="1"/>
    <col min="7945" max="7945" width="12.7109375" style="61" customWidth="1"/>
    <col min="7946" max="7947" width="9.7109375" style="61" customWidth="1"/>
    <col min="7948" max="7948" width="14.85546875" style="61" customWidth="1"/>
    <col min="7949" max="7949" width="28.5703125" style="61" customWidth="1"/>
    <col min="7950" max="7950" width="9.140625" style="61"/>
    <col min="7951" max="7951" width="13.42578125" style="61" customWidth="1"/>
    <col min="7952" max="7953" width="9.140625" style="61"/>
    <col min="7954" max="7954" width="13.140625" style="61" customWidth="1"/>
    <col min="7955" max="7957" width="18.42578125" style="61" customWidth="1"/>
    <col min="7958" max="7958" width="10.85546875" style="61" customWidth="1"/>
    <col min="7959" max="7959" width="9.140625" style="61"/>
    <col min="7960" max="7960" width="16.5703125" style="61" customWidth="1"/>
    <col min="7961" max="7961" width="22.5703125" style="61" customWidth="1"/>
    <col min="7962" max="7963" width="9.140625" style="61"/>
    <col min="7964" max="7964" width="18.42578125" style="61" customWidth="1"/>
    <col min="7965" max="7976" width="9.140625" style="61"/>
    <col min="7977" max="7977" width="7.85546875" style="61" customWidth="1"/>
    <col min="7978" max="7978" width="39.42578125" style="61" customWidth="1"/>
    <col min="7979" max="7979" width="42.7109375" style="61" customWidth="1"/>
    <col min="7980" max="7980" width="14.7109375" style="61" customWidth="1"/>
    <col min="7981" max="7981" width="16.7109375" style="61" customWidth="1"/>
    <col min="7982" max="7982" width="19.28515625" style="61" customWidth="1"/>
    <col min="7983" max="8193" width="9.140625" style="61"/>
    <col min="8194" max="8195" width="6.42578125" style="61" customWidth="1"/>
    <col min="8196" max="8196" width="10.5703125" style="61" customWidth="1"/>
    <col min="8197" max="8197" width="10.7109375" style="61" customWidth="1"/>
    <col min="8198" max="8198" width="14.85546875" style="61" customWidth="1"/>
    <col min="8199" max="8199" width="16" style="61" customWidth="1"/>
    <col min="8200" max="8200" width="28" style="61" customWidth="1"/>
    <col min="8201" max="8201" width="12.7109375" style="61" customWidth="1"/>
    <col min="8202" max="8203" width="9.7109375" style="61" customWidth="1"/>
    <col min="8204" max="8204" width="14.85546875" style="61" customWidth="1"/>
    <col min="8205" max="8205" width="28.5703125" style="61" customWidth="1"/>
    <col min="8206" max="8206" width="9.140625" style="61"/>
    <col min="8207" max="8207" width="13.42578125" style="61" customWidth="1"/>
    <col min="8208" max="8209" width="9.140625" style="61"/>
    <col min="8210" max="8210" width="13.140625" style="61" customWidth="1"/>
    <col min="8211" max="8213" width="18.42578125" style="61" customWidth="1"/>
    <col min="8214" max="8214" width="10.85546875" style="61" customWidth="1"/>
    <col min="8215" max="8215" width="9.140625" style="61"/>
    <col min="8216" max="8216" width="16.5703125" style="61" customWidth="1"/>
    <col min="8217" max="8217" width="22.5703125" style="61" customWidth="1"/>
    <col min="8218" max="8219" width="9.140625" style="61"/>
    <col min="8220" max="8220" width="18.42578125" style="61" customWidth="1"/>
    <col min="8221" max="8232" width="9.140625" style="61"/>
    <col min="8233" max="8233" width="7.85546875" style="61" customWidth="1"/>
    <col min="8234" max="8234" width="39.42578125" style="61" customWidth="1"/>
    <col min="8235" max="8235" width="42.7109375" style="61" customWidth="1"/>
    <col min="8236" max="8236" width="14.7109375" style="61" customWidth="1"/>
    <col min="8237" max="8237" width="16.7109375" style="61" customWidth="1"/>
    <col min="8238" max="8238" width="19.28515625" style="61" customWidth="1"/>
    <col min="8239" max="8449" width="9.140625" style="61"/>
    <col min="8450" max="8451" width="6.42578125" style="61" customWidth="1"/>
    <col min="8452" max="8452" width="10.5703125" style="61" customWidth="1"/>
    <col min="8453" max="8453" width="10.7109375" style="61" customWidth="1"/>
    <col min="8454" max="8454" width="14.85546875" style="61" customWidth="1"/>
    <col min="8455" max="8455" width="16" style="61" customWidth="1"/>
    <col min="8456" max="8456" width="28" style="61" customWidth="1"/>
    <col min="8457" max="8457" width="12.7109375" style="61" customWidth="1"/>
    <col min="8458" max="8459" width="9.7109375" style="61" customWidth="1"/>
    <col min="8460" max="8460" width="14.85546875" style="61" customWidth="1"/>
    <col min="8461" max="8461" width="28.5703125" style="61" customWidth="1"/>
    <col min="8462" max="8462" width="9.140625" style="61"/>
    <col min="8463" max="8463" width="13.42578125" style="61" customWidth="1"/>
    <col min="8464" max="8465" width="9.140625" style="61"/>
    <col min="8466" max="8466" width="13.140625" style="61" customWidth="1"/>
    <col min="8467" max="8469" width="18.42578125" style="61" customWidth="1"/>
    <col min="8470" max="8470" width="10.85546875" style="61" customWidth="1"/>
    <col min="8471" max="8471" width="9.140625" style="61"/>
    <col min="8472" max="8472" width="16.5703125" style="61" customWidth="1"/>
    <col min="8473" max="8473" width="22.5703125" style="61" customWidth="1"/>
    <col min="8474" max="8475" width="9.140625" style="61"/>
    <col min="8476" max="8476" width="18.42578125" style="61" customWidth="1"/>
    <col min="8477" max="8488" width="9.140625" style="61"/>
    <col min="8489" max="8489" width="7.85546875" style="61" customWidth="1"/>
    <col min="8490" max="8490" width="39.42578125" style="61" customWidth="1"/>
    <col min="8491" max="8491" width="42.7109375" style="61" customWidth="1"/>
    <col min="8492" max="8492" width="14.7109375" style="61" customWidth="1"/>
    <col min="8493" max="8493" width="16.7109375" style="61" customWidth="1"/>
    <col min="8494" max="8494" width="19.28515625" style="61" customWidth="1"/>
    <col min="8495" max="8705" width="9.140625" style="61"/>
    <col min="8706" max="8707" width="6.42578125" style="61" customWidth="1"/>
    <col min="8708" max="8708" width="10.5703125" style="61" customWidth="1"/>
    <col min="8709" max="8709" width="10.7109375" style="61" customWidth="1"/>
    <col min="8710" max="8710" width="14.85546875" style="61" customWidth="1"/>
    <col min="8711" max="8711" width="16" style="61" customWidth="1"/>
    <col min="8712" max="8712" width="28" style="61" customWidth="1"/>
    <col min="8713" max="8713" width="12.7109375" style="61" customWidth="1"/>
    <col min="8714" max="8715" width="9.7109375" style="61" customWidth="1"/>
    <col min="8716" max="8716" width="14.85546875" style="61" customWidth="1"/>
    <col min="8717" max="8717" width="28.5703125" style="61" customWidth="1"/>
    <col min="8718" max="8718" width="9.140625" style="61"/>
    <col min="8719" max="8719" width="13.42578125" style="61" customWidth="1"/>
    <col min="8720" max="8721" width="9.140625" style="61"/>
    <col min="8722" max="8722" width="13.140625" style="61" customWidth="1"/>
    <col min="8723" max="8725" width="18.42578125" style="61" customWidth="1"/>
    <col min="8726" max="8726" width="10.85546875" style="61" customWidth="1"/>
    <col min="8727" max="8727" width="9.140625" style="61"/>
    <col min="8728" max="8728" width="16.5703125" style="61" customWidth="1"/>
    <col min="8729" max="8729" width="22.5703125" style="61" customWidth="1"/>
    <col min="8730" max="8731" width="9.140625" style="61"/>
    <col min="8732" max="8732" width="18.42578125" style="61" customWidth="1"/>
    <col min="8733" max="8744" width="9.140625" style="61"/>
    <col min="8745" max="8745" width="7.85546875" style="61" customWidth="1"/>
    <col min="8746" max="8746" width="39.42578125" style="61" customWidth="1"/>
    <col min="8747" max="8747" width="42.7109375" style="61" customWidth="1"/>
    <col min="8748" max="8748" width="14.7109375" style="61" customWidth="1"/>
    <col min="8749" max="8749" width="16.7109375" style="61" customWidth="1"/>
    <col min="8750" max="8750" width="19.28515625" style="61" customWidth="1"/>
    <col min="8751" max="8961" width="9.140625" style="61"/>
    <col min="8962" max="8963" width="6.42578125" style="61" customWidth="1"/>
    <col min="8964" max="8964" width="10.5703125" style="61" customWidth="1"/>
    <col min="8965" max="8965" width="10.7109375" style="61" customWidth="1"/>
    <col min="8966" max="8966" width="14.85546875" style="61" customWidth="1"/>
    <col min="8967" max="8967" width="16" style="61" customWidth="1"/>
    <col min="8968" max="8968" width="28" style="61" customWidth="1"/>
    <col min="8969" max="8969" width="12.7109375" style="61" customWidth="1"/>
    <col min="8970" max="8971" width="9.7109375" style="61" customWidth="1"/>
    <col min="8972" max="8972" width="14.85546875" style="61" customWidth="1"/>
    <col min="8973" max="8973" width="28.5703125" style="61" customWidth="1"/>
    <col min="8974" max="8974" width="9.140625" style="61"/>
    <col min="8975" max="8975" width="13.42578125" style="61" customWidth="1"/>
    <col min="8976" max="8977" width="9.140625" style="61"/>
    <col min="8978" max="8978" width="13.140625" style="61" customWidth="1"/>
    <col min="8979" max="8981" width="18.42578125" style="61" customWidth="1"/>
    <col min="8982" max="8982" width="10.85546875" style="61" customWidth="1"/>
    <col min="8983" max="8983" width="9.140625" style="61"/>
    <col min="8984" max="8984" width="16.5703125" style="61" customWidth="1"/>
    <col min="8985" max="8985" width="22.5703125" style="61" customWidth="1"/>
    <col min="8986" max="8987" width="9.140625" style="61"/>
    <col min="8988" max="8988" width="18.42578125" style="61" customWidth="1"/>
    <col min="8989" max="9000" width="9.140625" style="61"/>
    <col min="9001" max="9001" width="7.85546875" style="61" customWidth="1"/>
    <col min="9002" max="9002" width="39.42578125" style="61" customWidth="1"/>
    <col min="9003" max="9003" width="42.7109375" style="61" customWidth="1"/>
    <col min="9004" max="9004" width="14.7109375" style="61" customWidth="1"/>
    <col min="9005" max="9005" width="16.7109375" style="61" customWidth="1"/>
    <col min="9006" max="9006" width="19.28515625" style="61" customWidth="1"/>
    <col min="9007" max="9217" width="9.140625" style="61"/>
    <col min="9218" max="9219" width="6.42578125" style="61" customWidth="1"/>
    <col min="9220" max="9220" width="10.5703125" style="61" customWidth="1"/>
    <col min="9221" max="9221" width="10.7109375" style="61" customWidth="1"/>
    <col min="9222" max="9222" width="14.85546875" style="61" customWidth="1"/>
    <col min="9223" max="9223" width="16" style="61" customWidth="1"/>
    <col min="9224" max="9224" width="28" style="61" customWidth="1"/>
    <col min="9225" max="9225" width="12.7109375" style="61" customWidth="1"/>
    <col min="9226" max="9227" width="9.7109375" style="61" customWidth="1"/>
    <col min="9228" max="9228" width="14.85546875" style="61" customWidth="1"/>
    <col min="9229" max="9229" width="28.5703125" style="61" customWidth="1"/>
    <col min="9230" max="9230" width="9.140625" style="61"/>
    <col min="9231" max="9231" width="13.42578125" style="61" customWidth="1"/>
    <col min="9232" max="9233" width="9.140625" style="61"/>
    <col min="9234" max="9234" width="13.140625" style="61" customWidth="1"/>
    <col min="9235" max="9237" width="18.42578125" style="61" customWidth="1"/>
    <col min="9238" max="9238" width="10.85546875" style="61" customWidth="1"/>
    <col min="9239" max="9239" width="9.140625" style="61"/>
    <col min="9240" max="9240" width="16.5703125" style="61" customWidth="1"/>
    <col min="9241" max="9241" width="22.5703125" style="61" customWidth="1"/>
    <col min="9242" max="9243" width="9.140625" style="61"/>
    <col min="9244" max="9244" width="18.42578125" style="61" customWidth="1"/>
    <col min="9245" max="9256" width="9.140625" style="61"/>
    <col min="9257" max="9257" width="7.85546875" style="61" customWidth="1"/>
    <col min="9258" max="9258" width="39.42578125" style="61" customWidth="1"/>
    <col min="9259" max="9259" width="42.7109375" style="61" customWidth="1"/>
    <col min="9260" max="9260" width="14.7109375" style="61" customWidth="1"/>
    <col min="9261" max="9261" width="16.7109375" style="61" customWidth="1"/>
    <col min="9262" max="9262" width="19.28515625" style="61" customWidth="1"/>
    <col min="9263" max="9473" width="9.140625" style="61"/>
    <col min="9474" max="9475" width="6.42578125" style="61" customWidth="1"/>
    <col min="9476" max="9476" width="10.5703125" style="61" customWidth="1"/>
    <col min="9477" max="9477" width="10.7109375" style="61" customWidth="1"/>
    <col min="9478" max="9478" width="14.85546875" style="61" customWidth="1"/>
    <col min="9479" max="9479" width="16" style="61" customWidth="1"/>
    <col min="9480" max="9480" width="28" style="61" customWidth="1"/>
    <col min="9481" max="9481" width="12.7109375" style="61" customWidth="1"/>
    <col min="9482" max="9483" width="9.7109375" style="61" customWidth="1"/>
    <col min="9484" max="9484" width="14.85546875" style="61" customWidth="1"/>
    <col min="9485" max="9485" width="28.5703125" style="61" customWidth="1"/>
    <col min="9486" max="9486" width="9.140625" style="61"/>
    <col min="9487" max="9487" width="13.42578125" style="61" customWidth="1"/>
    <col min="9488" max="9489" width="9.140625" style="61"/>
    <col min="9490" max="9490" width="13.140625" style="61" customWidth="1"/>
    <col min="9491" max="9493" width="18.42578125" style="61" customWidth="1"/>
    <col min="9494" max="9494" width="10.85546875" style="61" customWidth="1"/>
    <col min="9495" max="9495" width="9.140625" style="61"/>
    <col min="9496" max="9496" width="16.5703125" style="61" customWidth="1"/>
    <col min="9497" max="9497" width="22.5703125" style="61" customWidth="1"/>
    <col min="9498" max="9499" width="9.140625" style="61"/>
    <col min="9500" max="9500" width="18.42578125" style="61" customWidth="1"/>
    <col min="9501" max="9512" width="9.140625" style="61"/>
    <col min="9513" max="9513" width="7.85546875" style="61" customWidth="1"/>
    <col min="9514" max="9514" width="39.42578125" style="61" customWidth="1"/>
    <col min="9515" max="9515" width="42.7109375" style="61" customWidth="1"/>
    <col min="9516" max="9516" width="14.7109375" style="61" customWidth="1"/>
    <col min="9517" max="9517" width="16.7109375" style="61" customWidth="1"/>
    <col min="9518" max="9518" width="19.28515625" style="61" customWidth="1"/>
    <col min="9519" max="9729" width="9.140625" style="61"/>
    <col min="9730" max="9731" width="6.42578125" style="61" customWidth="1"/>
    <col min="9732" max="9732" width="10.5703125" style="61" customWidth="1"/>
    <col min="9733" max="9733" width="10.7109375" style="61" customWidth="1"/>
    <col min="9734" max="9734" width="14.85546875" style="61" customWidth="1"/>
    <col min="9735" max="9735" width="16" style="61" customWidth="1"/>
    <col min="9736" max="9736" width="28" style="61" customWidth="1"/>
    <col min="9737" max="9737" width="12.7109375" style="61" customWidth="1"/>
    <col min="9738" max="9739" width="9.7109375" style="61" customWidth="1"/>
    <col min="9740" max="9740" width="14.85546875" style="61" customWidth="1"/>
    <col min="9741" max="9741" width="28.5703125" style="61" customWidth="1"/>
    <col min="9742" max="9742" width="9.140625" style="61"/>
    <col min="9743" max="9743" width="13.42578125" style="61" customWidth="1"/>
    <col min="9744" max="9745" width="9.140625" style="61"/>
    <col min="9746" max="9746" width="13.140625" style="61" customWidth="1"/>
    <col min="9747" max="9749" width="18.42578125" style="61" customWidth="1"/>
    <col min="9750" max="9750" width="10.85546875" style="61" customWidth="1"/>
    <col min="9751" max="9751" width="9.140625" style="61"/>
    <col min="9752" max="9752" width="16.5703125" style="61" customWidth="1"/>
    <col min="9753" max="9753" width="22.5703125" style="61" customWidth="1"/>
    <col min="9754" max="9755" width="9.140625" style="61"/>
    <col min="9756" max="9756" width="18.42578125" style="61" customWidth="1"/>
    <col min="9757" max="9768" width="9.140625" style="61"/>
    <col min="9769" max="9769" width="7.85546875" style="61" customWidth="1"/>
    <col min="9770" max="9770" width="39.42578125" style="61" customWidth="1"/>
    <col min="9771" max="9771" width="42.7109375" style="61" customWidth="1"/>
    <col min="9772" max="9772" width="14.7109375" style="61" customWidth="1"/>
    <col min="9773" max="9773" width="16.7109375" style="61" customWidth="1"/>
    <col min="9774" max="9774" width="19.28515625" style="61" customWidth="1"/>
    <col min="9775" max="9985" width="9.140625" style="61"/>
    <col min="9986" max="9987" width="6.42578125" style="61" customWidth="1"/>
    <col min="9988" max="9988" width="10.5703125" style="61" customWidth="1"/>
    <col min="9989" max="9989" width="10.7109375" style="61" customWidth="1"/>
    <col min="9990" max="9990" width="14.85546875" style="61" customWidth="1"/>
    <col min="9991" max="9991" width="16" style="61" customWidth="1"/>
    <col min="9992" max="9992" width="28" style="61" customWidth="1"/>
    <col min="9993" max="9993" width="12.7109375" style="61" customWidth="1"/>
    <col min="9994" max="9995" width="9.7109375" style="61" customWidth="1"/>
    <col min="9996" max="9996" width="14.85546875" style="61" customWidth="1"/>
    <col min="9997" max="9997" width="28.5703125" style="61" customWidth="1"/>
    <col min="9998" max="9998" width="9.140625" style="61"/>
    <col min="9999" max="9999" width="13.42578125" style="61" customWidth="1"/>
    <col min="10000" max="10001" width="9.140625" style="61"/>
    <col min="10002" max="10002" width="13.140625" style="61" customWidth="1"/>
    <col min="10003" max="10005" width="18.42578125" style="61" customWidth="1"/>
    <col min="10006" max="10006" width="10.85546875" style="61" customWidth="1"/>
    <col min="10007" max="10007" width="9.140625" style="61"/>
    <col min="10008" max="10008" width="16.5703125" style="61" customWidth="1"/>
    <col min="10009" max="10009" width="22.5703125" style="61" customWidth="1"/>
    <col min="10010" max="10011" width="9.140625" style="61"/>
    <col min="10012" max="10012" width="18.42578125" style="61" customWidth="1"/>
    <col min="10013" max="10024" width="9.140625" style="61"/>
    <col min="10025" max="10025" width="7.85546875" style="61" customWidth="1"/>
    <col min="10026" max="10026" width="39.42578125" style="61" customWidth="1"/>
    <col min="10027" max="10027" width="42.7109375" style="61" customWidth="1"/>
    <col min="10028" max="10028" width="14.7109375" style="61" customWidth="1"/>
    <col min="10029" max="10029" width="16.7109375" style="61" customWidth="1"/>
    <col min="10030" max="10030" width="19.28515625" style="61" customWidth="1"/>
    <col min="10031" max="10241" width="9.140625" style="61"/>
    <col min="10242" max="10243" width="6.42578125" style="61" customWidth="1"/>
    <col min="10244" max="10244" width="10.5703125" style="61" customWidth="1"/>
    <col min="10245" max="10245" width="10.7109375" style="61" customWidth="1"/>
    <col min="10246" max="10246" width="14.85546875" style="61" customWidth="1"/>
    <col min="10247" max="10247" width="16" style="61" customWidth="1"/>
    <col min="10248" max="10248" width="28" style="61" customWidth="1"/>
    <col min="10249" max="10249" width="12.7109375" style="61" customWidth="1"/>
    <col min="10250" max="10251" width="9.7109375" style="61" customWidth="1"/>
    <col min="10252" max="10252" width="14.85546875" style="61" customWidth="1"/>
    <col min="10253" max="10253" width="28.5703125" style="61" customWidth="1"/>
    <col min="10254" max="10254" width="9.140625" style="61"/>
    <col min="10255" max="10255" width="13.42578125" style="61" customWidth="1"/>
    <col min="10256" max="10257" width="9.140625" style="61"/>
    <col min="10258" max="10258" width="13.140625" style="61" customWidth="1"/>
    <col min="10259" max="10261" width="18.42578125" style="61" customWidth="1"/>
    <col min="10262" max="10262" width="10.85546875" style="61" customWidth="1"/>
    <col min="10263" max="10263" width="9.140625" style="61"/>
    <col min="10264" max="10264" width="16.5703125" style="61" customWidth="1"/>
    <col min="10265" max="10265" width="22.5703125" style="61" customWidth="1"/>
    <col min="10266" max="10267" width="9.140625" style="61"/>
    <col min="10268" max="10268" width="18.42578125" style="61" customWidth="1"/>
    <col min="10269" max="10280" width="9.140625" style="61"/>
    <col min="10281" max="10281" width="7.85546875" style="61" customWidth="1"/>
    <col min="10282" max="10282" width="39.42578125" style="61" customWidth="1"/>
    <col min="10283" max="10283" width="42.7109375" style="61" customWidth="1"/>
    <col min="10284" max="10284" width="14.7109375" style="61" customWidth="1"/>
    <col min="10285" max="10285" width="16.7109375" style="61" customWidth="1"/>
    <col min="10286" max="10286" width="19.28515625" style="61" customWidth="1"/>
    <col min="10287" max="10497" width="9.140625" style="61"/>
    <col min="10498" max="10499" width="6.42578125" style="61" customWidth="1"/>
    <col min="10500" max="10500" width="10.5703125" style="61" customWidth="1"/>
    <col min="10501" max="10501" width="10.7109375" style="61" customWidth="1"/>
    <col min="10502" max="10502" width="14.85546875" style="61" customWidth="1"/>
    <col min="10503" max="10503" width="16" style="61" customWidth="1"/>
    <col min="10504" max="10504" width="28" style="61" customWidth="1"/>
    <col min="10505" max="10505" width="12.7109375" style="61" customWidth="1"/>
    <col min="10506" max="10507" width="9.7109375" style="61" customWidth="1"/>
    <col min="10508" max="10508" width="14.85546875" style="61" customWidth="1"/>
    <col min="10509" max="10509" width="28.5703125" style="61" customWidth="1"/>
    <col min="10510" max="10510" width="9.140625" style="61"/>
    <col min="10511" max="10511" width="13.42578125" style="61" customWidth="1"/>
    <col min="10512" max="10513" width="9.140625" style="61"/>
    <col min="10514" max="10514" width="13.140625" style="61" customWidth="1"/>
    <col min="10515" max="10517" width="18.42578125" style="61" customWidth="1"/>
    <col min="10518" max="10518" width="10.85546875" style="61" customWidth="1"/>
    <col min="10519" max="10519" width="9.140625" style="61"/>
    <col min="10520" max="10520" width="16.5703125" style="61" customWidth="1"/>
    <col min="10521" max="10521" width="22.5703125" style="61" customWidth="1"/>
    <col min="10522" max="10523" width="9.140625" style="61"/>
    <col min="10524" max="10524" width="18.42578125" style="61" customWidth="1"/>
    <col min="10525" max="10536" width="9.140625" style="61"/>
    <col min="10537" max="10537" width="7.85546875" style="61" customWidth="1"/>
    <col min="10538" max="10538" width="39.42578125" style="61" customWidth="1"/>
    <col min="10539" max="10539" width="42.7109375" style="61" customWidth="1"/>
    <col min="10540" max="10540" width="14.7109375" style="61" customWidth="1"/>
    <col min="10541" max="10541" width="16.7109375" style="61" customWidth="1"/>
    <col min="10542" max="10542" width="19.28515625" style="61" customWidth="1"/>
    <col min="10543" max="10753" width="9.140625" style="61"/>
    <col min="10754" max="10755" width="6.42578125" style="61" customWidth="1"/>
    <col min="10756" max="10756" width="10.5703125" style="61" customWidth="1"/>
    <col min="10757" max="10757" width="10.7109375" style="61" customWidth="1"/>
    <col min="10758" max="10758" width="14.85546875" style="61" customWidth="1"/>
    <col min="10759" max="10759" width="16" style="61" customWidth="1"/>
    <col min="10760" max="10760" width="28" style="61" customWidth="1"/>
    <col min="10761" max="10761" width="12.7109375" style="61" customWidth="1"/>
    <col min="10762" max="10763" width="9.7109375" style="61" customWidth="1"/>
    <col min="10764" max="10764" width="14.85546875" style="61" customWidth="1"/>
    <col min="10765" max="10765" width="28.5703125" style="61" customWidth="1"/>
    <col min="10766" max="10766" width="9.140625" style="61"/>
    <col min="10767" max="10767" width="13.42578125" style="61" customWidth="1"/>
    <col min="10768" max="10769" width="9.140625" style="61"/>
    <col min="10770" max="10770" width="13.140625" style="61" customWidth="1"/>
    <col min="10771" max="10773" width="18.42578125" style="61" customWidth="1"/>
    <col min="10774" max="10774" width="10.85546875" style="61" customWidth="1"/>
    <col min="10775" max="10775" width="9.140625" style="61"/>
    <col min="10776" max="10776" width="16.5703125" style="61" customWidth="1"/>
    <col min="10777" max="10777" width="22.5703125" style="61" customWidth="1"/>
    <col min="10778" max="10779" width="9.140625" style="61"/>
    <col min="10780" max="10780" width="18.42578125" style="61" customWidth="1"/>
    <col min="10781" max="10792" width="9.140625" style="61"/>
    <col min="10793" max="10793" width="7.85546875" style="61" customWidth="1"/>
    <col min="10794" max="10794" width="39.42578125" style="61" customWidth="1"/>
    <col min="10795" max="10795" width="42.7109375" style="61" customWidth="1"/>
    <col min="10796" max="10796" width="14.7109375" style="61" customWidth="1"/>
    <col min="10797" max="10797" width="16.7109375" style="61" customWidth="1"/>
    <col min="10798" max="10798" width="19.28515625" style="61" customWidth="1"/>
    <col min="10799" max="11009" width="9.140625" style="61"/>
    <col min="11010" max="11011" width="6.42578125" style="61" customWidth="1"/>
    <col min="11012" max="11012" width="10.5703125" style="61" customWidth="1"/>
    <col min="11013" max="11013" width="10.7109375" style="61" customWidth="1"/>
    <col min="11014" max="11014" width="14.85546875" style="61" customWidth="1"/>
    <col min="11015" max="11015" width="16" style="61" customWidth="1"/>
    <col min="11016" max="11016" width="28" style="61" customWidth="1"/>
    <col min="11017" max="11017" width="12.7109375" style="61" customWidth="1"/>
    <col min="11018" max="11019" width="9.7109375" style="61" customWidth="1"/>
    <col min="11020" max="11020" width="14.85546875" style="61" customWidth="1"/>
    <col min="11021" max="11021" width="28.5703125" style="61" customWidth="1"/>
    <col min="11022" max="11022" width="9.140625" style="61"/>
    <col min="11023" max="11023" width="13.42578125" style="61" customWidth="1"/>
    <col min="11024" max="11025" width="9.140625" style="61"/>
    <col min="11026" max="11026" width="13.140625" style="61" customWidth="1"/>
    <col min="11027" max="11029" width="18.42578125" style="61" customWidth="1"/>
    <col min="11030" max="11030" width="10.85546875" style="61" customWidth="1"/>
    <col min="11031" max="11031" width="9.140625" style="61"/>
    <col min="11032" max="11032" width="16.5703125" style="61" customWidth="1"/>
    <col min="11033" max="11033" width="22.5703125" style="61" customWidth="1"/>
    <col min="11034" max="11035" width="9.140625" style="61"/>
    <col min="11036" max="11036" width="18.42578125" style="61" customWidth="1"/>
    <col min="11037" max="11048" width="9.140625" style="61"/>
    <col min="11049" max="11049" width="7.85546875" style="61" customWidth="1"/>
    <col min="11050" max="11050" width="39.42578125" style="61" customWidth="1"/>
    <col min="11051" max="11051" width="42.7109375" style="61" customWidth="1"/>
    <col min="11052" max="11052" width="14.7109375" style="61" customWidth="1"/>
    <col min="11053" max="11053" width="16.7109375" style="61" customWidth="1"/>
    <col min="11054" max="11054" width="19.28515625" style="61" customWidth="1"/>
    <col min="11055" max="11265" width="9.140625" style="61"/>
    <col min="11266" max="11267" width="6.42578125" style="61" customWidth="1"/>
    <col min="11268" max="11268" width="10.5703125" style="61" customWidth="1"/>
    <col min="11269" max="11269" width="10.7109375" style="61" customWidth="1"/>
    <col min="11270" max="11270" width="14.85546875" style="61" customWidth="1"/>
    <col min="11271" max="11271" width="16" style="61" customWidth="1"/>
    <col min="11272" max="11272" width="28" style="61" customWidth="1"/>
    <col min="11273" max="11273" width="12.7109375" style="61" customWidth="1"/>
    <col min="11274" max="11275" width="9.7109375" style="61" customWidth="1"/>
    <col min="11276" max="11276" width="14.85546875" style="61" customWidth="1"/>
    <col min="11277" max="11277" width="28.5703125" style="61" customWidth="1"/>
    <col min="11278" max="11278" width="9.140625" style="61"/>
    <col min="11279" max="11279" width="13.42578125" style="61" customWidth="1"/>
    <col min="11280" max="11281" width="9.140625" style="61"/>
    <col min="11282" max="11282" width="13.140625" style="61" customWidth="1"/>
    <col min="11283" max="11285" width="18.42578125" style="61" customWidth="1"/>
    <col min="11286" max="11286" width="10.85546875" style="61" customWidth="1"/>
    <col min="11287" max="11287" width="9.140625" style="61"/>
    <col min="11288" max="11288" width="16.5703125" style="61" customWidth="1"/>
    <col min="11289" max="11289" width="22.5703125" style="61" customWidth="1"/>
    <col min="11290" max="11291" width="9.140625" style="61"/>
    <col min="11292" max="11292" width="18.42578125" style="61" customWidth="1"/>
    <col min="11293" max="11304" width="9.140625" style="61"/>
    <col min="11305" max="11305" width="7.85546875" style="61" customWidth="1"/>
    <col min="11306" max="11306" width="39.42578125" style="61" customWidth="1"/>
    <col min="11307" max="11307" width="42.7109375" style="61" customWidth="1"/>
    <col min="11308" max="11308" width="14.7109375" style="61" customWidth="1"/>
    <col min="11309" max="11309" width="16.7109375" style="61" customWidth="1"/>
    <col min="11310" max="11310" width="19.28515625" style="61" customWidth="1"/>
    <col min="11311" max="11521" width="9.140625" style="61"/>
    <col min="11522" max="11523" width="6.42578125" style="61" customWidth="1"/>
    <col min="11524" max="11524" width="10.5703125" style="61" customWidth="1"/>
    <col min="11525" max="11525" width="10.7109375" style="61" customWidth="1"/>
    <col min="11526" max="11526" width="14.85546875" style="61" customWidth="1"/>
    <col min="11527" max="11527" width="16" style="61" customWidth="1"/>
    <col min="11528" max="11528" width="28" style="61" customWidth="1"/>
    <col min="11529" max="11529" width="12.7109375" style="61" customWidth="1"/>
    <col min="11530" max="11531" width="9.7109375" style="61" customWidth="1"/>
    <col min="11532" max="11532" width="14.85546875" style="61" customWidth="1"/>
    <col min="11533" max="11533" width="28.5703125" style="61" customWidth="1"/>
    <col min="11534" max="11534" width="9.140625" style="61"/>
    <col min="11535" max="11535" width="13.42578125" style="61" customWidth="1"/>
    <col min="11536" max="11537" width="9.140625" style="61"/>
    <col min="11538" max="11538" width="13.140625" style="61" customWidth="1"/>
    <col min="11539" max="11541" width="18.42578125" style="61" customWidth="1"/>
    <col min="11542" max="11542" width="10.85546875" style="61" customWidth="1"/>
    <col min="11543" max="11543" width="9.140625" style="61"/>
    <col min="11544" max="11544" width="16.5703125" style="61" customWidth="1"/>
    <col min="11545" max="11545" width="22.5703125" style="61" customWidth="1"/>
    <col min="11546" max="11547" width="9.140625" style="61"/>
    <col min="11548" max="11548" width="18.42578125" style="61" customWidth="1"/>
    <col min="11549" max="11560" width="9.140625" style="61"/>
    <col min="11561" max="11561" width="7.85546875" style="61" customWidth="1"/>
    <col min="11562" max="11562" width="39.42578125" style="61" customWidth="1"/>
    <col min="11563" max="11563" width="42.7109375" style="61" customWidth="1"/>
    <col min="11564" max="11564" width="14.7109375" style="61" customWidth="1"/>
    <col min="11565" max="11565" width="16.7109375" style="61" customWidth="1"/>
    <col min="11566" max="11566" width="19.28515625" style="61" customWidth="1"/>
    <col min="11567" max="11777" width="9.140625" style="61"/>
    <col min="11778" max="11779" width="6.42578125" style="61" customWidth="1"/>
    <col min="11780" max="11780" width="10.5703125" style="61" customWidth="1"/>
    <col min="11781" max="11781" width="10.7109375" style="61" customWidth="1"/>
    <col min="11782" max="11782" width="14.85546875" style="61" customWidth="1"/>
    <col min="11783" max="11783" width="16" style="61" customWidth="1"/>
    <col min="11784" max="11784" width="28" style="61" customWidth="1"/>
    <col min="11785" max="11785" width="12.7109375" style="61" customWidth="1"/>
    <col min="11786" max="11787" width="9.7109375" style="61" customWidth="1"/>
    <col min="11788" max="11788" width="14.85546875" style="61" customWidth="1"/>
    <col min="11789" max="11789" width="28.5703125" style="61" customWidth="1"/>
    <col min="11790" max="11790" width="9.140625" style="61"/>
    <col min="11791" max="11791" width="13.42578125" style="61" customWidth="1"/>
    <col min="11792" max="11793" width="9.140625" style="61"/>
    <col min="11794" max="11794" width="13.140625" style="61" customWidth="1"/>
    <col min="11795" max="11797" width="18.42578125" style="61" customWidth="1"/>
    <col min="11798" max="11798" width="10.85546875" style="61" customWidth="1"/>
    <col min="11799" max="11799" width="9.140625" style="61"/>
    <col min="11800" max="11800" width="16.5703125" style="61" customWidth="1"/>
    <col min="11801" max="11801" width="22.5703125" style="61" customWidth="1"/>
    <col min="11802" max="11803" width="9.140625" style="61"/>
    <col min="11804" max="11804" width="18.42578125" style="61" customWidth="1"/>
    <col min="11805" max="11816" width="9.140625" style="61"/>
    <col min="11817" max="11817" width="7.85546875" style="61" customWidth="1"/>
    <col min="11818" max="11818" width="39.42578125" style="61" customWidth="1"/>
    <col min="11819" max="11819" width="42.7109375" style="61" customWidth="1"/>
    <col min="11820" max="11820" width="14.7109375" style="61" customWidth="1"/>
    <col min="11821" max="11821" width="16.7109375" style="61" customWidth="1"/>
    <col min="11822" max="11822" width="19.28515625" style="61" customWidth="1"/>
    <col min="11823" max="12033" width="9.140625" style="61"/>
    <col min="12034" max="12035" width="6.42578125" style="61" customWidth="1"/>
    <col min="12036" max="12036" width="10.5703125" style="61" customWidth="1"/>
    <col min="12037" max="12037" width="10.7109375" style="61" customWidth="1"/>
    <col min="12038" max="12038" width="14.85546875" style="61" customWidth="1"/>
    <col min="12039" max="12039" width="16" style="61" customWidth="1"/>
    <col min="12040" max="12040" width="28" style="61" customWidth="1"/>
    <col min="12041" max="12041" width="12.7109375" style="61" customWidth="1"/>
    <col min="12042" max="12043" width="9.7109375" style="61" customWidth="1"/>
    <col min="12044" max="12044" width="14.85546875" style="61" customWidth="1"/>
    <col min="12045" max="12045" width="28.5703125" style="61" customWidth="1"/>
    <col min="12046" max="12046" width="9.140625" style="61"/>
    <col min="12047" max="12047" width="13.42578125" style="61" customWidth="1"/>
    <col min="12048" max="12049" width="9.140625" style="61"/>
    <col min="12050" max="12050" width="13.140625" style="61" customWidth="1"/>
    <col min="12051" max="12053" width="18.42578125" style="61" customWidth="1"/>
    <col min="12054" max="12054" width="10.85546875" style="61" customWidth="1"/>
    <col min="12055" max="12055" width="9.140625" style="61"/>
    <col min="12056" max="12056" width="16.5703125" style="61" customWidth="1"/>
    <col min="12057" max="12057" width="22.5703125" style="61" customWidth="1"/>
    <col min="12058" max="12059" width="9.140625" style="61"/>
    <col min="12060" max="12060" width="18.42578125" style="61" customWidth="1"/>
    <col min="12061" max="12072" width="9.140625" style="61"/>
    <col min="12073" max="12073" width="7.85546875" style="61" customWidth="1"/>
    <col min="12074" max="12074" width="39.42578125" style="61" customWidth="1"/>
    <col min="12075" max="12075" width="42.7109375" style="61" customWidth="1"/>
    <col min="12076" max="12076" width="14.7109375" style="61" customWidth="1"/>
    <col min="12077" max="12077" width="16.7109375" style="61" customWidth="1"/>
    <col min="12078" max="12078" width="19.28515625" style="61" customWidth="1"/>
    <col min="12079" max="12289" width="9.140625" style="61"/>
    <col min="12290" max="12291" width="6.42578125" style="61" customWidth="1"/>
    <col min="12292" max="12292" width="10.5703125" style="61" customWidth="1"/>
    <col min="12293" max="12293" width="10.7109375" style="61" customWidth="1"/>
    <col min="12294" max="12294" width="14.85546875" style="61" customWidth="1"/>
    <col min="12295" max="12295" width="16" style="61" customWidth="1"/>
    <col min="12296" max="12296" width="28" style="61" customWidth="1"/>
    <col min="12297" max="12297" width="12.7109375" style="61" customWidth="1"/>
    <col min="12298" max="12299" width="9.7109375" style="61" customWidth="1"/>
    <col min="12300" max="12300" width="14.85546875" style="61" customWidth="1"/>
    <col min="12301" max="12301" width="28.5703125" style="61" customWidth="1"/>
    <col min="12302" max="12302" width="9.140625" style="61"/>
    <col min="12303" max="12303" width="13.42578125" style="61" customWidth="1"/>
    <col min="12304" max="12305" width="9.140625" style="61"/>
    <col min="12306" max="12306" width="13.140625" style="61" customWidth="1"/>
    <col min="12307" max="12309" width="18.42578125" style="61" customWidth="1"/>
    <col min="12310" max="12310" width="10.85546875" style="61" customWidth="1"/>
    <col min="12311" max="12311" width="9.140625" style="61"/>
    <col min="12312" max="12312" width="16.5703125" style="61" customWidth="1"/>
    <col min="12313" max="12313" width="22.5703125" style="61" customWidth="1"/>
    <col min="12314" max="12315" width="9.140625" style="61"/>
    <col min="12316" max="12316" width="18.42578125" style="61" customWidth="1"/>
    <col min="12317" max="12328" width="9.140625" style="61"/>
    <col min="12329" max="12329" width="7.85546875" style="61" customWidth="1"/>
    <col min="12330" max="12330" width="39.42578125" style="61" customWidth="1"/>
    <col min="12331" max="12331" width="42.7109375" style="61" customWidth="1"/>
    <col min="12332" max="12332" width="14.7109375" style="61" customWidth="1"/>
    <col min="12333" max="12333" width="16.7109375" style="61" customWidth="1"/>
    <col min="12334" max="12334" width="19.28515625" style="61" customWidth="1"/>
    <col min="12335" max="12545" width="9.140625" style="61"/>
    <col min="12546" max="12547" width="6.42578125" style="61" customWidth="1"/>
    <col min="12548" max="12548" width="10.5703125" style="61" customWidth="1"/>
    <col min="12549" max="12549" width="10.7109375" style="61" customWidth="1"/>
    <col min="12550" max="12550" width="14.85546875" style="61" customWidth="1"/>
    <col min="12551" max="12551" width="16" style="61" customWidth="1"/>
    <col min="12552" max="12552" width="28" style="61" customWidth="1"/>
    <col min="12553" max="12553" width="12.7109375" style="61" customWidth="1"/>
    <col min="12554" max="12555" width="9.7109375" style="61" customWidth="1"/>
    <col min="12556" max="12556" width="14.85546875" style="61" customWidth="1"/>
    <col min="12557" max="12557" width="28.5703125" style="61" customWidth="1"/>
    <col min="12558" max="12558" width="9.140625" style="61"/>
    <col min="12559" max="12559" width="13.42578125" style="61" customWidth="1"/>
    <col min="12560" max="12561" width="9.140625" style="61"/>
    <col min="12562" max="12562" width="13.140625" style="61" customWidth="1"/>
    <col min="12563" max="12565" width="18.42578125" style="61" customWidth="1"/>
    <col min="12566" max="12566" width="10.85546875" style="61" customWidth="1"/>
    <col min="12567" max="12567" width="9.140625" style="61"/>
    <col min="12568" max="12568" width="16.5703125" style="61" customWidth="1"/>
    <col min="12569" max="12569" width="22.5703125" style="61" customWidth="1"/>
    <col min="12570" max="12571" width="9.140625" style="61"/>
    <col min="12572" max="12572" width="18.42578125" style="61" customWidth="1"/>
    <col min="12573" max="12584" width="9.140625" style="61"/>
    <col min="12585" max="12585" width="7.85546875" style="61" customWidth="1"/>
    <col min="12586" max="12586" width="39.42578125" style="61" customWidth="1"/>
    <col min="12587" max="12587" width="42.7109375" style="61" customWidth="1"/>
    <col min="12588" max="12588" width="14.7109375" style="61" customWidth="1"/>
    <col min="12589" max="12589" width="16.7109375" style="61" customWidth="1"/>
    <col min="12590" max="12590" width="19.28515625" style="61" customWidth="1"/>
    <col min="12591" max="12801" width="9.140625" style="61"/>
    <col min="12802" max="12803" width="6.42578125" style="61" customWidth="1"/>
    <col min="12804" max="12804" width="10.5703125" style="61" customWidth="1"/>
    <col min="12805" max="12805" width="10.7109375" style="61" customWidth="1"/>
    <col min="12806" max="12806" width="14.85546875" style="61" customWidth="1"/>
    <col min="12807" max="12807" width="16" style="61" customWidth="1"/>
    <col min="12808" max="12808" width="28" style="61" customWidth="1"/>
    <col min="12809" max="12809" width="12.7109375" style="61" customWidth="1"/>
    <col min="12810" max="12811" width="9.7109375" style="61" customWidth="1"/>
    <col min="12812" max="12812" width="14.85546875" style="61" customWidth="1"/>
    <col min="12813" max="12813" width="28.5703125" style="61" customWidth="1"/>
    <col min="12814" max="12814" width="9.140625" style="61"/>
    <col min="12815" max="12815" width="13.42578125" style="61" customWidth="1"/>
    <col min="12816" max="12817" width="9.140625" style="61"/>
    <col min="12818" max="12818" width="13.140625" style="61" customWidth="1"/>
    <col min="12819" max="12821" width="18.42578125" style="61" customWidth="1"/>
    <col min="12822" max="12822" width="10.85546875" style="61" customWidth="1"/>
    <col min="12823" max="12823" width="9.140625" style="61"/>
    <col min="12824" max="12824" width="16.5703125" style="61" customWidth="1"/>
    <col min="12825" max="12825" width="22.5703125" style="61" customWidth="1"/>
    <col min="12826" max="12827" width="9.140625" style="61"/>
    <col min="12828" max="12828" width="18.42578125" style="61" customWidth="1"/>
    <col min="12829" max="12840" width="9.140625" style="61"/>
    <col min="12841" max="12841" width="7.85546875" style="61" customWidth="1"/>
    <col min="12842" max="12842" width="39.42578125" style="61" customWidth="1"/>
    <col min="12843" max="12843" width="42.7109375" style="61" customWidth="1"/>
    <col min="12844" max="12844" width="14.7109375" style="61" customWidth="1"/>
    <col min="12845" max="12845" width="16.7109375" style="61" customWidth="1"/>
    <col min="12846" max="12846" width="19.28515625" style="61" customWidth="1"/>
    <col min="12847" max="13057" width="9.140625" style="61"/>
    <col min="13058" max="13059" width="6.42578125" style="61" customWidth="1"/>
    <col min="13060" max="13060" width="10.5703125" style="61" customWidth="1"/>
    <col min="13061" max="13061" width="10.7109375" style="61" customWidth="1"/>
    <col min="13062" max="13062" width="14.85546875" style="61" customWidth="1"/>
    <col min="13063" max="13063" width="16" style="61" customWidth="1"/>
    <col min="13064" max="13064" width="28" style="61" customWidth="1"/>
    <col min="13065" max="13065" width="12.7109375" style="61" customWidth="1"/>
    <col min="13066" max="13067" width="9.7109375" style="61" customWidth="1"/>
    <col min="13068" max="13068" width="14.85546875" style="61" customWidth="1"/>
    <col min="13069" max="13069" width="28.5703125" style="61" customWidth="1"/>
    <col min="13070" max="13070" width="9.140625" style="61"/>
    <col min="13071" max="13071" width="13.42578125" style="61" customWidth="1"/>
    <col min="13072" max="13073" width="9.140625" style="61"/>
    <col min="13074" max="13074" width="13.140625" style="61" customWidth="1"/>
    <col min="13075" max="13077" width="18.42578125" style="61" customWidth="1"/>
    <col min="13078" max="13078" width="10.85546875" style="61" customWidth="1"/>
    <col min="13079" max="13079" width="9.140625" style="61"/>
    <col min="13080" max="13080" width="16.5703125" style="61" customWidth="1"/>
    <col min="13081" max="13081" width="22.5703125" style="61" customWidth="1"/>
    <col min="13082" max="13083" width="9.140625" style="61"/>
    <col min="13084" max="13084" width="18.42578125" style="61" customWidth="1"/>
    <col min="13085" max="13096" width="9.140625" style="61"/>
    <col min="13097" max="13097" width="7.85546875" style="61" customWidth="1"/>
    <col min="13098" max="13098" width="39.42578125" style="61" customWidth="1"/>
    <col min="13099" max="13099" width="42.7109375" style="61" customWidth="1"/>
    <col min="13100" max="13100" width="14.7109375" style="61" customWidth="1"/>
    <col min="13101" max="13101" width="16.7109375" style="61" customWidth="1"/>
    <col min="13102" max="13102" width="19.28515625" style="61" customWidth="1"/>
    <col min="13103" max="13313" width="9.140625" style="61"/>
    <col min="13314" max="13315" width="6.42578125" style="61" customWidth="1"/>
    <col min="13316" max="13316" width="10.5703125" style="61" customWidth="1"/>
    <col min="13317" max="13317" width="10.7109375" style="61" customWidth="1"/>
    <col min="13318" max="13318" width="14.85546875" style="61" customWidth="1"/>
    <col min="13319" max="13319" width="16" style="61" customWidth="1"/>
    <col min="13320" max="13320" width="28" style="61" customWidth="1"/>
    <col min="13321" max="13321" width="12.7109375" style="61" customWidth="1"/>
    <col min="13322" max="13323" width="9.7109375" style="61" customWidth="1"/>
    <col min="13324" max="13324" width="14.85546875" style="61" customWidth="1"/>
    <col min="13325" max="13325" width="28.5703125" style="61" customWidth="1"/>
    <col min="13326" max="13326" width="9.140625" style="61"/>
    <col min="13327" max="13327" width="13.42578125" style="61" customWidth="1"/>
    <col min="13328" max="13329" width="9.140625" style="61"/>
    <col min="13330" max="13330" width="13.140625" style="61" customWidth="1"/>
    <col min="13331" max="13333" width="18.42578125" style="61" customWidth="1"/>
    <col min="13334" max="13334" width="10.85546875" style="61" customWidth="1"/>
    <col min="13335" max="13335" width="9.140625" style="61"/>
    <col min="13336" max="13336" width="16.5703125" style="61" customWidth="1"/>
    <col min="13337" max="13337" width="22.5703125" style="61" customWidth="1"/>
    <col min="13338" max="13339" width="9.140625" style="61"/>
    <col min="13340" max="13340" width="18.42578125" style="61" customWidth="1"/>
    <col min="13341" max="13352" width="9.140625" style="61"/>
    <col min="13353" max="13353" width="7.85546875" style="61" customWidth="1"/>
    <col min="13354" max="13354" width="39.42578125" style="61" customWidth="1"/>
    <col min="13355" max="13355" width="42.7109375" style="61" customWidth="1"/>
    <col min="13356" max="13356" width="14.7109375" style="61" customWidth="1"/>
    <col min="13357" max="13357" width="16.7109375" style="61" customWidth="1"/>
    <col min="13358" max="13358" width="19.28515625" style="61" customWidth="1"/>
    <col min="13359" max="13569" width="9.140625" style="61"/>
    <col min="13570" max="13571" width="6.42578125" style="61" customWidth="1"/>
    <col min="13572" max="13572" width="10.5703125" style="61" customWidth="1"/>
    <col min="13573" max="13573" width="10.7109375" style="61" customWidth="1"/>
    <col min="13574" max="13574" width="14.85546875" style="61" customWidth="1"/>
    <col min="13575" max="13575" width="16" style="61" customWidth="1"/>
    <col min="13576" max="13576" width="28" style="61" customWidth="1"/>
    <col min="13577" max="13577" width="12.7109375" style="61" customWidth="1"/>
    <col min="13578" max="13579" width="9.7109375" style="61" customWidth="1"/>
    <col min="13580" max="13580" width="14.85546875" style="61" customWidth="1"/>
    <col min="13581" max="13581" width="28.5703125" style="61" customWidth="1"/>
    <col min="13582" max="13582" width="9.140625" style="61"/>
    <col min="13583" max="13583" width="13.42578125" style="61" customWidth="1"/>
    <col min="13584" max="13585" width="9.140625" style="61"/>
    <col min="13586" max="13586" width="13.140625" style="61" customWidth="1"/>
    <col min="13587" max="13589" width="18.42578125" style="61" customWidth="1"/>
    <col min="13590" max="13590" width="10.85546875" style="61" customWidth="1"/>
    <col min="13591" max="13591" width="9.140625" style="61"/>
    <col min="13592" max="13592" width="16.5703125" style="61" customWidth="1"/>
    <col min="13593" max="13593" width="22.5703125" style="61" customWidth="1"/>
    <col min="13594" max="13595" width="9.140625" style="61"/>
    <col min="13596" max="13596" width="18.42578125" style="61" customWidth="1"/>
    <col min="13597" max="13608" width="9.140625" style="61"/>
    <col min="13609" max="13609" width="7.85546875" style="61" customWidth="1"/>
    <col min="13610" max="13610" width="39.42578125" style="61" customWidth="1"/>
    <col min="13611" max="13611" width="42.7109375" style="61" customWidth="1"/>
    <col min="13612" max="13612" width="14.7109375" style="61" customWidth="1"/>
    <col min="13613" max="13613" width="16.7109375" style="61" customWidth="1"/>
    <col min="13614" max="13614" width="19.28515625" style="61" customWidth="1"/>
    <col min="13615" max="13825" width="9.140625" style="61"/>
    <col min="13826" max="13827" width="6.42578125" style="61" customWidth="1"/>
    <col min="13828" max="13828" width="10.5703125" style="61" customWidth="1"/>
    <col min="13829" max="13829" width="10.7109375" style="61" customWidth="1"/>
    <col min="13830" max="13830" width="14.85546875" style="61" customWidth="1"/>
    <col min="13831" max="13831" width="16" style="61" customWidth="1"/>
    <col min="13832" max="13832" width="28" style="61" customWidth="1"/>
    <col min="13833" max="13833" width="12.7109375" style="61" customWidth="1"/>
    <col min="13834" max="13835" width="9.7109375" style="61" customWidth="1"/>
    <col min="13836" max="13836" width="14.85546875" style="61" customWidth="1"/>
    <col min="13837" max="13837" width="28.5703125" style="61" customWidth="1"/>
    <col min="13838" max="13838" width="9.140625" style="61"/>
    <col min="13839" max="13839" width="13.42578125" style="61" customWidth="1"/>
    <col min="13840" max="13841" width="9.140625" style="61"/>
    <col min="13842" max="13842" width="13.140625" style="61" customWidth="1"/>
    <col min="13843" max="13845" width="18.42578125" style="61" customWidth="1"/>
    <col min="13846" max="13846" width="10.85546875" style="61" customWidth="1"/>
    <col min="13847" max="13847" width="9.140625" style="61"/>
    <col min="13848" max="13848" width="16.5703125" style="61" customWidth="1"/>
    <col min="13849" max="13849" width="22.5703125" style="61" customWidth="1"/>
    <col min="13850" max="13851" width="9.140625" style="61"/>
    <col min="13852" max="13852" width="18.42578125" style="61" customWidth="1"/>
    <col min="13853" max="13864" width="9.140625" style="61"/>
    <col min="13865" max="13865" width="7.85546875" style="61" customWidth="1"/>
    <col min="13866" max="13866" width="39.42578125" style="61" customWidth="1"/>
    <col min="13867" max="13867" width="42.7109375" style="61" customWidth="1"/>
    <col min="13868" max="13868" width="14.7109375" style="61" customWidth="1"/>
    <col min="13869" max="13869" width="16.7109375" style="61" customWidth="1"/>
    <col min="13870" max="13870" width="19.28515625" style="61" customWidth="1"/>
    <col min="13871" max="14081" width="9.140625" style="61"/>
    <col min="14082" max="14083" width="6.42578125" style="61" customWidth="1"/>
    <col min="14084" max="14084" width="10.5703125" style="61" customWidth="1"/>
    <col min="14085" max="14085" width="10.7109375" style="61" customWidth="1"/>
    <col min="14086" max="14086" width="14.85546875" style="61" customWidth="1"/>
    <col min="14087" max="14087" width="16" style="61" customWidth="1"/>
    <col min="14088" max="14088" width="28" style="61" customWidth="1"/>
    <col min="14089" max="14089" width="12.7109375" style="61" customWidth="1"/>
    <col min="14090" max="14091" width="9.7109375" style="61" customWidth="1"/>
    <col min="14092" max="14092" width="14.85546875" style="61" customWidth="1"/>
    <col min="14093" max="14093" width="28.5703125" style="61" customWidth="1"/>
    <col min="14094" max="14094" width="9.140625" style="61"/>
    <col min="14095" max="14095" width="13.42578125" style="61" customWidth="1"/>
    <col min="14096" max="14097" width="9.140625" style="61"/>
    <col min="14098" max="14098" width="13.140625" style="61" customWidth="1"/>
    <col min="14099" max="14101" width="18.42578125" style="61" customWidth="1"/>
    <col min="14102" max="14102" width="10.85546875" style="61" customWidth="1"/>
    <col min="14103" max="14103" width="9.140625" style="61"/>
    <col min="14104" max="14104" width="16.5703125" style="61" customWidth="1"/>
    <col min="14105" max="14105" width="22.5703125" style="61" customWidth="1"/>
    <col min="14106" max="14107" width="9.140625" style="61"/>
    <col min="14108" max="14108" width="18.42578125" style="61" customWidth="1"/>
    <col min="14109" max="14120" width="9.140625" style="61"/>
    <col min="14121" max="14121" width="7.85546875" style="61" customWidth="1"/>
    <col min="14122" max="14122" width="39.42578125" style="61" customWidth="1"/>
    <col min="14123" max="14123" width="42.7109375" style="61" customWidth="1"/>
    <col min="14124" max="14124" width="14.7109375" style="61" customWidth="1"/>
    <col min="14125" max="14125" width="16.7109375" style="61" customWidth="1"/>
    <col min="14126" max="14126" width="19.28515625" style="61" customWidth="1"/>
    <col min="14127" max="14337" width="9.140625" style="61"/>
    <col min="14338" max="14339" width="6.42578125" style="61" customWidth="1"/>
    <col min="14340" max="14340" width="10.5703125" style="61" customWidth="1"/>
    <col min="14341" max="14341" width="10.7109375" style="61" customWidth="1"/>
    <col min="14342" max="14342" width="14.85546875" style="61" customWidth="1"/>
    <col min="14343" max="14343" width="16" style="61" customWidth="1"/>
    <col min="14344" max="14344" width="28" style="61" customWidth="1"/>
    <col min="14345" max="14345" width="12.7109375" style="61" customWidth="1"/>
    <col min="14346" max="14347" width="9.7109375" style="61" customWidth="1"/>
    <col min="14348" max="14348" width="14.85546875" style="61" customWidth="1"/>
    <col min="14349" max="14349" width="28.5703125" style="61" customWidth="1"/>
    <col min="14350" max="14350" width="9.140625" style="61"/>
    <col min="14351" max="14351" width="13.42578125" style="61" customWidth="1"/>
    <col min="14352" max="14353" width="9.140625" style="61"/>
    <col min="14354" max="14354" width="13.140625" style="61" customWidth="1"/>
    <col min="14355" max="14357" width="18.42578125" style="61" customWidth="1"/>
    <col min="14358" max="14358" width="10.85546875" style="61" customWidth="1"/>
    <col min="14359" max="14359" width="9.140625" style="61"/>
    <col min="14360" max="14360" width="16.5703125" style="61" customWidth="1"/>
    <col min="14361" max="14361" width="22.5703125" style="61" customWidth="1"/>
    <col min="14362" max="14363" width="9.140625" style="61"/>
    <col min="14364" max="14364" width="18.42578125" style="61" customWidth="1"/>
    <col min="14365" max="14376" width="9.140625" style="61"/>
    <col min="14377" max="14377" width="7.85546875" style="61" customWidth="1"/>
    <col min="14378" max="14378" width="39.42578125" style="61" customWidth="1"/>
    <col min="14379" max="14379" width="42.7109375" style="61" customWidth="1"/>
    <col min="14380" max="14380" width="14.7109375" style="61" customWidth="1"/>
    <col min="14381" max="14381" width="16.7109375" style="61" customWidth="1"/>
    <col min="14382" max="14382" width="19.28515625" style="61" customWidth="1"/>
    <col min="14383" max="14593" width="9.140625" style="61"/>
    <col min="14594" max="14595" width="6.42578125" style="61" customWidth="1"/>
    <col min="14596" max="14596" width="10.5703125" style="61" customWidth="1"/>
    <col min="14597" max="14597" width="10.7109375" style="61" customWidth="1"/>
    <col min="14598" max="14598" width="14.85546875" style="61" customWidth="1"/>
    <col min="14599" max="14599" width="16" style="61" customWidth="1"/>
    <col min="14600" max="14600" width="28" style="61" customWidth="1"/>
    <col min="14601" max="14601" width="12.7109375" style="61" customWidth="1"/>
    <col min="14602" max="14603" width="9.7109375" style="61" customWidth="1"/>
    <col min="14604" max="14604" width="14.85546875" style="61" customWidth="1"/>
    <col min="14605" max="14605" width="28.5703125" style="61" customWidth="1"/>
    <col min="14606" max="14606" width="9.140625" style="61"/>
    <col min="14607" max="14607" width="13.42578125" style="61" customWidth="1"/>
    <col min="14608" max="14609" width="9.140625" style="61"/>
    <col min="14610" max="14610" width="13.140625" style="61" customWidth="1"/>
    <col min="14611" max="14613" width="18.42578125" style="61" customWidth="1"/>
    <col min="14614" max="14614" width="10.85546875" style="61" customWidth="1"/>
    <col min="14615" max="14615" width="9.140625" style="61"/>
    <col min="14616" max="14616" width="16.5703125" style="61" customWidth="1"/>
    <col min="14617" max="14617" width="22.5703125" style="61" customWidth="1"/>
    <col min="14618" max="14619" width="9.140625" style="61"/>
    <col min="14620" max="14620" width="18.42578125" style="61" customWidth="1"/>
    <col min="14621" max="14632" width="9.140625" style="61"/>
    <col min="14633" max="14633" width="7.85546875" style="61" customWidth="1"/>
    <col min="14634" max="14634" width="39.42578125" style="61" customWidth="1"/>
    <col min="14635" max="14635" width="42.7109375" style="61" customWidth="1"/>
    <col min="14636" max="14636" width="14.7109375" style="61" customWidth="1"/>
    <col min="14637" max="14637" width="16.7109375" style="61" customWidth="1"/>
    <col min="14638" max="14638" width="19.28515625" style="61" customWidth="1"/>
    <col min="14639" max="14849" width="9.140625" style="61"/>
    <col min="14850" max="14851" width="6.42578125" style="61" customWidth="1"/>
    <col min="14852" max="14852" width="10.5703125" style="61" customWidth="1"/>
    <col min="14853" max="14853" width="10.7109375" style="61" customWidth="1"/>
    <col min="14854" max="14854" width="14.85546875" style="61" customWidth="1"/>
    <col min="14855" max="14855" width="16" style="61" customWidth="1"/>
    <col min="14856" max="14856" width="28" style="61" customWidth="1"/>
    <col min="14857" max="14857" width="12.7109375" style="61" customWidth="1"/>
    <col min="14858" max="14859" width="9.7109375" style="61" customWidth="1"/>
    <col min="14860" max="14860" width="14.85546875" style="61" customWidth="1"/>
    <col min="14861" max="14861" width="28.5703125" style="61" customWidth="1"/>
    <col min="14862" max="14862" width="9.140625" style="61"/>
    <col min="14863" max="14863" width="13.42578125" style="61" customWidth="1"/>
    <col min="14864" max="14865" width="9.140625" style="61"/>
    <col min="14866" max="14866" width="13.140625" style="61" customWidth="1"/>
    <col min="14867" max="14869" width="18.42578125" style="61" customWidth="1"/>
    <col min="14870" max="14870" width="10.85546875" style="61" customWidth="1"/>
    <col min="14871" max="14871" width="9.140625" style="61"/>
    <col min="14872" max="14872" width="16.5703125" style="61" customWidth="1"/>
    <col min="14873" max="14873" width="22.5703125" style="61" customWidth="1"/>
    <col min="14874" max="14875" width="9.140625" style="61"/>
    <col min="14876" max="14876" width="18.42578125" style="61" customWidth="1"/>
    <col min="14877" max="14888" width="9.140625" style="61"/>
    <col min="14889" max="14889" width="7.85546875" style="61" customWidth="1"/>
    <col min="14890" max="14890" width="39.42578125" style="61" customWidth="1"/>
    <col min="14891" max="14891" width="42.7109375" style="61" customWidth="1"/>
    <col min="14892" max="14892" width="14.7109375" style="61" customWidth="1"/>
    <col min="14893" max="14893" width="16.7109375" style="61" customWidth="1"/>
    <col min="14894" max="14894" width="19.28515625" style="61" customWidth="1"/>
    <col min="14895" max="15105" width="9.140625" style="61"/>
    <col min="15106" max="15107" width="6.42578125" style="61" customWidth="1"/>
    <col min="15108" max="15108" width="10.5703125" style="61" customWidth="1"/>
    <col min="15109" max="15109" width="10.7109375" style="61" customWidth="1"/>
    <col min="15110" max="15110" width="14.85546875" style="61" customWidth="1"/>
    <col min="15111" max="15111" width="16" style="61" customWidth="1"/>
    <col min="15112" max="15112" width="28" style="61" customWidth="1"/>
    <col min="15113" max="15113" width="12.7109375" style="61" customWidth="1"/>
    <col min="15114" max="15115" width="9.7109375" style="61" customWidth="1"/>
    <col min="15116" max="15116" width="14.85546875" style="61" customWidth="1"/>
    <col min="15117" max="15117" width="28.5703125" style="61" customWidth="1"/>
    <col min="15118" max="15118" width="9.140625" style="61"/>
    <col min="15119" max="15119" width="13.42578125" style="61" customWidth="1"/>
    <col min="15120" max="15121" width="9.140625" style="61"/>
    <col min="15122" max="15122" width="13.140625" style="61" customWidth="1"/>
    <col min="15123" max="15125" width="18.42578125" style="61" customWidth="1"/>
    <col min="15126" max="15126" width="10.85546875" style="61" customWidth="1"/>
    <col min="15127" max="15127" width="9.140625" style="61"/>
    <col min="15128" max="15128" width="16.5703125" style="61" customWidth="1"/>
    <col min="15129" max="15129" width="22.5703125" style="61" customWidth="1"/>
    <col min="15130" max="15131" width="9.140625" style="61"/>
    <col min="15132" max="15132" width="18.42578125" style="61" customWidth="1"/>
    <col min="15133" max="15144" width="9.140625" style="61"/>
    <col min="15145" max="15145" width="7.85546875" style="61" customWidth="1"/>
    <col min="15146" max="15146" width="39.42578125" style="61" customWidth="1"/>
    <col min="15147" max="15147" width="42.7109375" style="61" customWidth="1"/>
    <col min="15148" max="15148" width="14.7109375" style="61" customWidth="1"/>
    <col min="15149" max="15149" width="16.7109375" style="61" customWidth="1"/>
    <col min="15150" max="15150" width="19.28515625" style="61" customWidth="1"/>
    <col min="15151" max="15361" width="9.140625" style="61"/>
    <col min="15362" max="15363" width="6.42578125" style="61" customWidth="1"/>
    <col min="15364" max="15364" width="10.5703125" style="61" customWidth="1"/>
    <col min="15365" max="15365" width="10.7109375" style="61" customWidth="1"/>
    <col min="15366" max="15366" width="14.85546875" style="61" customWidth="1"/>
    <col min="15367" max="15367" width="16" style="61" customWidth="1"/>
    <col min="15368" max="15368" width="28" style="61" customWidth="1"/>
    <col min="15369" max="15369" width="12.7109375" style="61" customWidth="1"/>
    <col min="15370" max="15371" width="9.7109375" style="61" customWidth="1"/>
    <col min="15372" max="15372" width="14.85546875" style="61" customWidth="1"/>
    <col min="15373" max="15373" width="28.5703125" style="61" customWidth="1"/>
    <col min="15374" max="15374" width="9.140625" style="61"/>
    <col min="15375" max="15375" width="13.42578125" style="61" customWidth="1"/>
    <col min="15376" max="15377" width="9.140625" style="61"/>
    <col min="15378" max="15378" width="13.140625" style="61" customWidth="1"/>
    <col min="15379" max="15381" width="18.42578125" style="61" customWidth="1"/>
    <col min="15382" max="15382" width="10.85546875" style="61" customWidth="1"/>
    <col min="15383" max="15383" width="9.140625" style="61"/>
    <col min="15384" max="15384" width="16.5703125" style="61" customWidth="1"/>
    <col min="15385" max="15385" width="22.5703125" style="61" customWidth="1"/>
    <col min="15386" max="15387" width="9.140625" style="61"/>
    <col min="15388" max="15388" width="18.42578125" style="61" customWidth="1"/>
    <col min="15389" max="15400" width="9.140625" style="61"/>
    <col min="15401" max="15401" width="7.85546875" style="61" customWidth="1"/>
    <col min="15402" max="15402" width="39.42578125" style="61" customWidth="1"/>
    <col min="15403" max="15403" width="42.7109375" style="61" customWidth="1"/>
    <col min="15404" max="15404" width="14.7109375" style="61" customWidth="1"/>
    <col min="15405" max="15405" width="16.7109375" style="61" customWidth="1"/>
    <col min="15406" max="15406" width="19.28515625" style="61" customWidth="1"/>
    <col min="15407" max="15617" width="9.140625" style="61"/>
    <col min="15618" max="15619" width="6.42578125" style="61" customWidth="1"/>
    <col min="15620" max="15620" width="10.5703125" style="61" customWidth="1"/>
    <col min="15621" max="15621" width="10.7109375" style="61" customWidth="1"/>
    <col min="15622" max="15622" width="14.85546875" style="61" customWidth="1"/>
    <col min="15623" max="15623" width="16" style="61" customWidth="1"/>
    <col min="15624" max="15624" width="28" style="61" customWidth="1"/>
    <col min="15625" max="15625" width="12.7109375" style="61" customWidth="1"/>
    <col min="15626" max="15627" width="9.7109375" style="61" customWidth="1"/>
    <col min="15628" max="15628" width="14.85546875" style="61" customWidth="1"/>
    <col min="15629" max="15629" width="28.5703125" style="61" customWidth="1"/>
    <col min="15630" max="15630" width="9.140625" style="61"/>
    <col min="15631" max="15631" width="13.42578125" style="61" customWidth="1"/>
    <col min="15632" max="15633" width="9.140625" style="61"/>
    <col min="15634" max="15634" width="13.140625" style="61" customWidth="1"/>
    <col min="15635" max="15637" width="18.42578125" style="61" customWidth="1"/>
    <col min="15638" max="15638" width="10.85546875" style="61" customWidth="1"/>
    <col min="15639" max="15639" width="9.140625" style="61"/>
    <col min="15640" max="15640" width="16.5703125" style="61" customWidth="1"/>
    <col min="15641" max="15641" width="22.5703125" style="61" customWidth="1"/>
    <col min="15642" max="15643" width="9.140625" style="61"/>
    <col min="15644" max="15644" width="18.42578125" style="61" customWidth="1"/>
    <col min="15645" max="15656" width="9.140625" style="61"/>
    <col min="15657" max="15657" width="7.85546875" style="61" customWidth="1"/>
    <col min="15658" max="15658" width="39.42578125" style="61" customWidth="1"/>
    <col min="15659" max="15659" width="42.7109375" style="61" customWidth="1"/>
    <col min="15660" max="15660" width="14.7109375" style="61" customWidth="1"/>
    <col min="15661" max="15661" width="16.7109375" style="61" customWidth="1"/>
    <col min="15662" max="15662" width="19.28515625" style="61" customWidth="1"/>
    <col min="15663" max="15873" width="9.140625" style="61"/>
    <col min="15874" max="15875" width="6.42578125" style="61" customWidth="1"/>
    <col min="15876" max="15876" width="10.5703125" style="61" customWidth="1"/>
    <col min="15877" max="15877" width="10.7109375" style="61" customWidth="1"/>
    <col min="15878" max="15878" width="14.85546875" style="61" customWidth="1"/>
    <col min="15879" max="15879" width="16" style="61" customWidth="1"/>
    <col min="15880" max="15880" width="28" style="61" customWidth="1"/>
    <col min="15881" max="15881" width="12.7109375" style="61" customWidth="1"/>
    <col min="15882" max="15883" width="9.7109375" style="61" customWidth="1"/>
    <col min="15884" max="15884" width="14.85546875" style="61" customWidth="1"/>
    <col min="15885" max="15885" width="28.5703125" style="61" customWidth="1"/>
    <col min="15886" max="15886" width="9.140625" style="61"/>
    <col min="15887" max="15887" width="13.42578125" style="61" customWidth="1"/>
    <col min="15888" max="15889" width="9.140625" style="61"/>
    <col min="15890" max="15890" width="13.140625" style="61" customWidth="1"/>
    <col min="15891" max="15893" width="18.42578125" style="61" customWidth="1"/>
    <col min="15894" max="15894" width="10.85546875" style="61" customWidth="1"/>
    <col min="15895" max="15895" width="9.140625" style="61"/>
    <col min="15896" max="15896" width="16.5703125" style="61" customWidth="1"/>
    <col min="15897" max="15897" width="22.5703125" style="61" customWidth="1"/>
    <col min="15898" max="15899" width="9.140625" style="61"/>
    <col min="15900" max="15900" width="18.42578125" style="61" customWidth="1"/>
    <col min="15901" max="15912" width="9.140625" style="61"/>
    <col min="15913" max="15913" width="7.85546875" style="61" customWidth="1"/>
    <col min="15914" max="15914" width="39.42578125" style="61" customWidth="1"/>
    <col min="15915" max="15915" width="42.7109375" style="61" customWidth="1"/>
    <col min="15916" max="15916" width="14.7109375" style="61" customWidth="1"/>
    <col min="15917" max="15917" width="16.7109375" style="61" customWidth="1"/>
    <col min="15918" max="15918" width="19.28515625" style="61" customWidth="1"/>
    <col min="15919" max="16129" width="9.140625" style="61"/>
    <col min="16130" max="16131" width="6.42578125" style="61" customWidth="1"/>
    <col min="16132" max="16132" width="10.5703125" style="61" customWidth="1"/>
    <col min="16133" max="16133" width="10.7109375" style="61" customWidth="1"/>
    <col min="16134" max="16134" width="14.85546875" style="61" customWidth="1"/>
    <col min="16135" max="16135" width="16" style="61" customWidth="1"/>
    <col min="16136" max="16136" width="28" style="61" customWidth="1"/>
    <col min="16137" max="16137" width="12.7109375" style="61" customWidth="1"/>
    <col min="16138" max="16139" width="9.7109375" style="61" customWidth="1"/>
    <col min="16140" max="16140" width="14.85546875" style="61" customWidth="1"/>
    <col min="16141" max="16141" width="28.5703125" style="61" customWidth="1"/>
    <col min="16142" max="16142" width="9.140625" style="61"/>
    <col min="16143" max="16143" width="13.42578125" style="61" customWidth="1"/>
    <col min="16144" max="16145" width="9.140625" style="61"/>
    <col min="16146" max="16146" width="13.140625" style="61" customWidth="1"/>
    <col min="16147" max="16149" width="18.42578125" style="61" customWidth="1"/>
    <col min="16150" max="16150" width="10.85546875" style="61" customWidth="1"/>
    <col min="16151" max="16151" width="9.140625" style="61"/>
    <col min="16152" max="16152" width="16.5703125" style="61" customWidth="1"/>
    <col min="16153" max="16153" width="22.5703125" style="61" customWidth="1"/>
    <col min="16154" max="16155" width="9.140625" style="61"/>
    <col min="16156" max="16156" width="18.42578125" style="61" customWidth="1"/>
    <col min="16157" max="16168" width="9.140625" style="61"/>
    <col min="16169" max="16169" width="7.85546875" style="61" customWidth="1"/>
    <col min="16170" max="16170" width="39.42578125" style="61" customWidth="1"/>
    <col min="16171" max="16171" width="42.7109375" style="61" customWidth="1"/>
    <col min="16172" max="16172" width="14.7109375" style="61" customWidth="1"/>
    <col min="16173" max="16173" width="16.7109375" style="61" customWidth="1"/>
    <col min="16174" max="16174" width="19.28515625" style="61" customWidth="1"/>
    <col min="16175" max="16384" width="9.140625" style="61"/>
  </cols>
  <sheetData>
    <row r="1" spans="1:76" x14ac:dyDescent="0.25">
      <c r="A1" s="61" t="s">
        <v>278</v>
      </c>
      <c r="B1" s="61" t="s">
        <v>376</v>
      </c>
      <c r="C1" s="61" t="s">
        <v>314</v>
      </c>
      <c r="D1" s="61" t="s">
        <v>470</v>
      </c>
      <c r="E1" s="61" t="s">
        <v>550</v>
      </c>
      <c r="F1" s="61" t="s">
        <v>429</v>
      </c>
      <c r="G1" s="61" t="s">
        <v>566</v>
      </c>
      <c r="H1" s="61" t="s">
        <v>633</v>
      </c>
      <c r="I1" s="61" t="s">
        <v>336</v>
      </c>
      <c r="J1" s="61" t="s">
        <v>675</v>
      </c>
      <c r="K1" s="61" t="s">
        <v>716</v>
      </c>
      <c r="L1" s="61" t="s">
        <v>696</v>
      </c>
      <c r="M1" s="61" t="s">
        <v>736</v>
      </c>
      <c r="N1" s="61" t="s">
        <v>759</v>
      </c>
      <c r="O1" s="61" t="s">
        <v>764</v>
      </c>
      <c r="P1" s="61" t="s">
        <v>411</v>
      </c>
      <c r="Q1" s="61" t="s">
        <v>358</v>
      </c>
      <c r="R1" s="61" t="s">
        <v>846</v>
      </c>
      <c r="S1" s="61" t="s">
        <v>491</v>
      </c>
      <c r="T1" s="61" t="s">
        <v>785</v>
      </c>
      <c r="U1" s="61" t="s">
        <v>865</v>
      </c>
      <c r="V1" s="61" t="s">
        <v>814</v>
      </c>
      <c r="W1" s="61" t="s">
        <v>919</v>
      </c>
      <c r="X1" s="61" t="s">
        <v>827</v>
      </c>
      <c r="Y1" s="61" t="s">
        <v>878</v>
      </c>
      <c r="Z1" s="61" t="s">
        <v>1136</v>
      </c>
      <c r="AA1" s="61" t="s">
        <v>906</v>
      </c>
      <c r="AB1" s="61" t="s">
        <v>450</v>
      </c>
      <c r="AC1" s="61" t="s">
        <v>897</v>
      </c>
      <c r="AD1" s="61" t="s">
        <v>1104</v>
      </c>
      <c r="AE1" s="61" t="s">
        <v>1073</v>
      </c>
      <c r="AF1" s="61" t="s">
        <v>1208</v>
      </c>
      <c r="AG1" s="61" t="s">
        <v>993</v>
      </c>
      <c r="AH1" s="61" t="s">
        <v>394</v>
      </c>
      <c r="AI1" s="61" t="s">
        <v>1342</v>
      </c>
      <c r="AJ1" s="61" t="s">
        <v>510</v>
      </c>
      <c r="AK1" s="61" t="s">
        <v>1327</v>
      </c>
      <c r="AL1" s="61" t="s">
        <v>1061</v>
      </c>
      <c r="AM1" s="61" t="s">
        <v>1362</v>
      </c>
      <c r="AN1" s="61" t="s">
        <v>1089</v>
      </c>
      <c r="AO1" s="61" t="s">
        <v>1255</v>
      </c>
      <c r="AP1" s="61" t="s">
        <v>1290</v>
      </c>
      <c r="AQ1" s="61" t="s">
        <v>1033</v>
      </c>
      <c r="AR1" s="61" t="s">
        <v>1154</v>
      </c>
      <c r="AS1" s="61" t="s">
        <v>1391</v>
      </c>
      <c r="AT1" s="61" t="s">
        <v>1238</v>
      </c>
      <c r="AU1" s="61" t="s">
        <v>1446</v>
      </c>
      <c r="AV1" s="61" t="s">
        <v>1169</v>
      </c>
      <c r="AW1" s="61" t="s">
        <v>1195</v>
      </c>
      <c r="AX1" s="61" t="s">
        <v>1500</v>
      </c>
      <c r="AY1" s="61" t="s">
        <v>1022</v>
      </c>
      <c r="AZ1" s="61" t="s">
        <v>1525</v>
      </c>
      <c r="BA1" s="61" t="s">
        <v>1428</v>
      </c>
      <c r="BB1" s="61" t="s">
        <v>936</v>
      </c>
      <c r="BC1" s="61" t="s">
        <v>1267</v>
      </c>
      <c r="BD1" s="61" t="s">
        <v>1311</v>
      </c>
      <c r="BE1" s="61" t="s">
        <v>1222</v>
      </c>
      <c r="BF1" s="61" t="s">
        <v>1184</v>
      </c>
      <c r="BG1" s="61" t="s">
        <v>1552</v>
      </c>
      <c r="BH1" s="61" t="s">
        <v>1475</v>
      </c>
      <c r="BI1" s="61" t="s">
        <v>1589</v>
      </c>
      <c r="BJ1" s="61" t="s">
        <v>1604</v>
      </c>
      <c r="BK1" s="61" t="s">
        <v>1464</v>
      </c>
      <c r="BL1" s="61" t="s">
        <v>1566</v>
      </c>
      <c r="BM1" s="61" t="s">
        <v>1619</v>
      </c>
      <c r="BN1" s="61" t="s">
        <v>1486</v>
      </c>
      <c r="BO1" s="61" t="s">
        <v>1412</v>
      </c>
      <c r="BP1" s="61" t="s">
        <v>1576</v>
      </c>
      <c r="BQ1" s="61" t="s">
        <v>1670</v>
      </c>
      <c r="BR1" s="61" t="s">
        <v>1773</v>
      </c>
      <c r="BS1" s="61" t="s">
        <v>1755</v>
      </c>
      <c r="BT1" s="61" t="s">
        <v>1787</v>
      </c>
      <c r="BU1" s="61" t="s">
        <v>1727</v>
      </c>
      <c r="BV1" s="61" t="s">
        <v>1633</v>
      </c>
      <c r="BW1" s="61" t="s">
        <v>1798</v>
      </c>
      <c r="BX1" s="61" t="s">
        <v>1681</v>
      </c>
    </row>
    <row r="2" spans="1:76" s="57" customFormat="1" ht="114.75" customHeight="1" collapsed="1" x14ac:dyDescent="0.25">
      <c r="B2" s="53" t="s">
        <v>0</v>
      </c>
      <c r="C2" s="53" t="s">
        <v>3221</v>
      </c>
      <c r="D2" s="53" t="s">
        <v>3222</v>
      </c>
      <c r="E2" s="53" t="s">
        <v>3223</v>
      </c>
      <c r="F2" s="53" t="s">
        <v>3224</v>
      </c>
      <c r="G2" s="53" t="s">
        <v>3225</v>
      </c>
      <c r="H2" s="53" t="s">
        <v>3226</v>
      </c>
      <c r="I2" s="53" t="s">
        <v>3227</v>
      </c>
      <c r="J2" s="53" t="s">
        <v>3228</v>
      </c>
      <c r="K2" s="53" t="s">
        <v>3229</v>
      </c>
      <c r="L2" s="53" t="s">
        <v>3230</v>
      </c>
      <c r="M2" s="53" t="s">
        <v>3231</v>
      </c>
      <c r="N2" s="53" t="s">
        <v>3232</v>
      </c>
      <c r="O2" s="53" t="s">
        <v>3233</v>
      </c>
      <c r="P2" s="53" t="s">
        <v>3234</v>
      </c>
      <c r="Q2" s="53" t="s">
        <v>3235</v>
      </c>
      <c r="R2" s="53" t="s">
        <v>3236</v>
      </c>
      <c r="S2" s="53" t="s">
        <v>3237</v>
      </c>
      <c r="T2" s="53" t="s">
        <v>3238</v>
      </c>
      <c r="U2" s="53" t="s">
        <v>3239</v>
      </c>
      <c r="V2" s="53" t="s">
        <v>3240</v>
      </c>
      <c r="W2" s="53" t="s">
        <v>3241</v>
      </c>
      <c r="X2" s="54" t="s">
        <v>3242</v>
      </c>
      <c r="Y2" s="54" t="s">
        <v>3243</v>
      </c>
      <c r="Z2" s="53" t="s">
        <v>3244</v>
      </c>
      <c r="AA2" s="53" t="s">
        <v>3245</v>
      </c>
      <c r="AB2" s="53" t="s">
        <v>3246</v>
      </c>
      <c r="AC2" s="53" t="s">
        <v>3247</v>
      </c>
      <c r="AD2" s="53" t="s">
        <v>3248</v>
      </c>
      <c r="AE2" s="53" t="s">
        <v>3249</v>
      </c>
      <c r="AF2" s="53" t="s">
        <v>3250</v>
      </c>
      <c r="AG2" s="53" t="s">
        <v>3251</v>
      </c>
      <c r="AH2" s="53" t="s">
        <v>3252</v>
      </c>
      <c r="AI2" s="53" t="s">
        <v>3253</v>
      </c>
      <c r="AJ2" s="53" t="s">
        <v>3254</v>
      </c>
      <c r="AK2" s="53" t="s">
        <v>3255</v>
      </c>
      <c r="AL2" s="53" t="s">
        <v>3256</v>
      </c>
      <c r="AM2" s="53" t="s">
        <v>3257</v>
      </c>
      <c r="AN2" s="53" t="s">
        <v>3258</v>
      </c>
      <c r="AO2" s="53" t="s">
        <v>3259</v>
      </c>
      <c r="AP2" s="53" t="s">
        <v>3260</v>
      </c>
      <c r="AQ2" s="53" t="s">
        <v>3261</v>
      </c>
      <c r="AR2" s="53" t="s">
        <v>3262</v>
      </c>
      <c r="AS2" s="53" t="s">
        <v>3263</v>
      </c>
      <c r="AT2" s="53" t="s">
        <v>3264</v>
      </c>
      <c r="AU2" s="53" t="s">
        <v>3265</v>
      </c>
      <c r="AV2" s="53" t="s">
        <v>3266</v>
      </c>
      <c r="AW2" s="53" t="s">
        <v>3267</v>
      </c>
      <c r="AX2" s="53" t="s">
        <v>3268</v>
      </c>
      <c r="AY2" s="53" t="s">
        <v>3269</v>
      </c>
      <c r="AZ2" s="53" t="s">
        <v>3270</v>
      </c>
      <c r="BA2" s="53" t="s">
        <v>3271</v>
      </c>
      <c r="BB2" s="53" t="s">
        <v>3272</v>
      </c>
      <c r="BC2" s="53" t="s">
        <v>3273</v>
      </c>
      <c r="BD2" s="55" t="s">
        <v>3274</v>
      </c>
      <c r="BE2" s="55" t="s">
        <v>3275</v>
      </c>
      <c r="BF2" s="55" t="s">
        <v>3276</v>
      </c>
      <c r="BG2" s="55" t="s">
        <v>3277</v>
      </c>
      <c r="BH2" s="53" t="s">
        <v>3278</v>
      </c>
      <c r="BI2" s="53" t="s">
        <v>3279</v>
      </c>
      <c r="BJ2" s="53" t="s">
        <v>3280</v>
      </c>
      <c r="BK2" s="53" t="s">
        <v>3281</v>
      </c>
      <c r="BL2" s="53" t="s">
        <v>3282</v>
      </c>
      <c r="BM2" s="53" t="s">
        <v>3283</v>
      </c>
      <c r="BN2" s="53" t="s">
        <v>3284</v>
      </c>
      <c r="BO2" s="53" t="s">
        <v>3285</v>
      </c>
      <c r="BP2" s="53" t="s">
        <v>3286</v>
      </c>
      <c r="BQ2" s="53" t="s">
        <v>3287</v>
      </c>
      <c r="BR2" s="56" t="s">
        <v>159</v>
      </c>
      <c r="BS2" s="56" t="s">
        <v>3288</v>
      </c>
      <c r="BT2" s="56" t="s">
        <v>3289</v>
      </c>
      <c r="BU2" s="56" t="s">
        <v>3290</v>
      </c>
      <c r="BV2" s="56" t="s">
        <v>3291</v>
      </c>
      <c r="BW2" s="56" t="s">
        <v>3292</v>
      </c>
      <c r="BX2" s="56" t="s">
        <v>3293</v>
      </c>
    </row>
    <row r="3" spans="1:76" x14ac:dyDescent="0.25">
      <c r="A3" s="61" t="str">
        <f>G3</f>
        <v>082308003110</v>
      </c>
      <c r="B3" s="58">
        <v>1</v>
      </c>
      <c r="C3" s="58"/>
      <c r="D3" s="58"/>
      <c r="E3" s="58"/>
      <c r="F3" s="58" t="s">
        <v>342</v>
      </c>
      <c r="G3" s="58" t="s">
        <v>85</v>
      </c>
      <c r="H3" s="58" t="s">
        <v>337</v>
      </c>
      <c r="I3" s="58" t="s">
        <v>338</v>
      </c>
      <c r="J3" s="58" t="s">
        <v>2908</v>
      </c>
      <c r="K3" s="58" t="s">
        <v>278</v>
      </c>
      <c r="L3" s="58" t="s">
        <v>340</v>
      </c>
      <c r="M3" s="58" t="s">
        <v>339</v>
      </c>
      <c r="N3" s="58" t="s">
        <v>1822</v>
      </c>
      <c r="O3" s="58" t="s">
        <v>3294</v>
      </c>
      <c r="P3" s="58" t="s">
        <v>3295</v>
      </c>
      <c r="Q3" s="58"/>
      <c r="R3" s="58"/>
      <c r="S3" s="58"/>
      <c r="T3" s="58"/>
      <c r="U3" s="58"/>
      <c r="V3" s="58"/>
      <c r="W3" s="58"/>
      <c r="X3" s="59"/>
      <c r="Y3" s="59"/>
      <c r="Z3" s="58"/>
      <c r="AA3" s="58"/>
      <c r="AB3" s="58"/>
      <c r="AC3" s="58"/>
      <c r="AD3" s="58">
        <v>2026</v>
      </c>
      <c r="AE3" s="58"/>
      <c r="AF3" s="58"/>
      <c r="AG3" s="58" t="s">
        <v>3296</v>
      </c>
      <c r="AH3" s="58" t="s">
        <v>3296</v>
      </c>
      <c r="AI3" s="58"/>
      <c r="AJ3" s="58"/>
      <c r="AK3" s="58"/>
      <c r="AL3" s="58"/>
      <c r="AM3" s="58"/>
      <c r="AN3" s="58" t="s">
        <v>1822</v>
      </c>
      <c r="AO3" s="60" t="s">
        <v>346</v>
      </c>
      <c r="AP3" s="60" t="s">
        <v>347</v>
      </c>
      <c r="AQ3" s="58" t="s">
        <v>3297</v>
      </c>
      <c r="AR3" s="58" t="s">
        <v>288</v>
      </c>
      <c r="AS3" s="58" t="s">
        <v>3298</v>
      </c>
      <c r="AT3" s="58" t="s">
        <v>3299</v>
      </c>
      <c r="AU3" s="58" t="s">
        <v>3300</v>
      </c>
      <c r="AV3" s="58" t="s">
        <v>3301</v>
      </c>
      <c r="AW3" s="58" t="s">
        <v>3302</v>
      </c>
      <c r="AX3" s="58"/>
      <c r="AY3" s="58"/>
      <c r="AZ3" s="58"/>
      <c r="BA3" s="58"/>
      <c r="BB3" s="58" t="s">
        <v>3303</v>
      </c>
      <c r="BC3" s="58" t="s">
        <v>3304</v>
      </c>
      <c r="BD3" s="58"/>
      <c r="BE3" s="58"/>
      <c r="BF3" s="58"/>
      <c r="BG3" s="58"/>
      <c r="BH3" s="58"/>
      <c r="BI3" s="58"/>
      <c r="BJ3" s="58"/>
      <c r="BK3" s="58"/>
      <c r="BL3" s="58"/>
      <c r="BM3" s="58"/>
      <c r="BN3" s="58"/>
      <c r="BO3" s="58"/>
      <c r="BP3" s="58"/>
      <c r="BQ3" s="58"/>
      <c r="BR3" s="58" t="s">
        <v>1388</v>
      </c>
      <c r="BS3" s="58"/>
      <c r="BT3" s="58" t="s">
        <v>1822</v>
      </c>
      <c r="BU3" s="58" t="s">
        <v>346</v>
      </c>
      <c r="BV3" s="58" t="s">
        <v>1822</v>
      </c>
      <c r="BW3" s="58" t="s">
        <v>346</v>
      </c>
      <c r="BX3" s="58"/>
    </row>
    <row r="4" spans="1:76" ht="15" customHeight="1" x14ac:dyDescent="0.25">
      <c r="A4" s="61" t="str">
        <f t="shared" ref="A4:A67" si="0">G4</f>
        <v>068308007047</v>
      </c>
      <c r="B4" s="58">
        <v>2</v>
      </c>
      <c r="C4" s="58"/>
      <c r="D4" s="58"/>
      <c r="E4" s="58"/>
      <c r="F4" s="58" t="s">
        <v>364</v>
      </c>
      <c r="G4" s="58" t="s">
        <v>102</v>
      </c>
      <c r="H4" s="58" t="s">
        <v>359</v>
      </c>
      <c r="I4" s="58" t="s">
        <v>360</v>
      </c>
      <c r="J4" s="58" t="s">
        <v>2908</v>
      </c>
      <c r="K4" s="58" t="s">
        <v>278</v>
      </c>
      <c r="L4" s="58" t="s">
        <v>362</v>
      </c>
      <c r="M4" s="58" t="s">
        <v>361</v>
      </c>
      <c r="N4" s="58" t="s">
        <v>1576</v>
      </c>
      <c r="O4" s="58" t="s">
        <v>3305</v>
      </c>
      <c r="P4" s="58" t="s">
        <v>3295</v>
      </c>
      <c r="Q4" s="58"/>
      <c r="R4" s="58"/>
      <c r="S4" s="58"/>
      <c r="T4" s="58"/>
      <c r="U4" s="58"/>
      <c r="V4" s="58"/>
      <c r="W4" s="58"/>
      <c r="X4" s="59"/>
      <c r="Y4" s="59"/>
      <c r="Z4" s="58"/>
      <c r="AA4" s="58"/>
      <c r="AB4" s="58"/>
      <c r="AC4" s="58"/>
      <c r="AD4" s="58">
        <v>2026</v>
      </c>
      <c r="AE4" s="58"/>
      <c r="AF4" s="58"/>
      <c r="AG4" s="58" t="s">
        <v>3296</v>
      </c>
      <c r="AH4" s="58" t="s">
        <v>3296</v>
      </c>
      <c r="AI4" s="58"/>
      <c r="AJ4" s="58"/>
      <c r="AK4" s="58"/>
      <c r="AL4" s="58"/>
      <c r="AM4" s="58"/>
      <c r="AN4" s="58" t="s">
        <v>1576</v>
      </c>
      <c r="AO4" s="60" t="s">
        <v>1182</v>
      </c>
      <c r="AP4" s="60" t="s">
        <v>3306</v>
      </c>
      <c r="AQ4" s="58" t="s">
        <v>3307</v>
      </c>
      <c r="AR4" s="58" t="s">
        <v>288</v>
      </c>
      <c r="AS4" s="58" t="s">
        <v>3308</v>
      </c>
      <c r="AT4" s="58" t="s">
        <v>3309</v>
      </c>
      <c r="AU4" s="58" t="s">
        <v>3301</v>
      </c>
      <c r="AV4" s="58" t="s">
        <v>3310</v>
      </c>
      <c r="AW4" s="58"/>
      <c r="AX4" s="58"/>
      <c r="AY4" s="58"/>
      <c r="AZ4" s="58" t="s">
        <v>3301</v>
      </c>
      <c r="BA4" s="58"/>
      <c r="BB4" s="58" t="s">
        <v>3311</v>
      </c>
      <c r="BC4" s="58" t="s">
        <v>3304</v>
      </c>
      <c r="BD4" s="58"/>
      <c r="BE4" s="58"/>
      <c r="BF4" s="58"/>
      <c r="BG4" s="58"/>
      <c r="BH4" s="58"/>
      <c r="BI4" s="58"/>
      <c r="BJ4" s="58"/>
      <c r="BK4" s="58"/>
      <c r="BL4" s="58"/>
      <c r="BM4" s="58"/>
      <c r="BN4" s="58"/>
      <c r="BO4" s="58"/>
      <c r="BP4" s="58"/>
      <c r="BQ4" s="58"/>
      <c r="BR4" s="58" t="s">
        <v>2109</v>
      </c>
      <c r="BS4" s="58"/>
      <c r="BT4" s="58" t="s">
        <v>1576</v>
      </c>
      <c r="BU4" s="58" t="s">
        <v>1182</v>
      </c>
      <c r="BV4" s="58" t="s">
        <v>1576</v>
      </c>
      <c r="BW4" s="58" t="s">
        <v>1182</v>
      </c>
      <c r="BX4" s="58"/>
    </row>
    <row r="5" spans="1:76" ht="15" customHeight="1" x14ac:dyDescent="0.25">
      <c r="A5" s="61" t="str">
        <f t="shared" si="0"/>
        <v>093208003708</v>
      </c>
      <c r="B5" s="58">
        <v>3</v>
      </c>
      <c r="C5" s="58"/>
      <c r="D5" s="58"/>
      <c r="E5" s="58"/>
      <c r="F5" s="58" t="s">
        <v>382</v>
      </c>
      <c r="G5" s="58" t="s">
        <v>31</v>
      </c>
      <c r="H5" s="58" t="s">
        <v>377</v>
      </c>
      <c r="I5" s="58" t="s">
        <v>378</v>
      </c>
      <c r="J5" s="58" t="s">
        <v>2909</v>
      </c>
      <c r="K5" s="58" t="s">
        <v>278</v>
      </c>
      <c r="L5" s="58" t="s">
        <v>380</v>
      </c>
      <c r="M5" s="58" t="s">
        <v>379</v>
      </c>
      <c r="N5" s="58" t="s">
        <v>1870</v>
      </c>
      <c r="O5" s="58" t="s">
        <v>3312</v>
      </c>
      <c r="P5" s="58" t="s">
        <v>3295</v>
      </c>
      <c r="Q5" s="58"/>
      <c r="R5" s="58"/>
      <c r="S5" s="58"/>
      <c r="T5" s="58"/>
      <c r="U5" s="58"/>
      <c r="V5" s="58"/>
      <c r="W5" s="58"/>
      <c r="X5" s="59"/>
      <c r="Y5" s="59"/>
      <c r="Z5" s="58"/>
      <c r="AA5" s="58"/>
      <c r="AB5" s="58"/>
      <c r="AC5" s="58"/>
      <c r="AD5" s="58">
        <v>2026</v>
      </c>
      <c r="AE5" s="58"/>
      <c r="AF5" s="58"/>
      <c r="AG5" s="58" t="s">
        <v>3313</v>
      </c>
      <c r="AH5" s="58" t="s">
        <v>3296</v>
      </c>
      <c r="AI5" s="58"/>
      <c r="AJ5" s="58"/>
      <c r="AK5" s="58"/>
      <c r="AL5" s="58"/>
      <c r="AM5" s="58"/>
      <c r="AN5" s="58" t="s">
        <v>1870</v>
      </c>
      <c r="AO5" s="60" t="s">
        <v>386</v>
      </c>
      <c r="AP5" s="60" t="s">
        <v>387</v>
      </c>
      <c r="AQ5" s="58" t="s">
        <v>3314</v>
      </c>
      <c r="AR5" s="58" t="s">
        <v>288</v>
      </c>
      <c r="AS5" s="58" t="s">
        <v>3315</v>
      </c>
      <c r="AT5" s="58" t="s">
        <v>3316</v>
      </c>
      <c r="AU5" s="58" t="s">
        <v>3300</v>
      </c>
      <c r="AV5" s="58" t="s">
        <v>3317</v>
      </c>
      <c r="AW5" s="58" t="s">
        <v>3318</v>
      </c>
      <c r="AX5" s="58" t="s">
        <v>3311</v>
      </c>
      <c r="AY5" s="58"/>
      <c r="AZ5" s="58"/>
      <c r="BA5" s="58"/>
      <c r="BB5" s="58"/>
      <c r="BC5" s="58"/>
      <c r="BD5" s="58"/>
      <c r="BE5" s="58"/>
      <c r="BF5" s="58"/>
      <c r="BG5" s="58"/>
      <c r="BH5" s="58"/>
      <c r="BI5" s="58"/>
      <c r="BJ5" s="58"/>
      <c r="BK5" s="58"/>
      <c r="BL5" s="58"/>
      <c r="BM5" s="58"/>
      <c r="BN5" s="58"/>
      <c r="BO5" s="58"/>
      <c r="BP5" s="58"/>
      <c r="BQ5" s="58"/>
      <c r="BR5" s="58" t="s">
        <v>2066</v>
      </c>
      <c r="BS5" s="58"/>
      <c r="BT5" s="58" t="s">
        <v>1870</v>
      </c>
      <c r="BU5" s="58" t="s">
        <v>384</v>
      </c>
      <c r="BV5" s="58" t="s">
        <v>1870</v>
      </c>
      <c r="BW5" s="58" t="s">
        <v>384</v>
      </c>
      <c r="BX5" s="58"/>
    </row>
    <row r="6" spans="1:76" ht="15" customHeight="1" x14ac:dyDescent="0.25">
      <c r="A6" s="61" t="str">
        <f t="shared" si="0"/>
        <v>089308010311</v>
      </c>
      <c r="B6" s="58">
        <v>4</v>
      </c>
      <c r="C6" s="58"/>
      <c r="D6" s="58"/>
      <c r="E6" s="58"/>
      <c r="F6" s="58" t="s">
        <v>400</v>
      </c>
      <c r="G6" s="58" t="s">
        <v>44</v>
      </c>
      <c r="H6" s="58" t="s">
        <v>395</v>
      </c>
      <c r="I6" s="58" t="s">
        <v>396</v>
      </c>
      <c r="J6" s="58" t="s">
        <v>2908</v>
      </c>
      <c r="K6" s="58" t="s">
        <v>278</v>
      </c>
      <c r="L6" s="58" t="s">
        <v>398</v>
      </c>
      <c r="M6" s="58" t="s">
        <v>397</v>
      </c>
      <c r="N6" s="58" t="s">
        <v>1809</v>
      </c>
      <c r="O6" s="58" t="s">
        <v>3319</v>
      </c>
      <c r="P6" s="58" t="s">
        <v>3295</v>
      </c>
      <c r="Q6" s="58"/>
      <c r="R6" s="58"/>
      <c r="S6" s="58"/>
      <c r="T6" s="58"/>
      <c r="U6" s="58"/>
      <c r="V6" s="58"/>
      <c r="W6" s="58"/>
      <c r="X6" s="59"/>
      <c r="Y6" s="59"/>
      <c r="Z6" s="58"/>
      <c r="AA6" s="58"/>
      <c r="AB6" s="58"/>
      <c r="AC6" s="58"/>
      <c r="AD6" s="58">
        <v>2026</v>
      </c>
      <c r="AE6" s="58"/>
      <c r="AF6" s="58"/>
      <c r="AG6" s="58" t="s">
        <v>3296</v>
      </c>
      <c r="AH6" s="58" t="s">
        <v>3296</v>
      </c>
      <c r="AI6" s="58"/>
      <c r="AJ6" s="58"/>
      <c r="AK6" s="58"/>
      <c r="AL6" s="58"/>
      <c r="AM6" s="58"/>
      <c r="AN6" s="58" t="s">
        <v>1809</v>
      </c>
      <c r="AO6" s="60" t="s">
        <v>402</v>
      </c>
      <c r="AP6" s="60" t="s">
        <v>403</v>
      </c>
      <c r="AQ6" s="58" t="s">
        <v>3320</v>
      </c>
      <c r="AR6" s="58" t="s">
        <v>288</v>
      </c>
      <c r="AS6" s="58" t="s">
        <v>3321</v>
      </c>
      <c r="AT6" s="58" t="s">
        <v>3322</v>
      </c>
      <c r="AU6" s="58" t="s">
        <v>3323</v>
      </c>
      <c r="AV6" s="58" t="s">
        <v>3324</v>
      </c>
      <c r="AW6" s="58"/>
      <c r="AX6" s="58"/>
      <c r="AY6" s="58"/>
      <c r="AZ6" s="58"/>
      <c r="BA6" s="58" t="s">
        <v>3325</v>
      </c>
      <c r="BB6" s="58" t="s">
        <v>3326</v>
      </c>
      <c r="BC6" s="58" t="s">
        <v>3304</v>
      </c>
      <c r="BD6" s="58"/>
      <c r="BE6" s="58"/>
      <c r="BF6" s="58"/>
      <c r="BG6" s="58"/>
      <c r="BH6" s="58"/>
      <c r="BI6" s="58"/>
      <c r="BJ6" s="58"/>
      <c r="BK6" s="58"/>
      <c r="BL6" s="58"/>
      <c r="BM6" s="58"/>
      <c r="BN6" s="58"/>
      <c r="BO6" s="58"/>
      <c r="BP6" s="58"/>
      <c r="BQ6" s="58"/>
      <c r="BR6" s="58" t="s">
        <v>3327</v>
      </c>
      <c r="BS6" s="58"/>
      <c r="BT6" s="58" t="s">
        <v>1809</v>
      </c>
      <c r="BU6" s="58" t="s">
        <v>402</v>
      </c>
      <c r="BV6" s="58" t="s">
        <v>1809</v>
      </c>
      <c r="BW6" s="58" t="s">
        <v>402</v>
      </c>
      <c r="BX6" s="58"/>
    </row>
    <row r="7" spans="1:76" ht="15" customHeight="1" x14ac:dyDescent="0.25">
      <c r="A7" s="61" t="str">
        <f t="shared" si="0"/>
        <v>086308005441</v>
      </c>
      <c r="B7" s="58">
        <v>5</v>
      </c>
      <c r="C7" s="58"/>
      <c r="D7" s="58"/>
      <c r="E7" s="58"/>
      <c r="F7" s="58" t="s">
        <v>417</v>
      </c>
      <c r="G7" s="58" t="s">
        <v>60</v>
      </c>
      <c r="H7" s="58" t="s">
        <v>412</v>
      </c>
      <c r="I7" s="58" t="s">
        <v>413</v>
      </c>
      <c r="J7" s="58" t="s">
        <v>2908</v>
      </c>
      <c r="K7" s="58" t="s">
        <v>278</v>
      </c>
      <c r="L7" s="58" t="s">
        <v>415</v>
      </c>
      <c r="M7" s="58" t="s">
        <v>414</v>
      </c>
      <c r="N7" s="58" t="s">
        <v>1851</v>
      </c>
      <c r="O7" s="58" t="s">
        <v>3328</v>
      </c>
      <c r="P7" s="58" t="s">
        <v>3295</v>
      </c>
      <c r="Q7" s="58"/>
      <c r="R7" s="58"/>
      <c r="S7" s="58"/>
      <c r="T7" s="58"/>
      <c r="U7" s="58"/>
      <c r="V7" s="58"/>
      <c r="W7" s="58"/>
      <c r="X7" s="59"/>
      <c r="Y7" s="59"/>
      <c r="Z7" s="58"/>
      <c r="AA7" s="58"/>
      <c r="AB7" s="58"/>
      <c r="AC7" s="58"/>
      <c r="AD7" s="58">
        <v>2026</v>
      </c>
      <c r="AE7" s="58"/>
      <c r="AF7" s="58"/>
      <c r="AG7" s="58" t="s">
        <v>3296</v>
      </c>
      <c r="AH7" s="58" t="s">
        <v>3296</v>
      </c>
      <c r="AI7" s="58"/>
      <c r="AJ7" s="58"/>
      <c r="AK7" s="58"/>
      <c r="AL7" s="58"/>
      <c r="AM7" s="58"/>
      <c r="AN7" s="58" t="s">
        <v>1851</v>
      </c>
      <c r="AO7" s="60" t="s">
        <v>422</v>
      </c>
      <c r="AP7" s="60" t="s">
        <v>423</v>
      </c>
      <c r="AQ7" s="58" t="s">
        <v>3329</v>
      </c>
      <c r="AR7" s="58" t="s">
        <v>288</v>
      </c>
      <c r="AS7" s="58" t="s">
        <v>3330</v>
      </c>
      <c r="AT7" s="58" t="s">
        <v>3331</v>
      </c>
      <c r="AU7" s="58" t="s">
        <v>3332</v>
      </c>
      <c r="AV7" s="58" t="s">
        <v>3333</v>
      </c>
      <c r="AW7" s="58"/>
      <c r="AX7" s="58"/>
      <c r="AY7" s="58"/>
      <c r="AZ7" s="58" t="s">
        <v>3334</v>
      </c>
      <c r="BA7" s="58"/>
      <c r="BB7" s="58" t="s">
        <v>3300</v>
      </c>
      <c r="BC7" s="58" t="s">
        <v>3304</v>
      </c>
      <c r="BD7" s="58"/>
      <c r="BE7" s="58"/>
      <c r="BF7" s="58"/>
      <c r="BG7" s="58"/>
      <c r="BH7" s="58"/>
      <c r="BI7" s="58"/>
      <c r="BJ7" s="58"/>
      <c r="BK7" s="58"/>
      <c r="BL7" s="58"/>
      <c r="BM7" s="58"/>
      <c r="BN7" s="58"/>
      <c r="BO7" s="58"/>
      <c r="BP7" s="58"/>
      <c r="BQ7" s="58"/>
      <c r="BR7" s="58" t="s">
        <v>1338</v>
      </c>
      <c r="BS7" s="58"/>
      <c r="BT7" s="58" t="s">
        <v>1851</v>
      </c>
      <c r="BU7" s="58" t="s">
        <v>422</v>
      </c>
      <c r="BV7" s="58" t="s">
        <v>1851</v>
      </c>
      <c r="BW7" s="58" t="s">
        <v>422</v>
      </c>
      <c r="BX7" s="58"/>
    </row>
    <row r="8" spans="1:76" ht="15" customHeight="1" x14ac:dyDescent="0.25">
      <c r="A8" s="61" t="str">
        <f t="shared" si="0"/>
        <v>083308003866</v>
      </c>
      <c r="B8" s="58">
        <v>6</v>
      </c>
      <c r="C8" s="58"/>
      <c r="D8" s="58"/>
      <c r="E8" s="58"/>
      <c r="F8" s="58" t="s">
        <v>435</v>
      </c>
      <c r="G8" s="58" t="s">
        <v>79</v>
      </c>
      <c r="H8" s="58" t="s">
        <v>430</v>
      </c>
      <c r="I8" s="58" t="s">
        <v>431</v>
      </c>
      <c r="J8" s="58" t="s">
        <v>2908</v>
      </c>
      <c r="K8" s="58" t="s">
        <v>278</v>
      </c>
      <c r="L8" s="58" t="s">
        <v>433</v>
      </c>
      <c r="M8" s="58" t="s">
        <v>432</v>
      </c>
      <c r="N8" s="58" t="s">
        <v>1851</v>
      </c>
      <c r="O8" s="58" t="s">
        <v>3335</v>
      </c>
      <c r="P8" s="58" t="s">
        <v>3295</v>
      </c>
      <c r="Q8" s="58"/>
      <c r="R8" s="58"/>
      <c r="S8" s="58"/>
      <c r="T8" s="58"/>
      <c r="U8" s="58"/>
      <c r="V8" s="58"/>
      <c r="W8" s="58"/>
      <c r="X8" s="59"/>
      <c r="Y8" s="59"/>
      <c r="Z8" s="58"/>
      <c r="AA8" s="58"/>
      <c r="AB8" s="58"/>
      <c r="AC8" s="58"/>
      <c r="AD8" s="58">
        <v>2026</v>
      </c>
      <c r="AE8" s="58"/>
      <c r="AF8" s="58"/>
      <c r="AG8" s="58" t="s">
        <v>3296</v>
      </c>
      <c r="AH8" s="58" t="s">
        <v>3296</v>
      </c>
      <c r="AI8" s="58"/>
      <c r="AJ8" s="58"/>
      <c r="AK8" s="58"/>
      <c r="AL8" s="58"/>
      <c r="AM8" s="58"/>
      <c r="AN8" s="58" t="s">
        <v>1851</v>
      </c>
      <c r="AO8" s="60" t="s">
        <v>439</v>
      </c>
      <c r="AP8" s="60" t="s">
        <v>440</v>
      </c>
      <c r="AQ8" s="58" t="s">
        <v>3336</v>
      </c>
      <c r="AR8" s="58" t="s">
        <v>288</v>
      </c>
      <c r="AS8" s="58" t="s">
        <v>3330</v>
      </c>
      <c r="AT8" s="58" t="s">
        <v>3337</v>
      </c>
      <c r="AU8" s="58" t="s">
        <v>3338</v>
      </c>
      <c r="AV8" s="58" t="s">
        <v>3333</v>
      </c>
      <c r="AW8" s="58" t="s">
        <v>3339</v>
      </c>
      <c r="AX8" s="58" t="s">
        <v>3340</v>
      </c>
      <c r="AY8" s="58"/>
      <c r="AZ8" s="58"/>
      <c r="BA8" s="58"/>
      <c r="BB8" s="58"/>
      <c r="BC8" s="58"/>
      <c r="BD8" s="58"/>
      <c r="BE8" s="58"/>
      <c r="BF8" s="58"/>
      <c r="BG8" s="58"/>
      <c r="BH8" s="58"/>
      <c r="BI8" s="58"/>
      <c r="BJ8" s="58"/>
      <c r="BK8" s="58"/>
      <c r="BL8" s="58"/>
      <c r="BM8" s="58"/>
      <c r="BN8" s="58"/>
      <c r="BO8" s="58"/>
      <c r="BP8" s="58"/>
      <c r="BQ8" s="58"/>
      <c r="BR8" s="58" t="s">
        <v>644</v>
      </c>
      <c r="BS8" s="58"/>
      <c r="BT8" s="58" t="s">
        <v>1851</v>
      </c>
      <c r="BU8" s="58" t="s">
        <v>439</v>
      </c>
      <c r="BV8" s="58" t="s">
        <v>1851</v>
      </c>
      <c r="BW8" s="58" t="s">
        <v>439</v>
      </c>
      <c r="BX8" s="58"/>
    </row>
    <row r="9" spans="1:76" ht="15" customHeight="1" x14ac:dyDescent="0.25">
      <c r="A9" s="61" t="str">
        <f t="shared" si="0"/>
        <v>089208022494</v>
      </c>
      <c r="B9" s="58">
        <v>7</v>
      </c>
      <c r="C9" s="58"/>
      <c r="D9" s="58"/>
      <c r="E9" s="58"/>
      <c r="F9" s="58" t="s">
        <v>456</v>
      </c>
      <c r="G9" s="58" t="s">
        <v>48</v>
      </c>
      <c r="H9" s="58" t="s">
        <v>451</v>
      </c>
      <c r="I9" s="58" t="s">
        <v>452</v>
      </c>
      <c r="J9" s="58" t="s">
        <v>2909</v>
      </c>
      <c r="K9" s="58" t="s">
        <v>278</v>
      </c>
      <c r="L9" s="58" t="s">
        <v>454</v>
      </c>
      <c r="M9" s="58" t="s">
        <v>453</v>
      </c>
      <c r="N9" s="58" t="s">
        <v>1809</v>
      </c>
      <c r="O9" s="58" t="s">
        <v>3341</v>
      </c>
      <c r="P9" s="58" t="s">
        <v>3295</v>
      </c>
      <c r="Q9" s="58"/>
      <c r="R9" s="58"/>
      <c r="S9" s="58"/>
      <c r="T9" s="58"/>
      <c r="U9" s="58"/>
      <c r="V9" s="58"/>
      <c r="W9" s="58"/>
      <c r="X9" s="59"/>
      <c r="Y9" s="59"/>
      <c r="Z9" s="58"/>
      <c r="AA9" s="58"/>
      <c r="AB9" s="58"/>
      <c r="AC9" s="58"/>
      <c r="AD9" s="58">
        <v>2026</v>
      </c>
      <c r="AE9" s="58"/>
      <c r="AF9" s="58"/>
      <c r="AG9" s="58" t="s">
        <v>3296</v>
      </c>
      <c r="AH9" s="58" t="s">
        <v>3296</v>
      </c>
      <c r="AI9" s="58"/>
      <c r="AJ9" s="58"/>
      <c r="AK9" s="58"/>
      <c r="AL9" s="58"/>
      <c r="AM9" s="58"/>
      <c r="AN9" s="58" t="s">
        <v>1809</v>
      </c>
      <c r="AO9" s="60" t="s">
        <v>460</v>
      </c>
      <c r="AP9" s="60" t="s">
        <v>461</v>
      </c>
      <c r="AQ9" s="58" t="s">
        <v>3342</v>
      </c>
      <c r="AR9" s="58" t="s">
        <v>288</v>
      </c>
      <c r="AS9" s="58" t="s">
        <v>3321</v>
      </c>
      <c r="AT9" s="58" t="s">
        <v>3343</v>
      </c>
      <c r="AU9" s="58" t="s">
        <v>3323</v>
      </c>
      <c r="AV9" s="58" t="s">
        <v>3338</v>
      </c>
      <c r="AW9" s="58"/>
      <c r="AX9" s="58"/>
      <c r="AY9" s="58"/>
      <c r="AZ9" s="58" t="s">
        <v>3344</v>
      </c>
      <c r="BA9" s="58"/>
      <c r="BB9" s="58"/>
      <c r="BC9" s="58"/>
      <c r="BD9" s="58" t="s">
        <v>3340</v>
      </c>
      <c r="BE9" s="58"/>
      <c r="BF9" s="58"/>
      <c r="BG9" s="58"/>
      <c r="BH9" s="58"/>
      <c r="BI9" s="58"/>
      <c r="BJ9" s="58"/>
      <c r="BK9" s="58"/>
      <c r="BL9" s="58"/>
      <c r="BM9" s="58"/>
      <c r="BN9" s="58"/>
      <c r="BO9" s="58"/>
      <c r="BP9" s="58"/>
      <c r="BQ9" s="58"/>
      <c r="BR9" s="58" t="s">
        <v>462</v>
      </c>
      <c r="BS9" s="58"/>
      <c r="BT9" s="58" t="s">
        <v>1809</v>
      </c>
      <c r="BU9" s="58" t="s">
        <v>460</v>
      </c>
      <c r="BV9" s="58" t="s">
        <v>1809</v>
      </c>
      <c r="BW9" s="58" t="s">
        <v>460</v>
      </c>
      <c r="BX9" s="58"/>
    </row>
    <row r="10" spans="1:76" ht="15" customHeight="1" x14ac:dyDescent="0.25">
      <c r="A10" s="61" t="str">
        <f t="shared" si="0"/>
        <v>084308005383</v>
      </c>
      <c r="B10" s="58">
        <v>8</v>
      </c>
      <c r="C10" s="58"/>
      <c r="D10" s="58"/>
      <c r="E10" s="58"/>
      <c r="F10" s="58" t="s">
        <v>479</v>
      </c>
      <c r="G10" s="58" t="s">
        <v>74</v>
      </c>
      <c r="H10" s="58" t="s">
        <v>471</v>
      </c>
      <c r="I10" s="58" t="s">
        <v>472</v>
      </c>
      <c r="J10" s="58" t="s">
        <v>2908</v>
      </c>
      <c r="K10" s="58" t="s">
        <v>550</v>
      </c>
      <c r="L10" s="58" t="s">
        <v>474</v>
      </c>
      <c r="M10" s="58" t="s">
        <v>3345</v>
      </c>
      <c r="N10" s="58" t="s">
        <v>1851</v>
      </c>
      <c r="O10" s="58" t="s">
        <v>3346</v>
      </c>
      <c r="P10" s="58" t="s">
        <v>278</v>
      </c>
      <c r="Q10" s="58" t="s">
        <v>477</v>
      </c>
      <c r="R10" s="58"/>
      <c r="S10" s="58"/>
      <c r="T10" s="58"/>
      <c r="U10" s="58"/>
      <c r="V10" s="58"/>
      <c r="W10" s="58"/>
      <c r="X10" s="59"/>
      <c r="Y10" s="59"/>
      <c r="Z10" s="58"/>
      <c r="AA10" s="58"/>
      <c r="AB10" s="58"/>
      <c r="AC10" s="58"/>
      <c r="AD10" s="58">
        <v>2026</v>
      </c>
      <c r="AE10" s="58"/>
      <c r="AF10" s="58"/>
      <c r="AG10" s="58" t="s">
        <v>3296</v>
      </c>
      <c r="AH10" s="58" t="s">
        <v>3296</v>
      </c>
      <c r="AI10" s="58"/>
      <c r="AJ10" s="58"/>
      <c r="AK10" s="58"/>
      <c r="AL10" s="58"/>
      <c r="AM10" s="58"/>
      <c r="AN10" s="58" t="s">
        <v>1851</v>
      </c>
      <c r="AO10" s="60" t="s">
        <v>482</v>
      </c>
      <c r="AP10" s="60" t="s">
        <v>483</v>
      </c>
      <c r="AQ10" s="58" t="s">
        <v>3347</v>
      </c>
      <c r="AR10" s="58" t="s">
        <v>478</v>
      </c>
      <c r="AS10" s="58" t="s">
        <v>3330</v>
      </c>
      <c r="AT10" s="58" t="s">
        <v>3348</v>
      </c>
      <c r="AU10" s="58" t="s">
        <v>3338</v>
      </c>
      <c r="AV10" s="58" t="s">
        <v>3317</v>
      </c>
      <c r="AW10" s="58" t="s">
        <v>3333</v>
      </c>
      <c r="AX10" s="58" t="s">
        <v>3349</v>
      </c>
      <c r="AY10" s="58"/>
      <c r="AZ10" s="58"/>
      <c r="BA10" s="58"/>
      <c r="BB10" s="58"/>
      <c r="BC10" s="58"/>
      <c r="BD10" s="58"/>
      <c r="BE10" s="58"/>
      <c r="BF10" s="58"/>
      <c r="BG10" s="58"/>
      <c r="BH10" s="58"/>
      <c r="BI10" s="58"/>
      <c r="BJ10" s="58"/>
      <c r="BK10" s="58"/>
      <c r="BL10" s="58"/>
      <c r="BM10" s="58"/>
      <c r="BN10" s="58"/>
      <c r="BO10" s="58"/>
      <c r="BP10" s="58"/>
      <c r="BQ10" s="58"/>
      <c r="BR10" s="58" t="s">
        <v>484</v>
      </c>
      <c r="BS10" s="58"/>
      <c r="BT10" s="58" t="s">
        <v>1851</v>
      </c>
      <c r="BU10" s="58" t="s">
        <v>480</v>
      </c>
      <c r="BV10" s="58" t="s">
        <v>1851</v>
      </c>
      <c r="BW10" s="58" t="s">
        <v>482</v>
      </c>
      <c r="BX10" s="58"/>
    </row>
    <row r="11" spans="1:76" ht="15" customHeight="1" x14ac:dyDescent="0.25">
      <c r="A11" s="61" t="str">
        <f t="shared" si="0"/>
        <v>089308016620</v>
      </c>
      <c r="B11" s="58">
        <v>9</v>
      </c>
      <c r="C11" s="58"/>
      <c r="D11" s="58"/>
      <c r="E11" s="58"/>
      <c r="F11" s="58" t="s">
        <v>497</v>
      </c>
      <c r="G11" s="58" t="s">
        <v>41</v>
      </c>
      <c r="H11" s="58" t="s">
        <v>492</v>
      </c>
      <c r="I11" s="58" t="s">
        <v>493</v>
      </c>
      <c r="J11" s="58" t="s">
        <v>2908</v>
      </c>
      <c r="K11" s="58" t="s">
        <v>278</v>
      </c>
      <c r="L11" s="58" t="s">
        <v>495</v>
      </c>
      <c r="M11" s="58" t="s">
        <v>3350</v>
      </c>
      <c r="N11" s="58" t="s">
        <v>1809</v>
      </c>
      <c r="O11" s="58" t="s">
        <v>3319</v>
      </c>
      <c r="P11" s="58" t="s">
        <v>3295</v>
      </c>
      <c r="Q11" s="58"/>
      <c r="R11" s="58"/>
      <c r="S11" s="58"/>
      <c r="T11" s="58"/>
      <c r="U11" s="58"/>
      <c r="V11" s="58"/>
      <c r="W11" s="58"/>
      <c r="X11" s="59"/>
      <c r="Y11" s="59"/>
      <c r="Z11" s="58"/>
      <c r="AA11" s="58"/>
      <c r="AB11" s="58"/>
      <c r="AC11" s="58"/>
      <c r="AD11" s="58">
        <v>2026</v>
      </c>
      <c r="AE11" s="58"/>
      <c r="AF11" s="58"/>
      <c r="AG11" s="58" t="s">
        <v>3296</v>
      </c>
      <c r="AH11" s="58" t="s">
        <v>3296</v>
      </c>
      <c r="AI11" s="58"/>
      <c r="AJ11" s="58"/>
      <c r="AK11" s="58"/>
      <c r="AL11" s="58"/>
      <c r="AM11" s="58"/>
      <c r="AN11" s="58" t="s">
        <v>1809</v>
      </c>
      <c r="AO11" s="60" t="s">
        <v>402</v>
      </c>
      <c r="AP11" s="60" t="s">
        <v>403</v>
      </c>
      <c r="AQ11" s="58" t="s">
        <v>3351</v>
      </c>
      <c r="AR11" s="58" t="s">
        <v>288</v>
      </c>
      <c r="AS11" s="58" t="s">
        <v>3321</v>
      </c>
      <c r="AT11" s="58" t="s">
        <v>3322</v>
      </c>
      <c r="AU11" s="58" t="s">
        <v>3333</v>
      </c>
      <c r="AV11" s="58" t="s">
        <v>3340</v>
      </c>
      <c r="AW11" s="58"/>
      <c r="AX11" s="58"/>
      <c r="AY11" s="58"/>
      <c r="AZ11" s="58"/>
      <c r="BA11" s="58" t="s">
        <v>3300</v>
      </c>
      <c r="BB11" s="58" t="s">
        <v>3352</v>
      </c>
      <c r="BC11" s="58" t="s">
        <v>3304</v>
      </c>
      <c r="BD11" s="58"/>
      <c r="BE11" s="58"/>
      <c r="BF11" s="58"/>
      <c r="BG11" s="58"/>
      <c r="BH11" s="58"/>
      <c r="BI11" s="58"/>
      <c r="BJ11" s="58"/>
      <c r="BK11" s="58"/>
      <c r="BL11" s="58"/>
      <c r="BM11" s="58"/>
      <c r="BN11" s="58"/>
      <c r="BO11" s="58"/>
      <c r="BP11" s="58"/>
      <c r="BQ11" s="58"/>
      <c r="BR11" s="58" t="s">
        <v>3353</v>
      </c>
      <c r="BS11" s="58"/>
      <c r="BT11" s="58" t="s">
        <v>1809</v>
      </c>
      <c r="BU11" s="58" t="s">
        <v>402</v>
      </c>
      <c r="BV11" s="58" t="s">
        <v>1809</v>
      </c>
      <c r="BW11" s="58" t="s">
        <v>402</v>
      </c>
      <c r="BX11" s="58"/>
    </row>
    <row r="12" spans="1:76" ht="15" customHeight="1" x14ac:dyDescent="0.25">
      <c r="A12" s="61" t="str">
        <f t="shared" si="0"/>
        <v>087308004738</v>
      </c>
      <c r="B12" s="58">
        <v>10</v>
      </c>
      <c r="C12" s="58"/>
      <c r="D12" s="58"/>
      <c r="E12" s="58"/>
      <c r="F12" s="58" t="s">
        <v>517</v>
      </c>
      <c r="G12" s="58" t="s">
        <v>51</v>
      </c>
      <c r="H12" s="58" t="s">
        <v>511</v>
      </c>
      <c r="I12" s="58" t="s">
        <v>512</v>
      </c>
      <c r="J12" s="58" t="s">
        <v>2908</v>
      </c>
      <c r="K12" s="58" t="s">
        <v>278</v>
      </c>
      <c r="L12" s="58" t="s">
        <v>514</v>
      </c>
      <c r="M12" s="58" t="s">
        <v>513</v>
      </c>
      <c r="N12" s="58" t="s">
        <v>1822</v>
      </c>
      <c r="O12" s="58" t="s">
        <v>3354</v>
      </c>
      <c r="P12" s="58" t="s">
        <v>376</v>
      </c>
      <c r="Q12" s="58"/>
      <c r="R12" s="58"/>
      <c r="S12" s="58"/>
      <c r="T12" s="58"/>
      <c r="U12" s="58"/>
      <c r="V12" s="58"/>
      <c r="W12" s="58"/>
      <c r="X12" s="59"/>
      <c r="Y12" s="59"/>
      <c r="Z12" s="58"/>
      <c r="AA12" s="58"/>
      <c r="AB12" s="58"/>
      <c r="AC12" s="58"/>
      <c r="AD12" s="58">
        <v>2026</v>
      </c>
      <c r="AE12" s="58"/>
      <c r="AF12" s="58"/>
      <c r="AG12" s="58" t="s">
        <v>3296</v>
      </c>
      <c r="AH12" s="58" t="s">
        <v>3296</v>
      </c>
      <c r="AI12" s="58"/>
      <c r="AJ12" s="58"/>
      <c r="AK12" s="58"/>
      <c r="AL12" s="58"/>
      <c r="AM12" s="58"/>
      <c r="AN12" s="58" t="s">
        <v>1822</v>
      </c>
      <c r="AO12" s="60" t="s">
        <v>523</v>
      </c>
      <c r="AP12" s="60" t="s">
        <v>524</v>
      </c>
      <c r="AQ12" s="58" t="s">
        <v>3355</v>
      </c>
      <c r="AR12" s="58" t="s">
        <v>288</v>
      </c>
      <c r="AS12" s="58" t="s">
        <v>3298</v>
      </c>
      <c r="AT12" s="58" t="s">
        <v>3356</v>
      </c>
      <c r="AU12" s="58" t="s">
        <v>3332</v>
      </c>
      <c r="AV12" s="58" t="s">
        <v>3338</v>
      </c>
      <c r="AW12" s="58"/>
      <c r="AX12" s="58"/>
      <c r="AY12" s="58"/>
      <c r="AZ12" s="58"/>
      <c r="BA12" s="58" t="s">
        <v>3311</v>
      </c>
      <c r="BB12" s="58" t="s">
        <v>3357</v>
      </c>
      <c r="BC12" s="58" t="s">
        <v>3304</v>
      </c>
      <c r="BD12" s="58"/>
      <c r="BE12" s="58"/>
      <c r="BF12" s="58"/>
      <c r="BG12" s="58"/>
      <c r="BH12" s="58"/>
      <c r="BI12" s="58"/>
      <c r="BJ12" s="58"/>
      <c r="BK12" s="58"/>
      <c r="BL12" s="58"/>
      <c r="BM12" s="58"/>
      <c r="BN12" s="58"/>
      <c r="BO12" s="58"/>
      <c r="BP12" s="58"/>
      <c r="BQ12" s="58"/>
      <c r="BR12" s="58" t="s">
        <v>1849</v>
      </c>
      <c r="BS12" s="58"/>
      <c r="BT12" s="58" t="s">
        <v>1822</v>
      </c>
      <c r="BU12" s="58" t="s">
        <v>521</v>
      </c>
      <c r="BV12" s="58" t="s">
        <v>1822</v>
      </c>
      <c r="BW12" s="58" t="s">
        <v>521</v>
      </c>
      <c r="BX12" s="58"/>
    </row>
    <row r="13" spans="1:76" ht="15" customHeight="1" x14ac:dyDescent="0.25">
      <c r="A13" s="61" t="str">
        <f t="shared" si="0"/>
        <v>091308007131</v>
      </c>
      <c r="B13" s="58">
        <v>11</v>
      </c>
      <c r="C13" s="58"/>
      <c r="D13" s="58"/>
      <c r="E13" s="58"/>
      <c r="F13" s="58" t="s">
        <v>537</v>
      </c>
      <c r="G13" s="58" t="s">
        <v>38</v>
      </c>
      <c r="H13" s="58" t="s">
        <v>532</v>
      </c>
      <c r="I13" s="58" t="s">
        <v>533</v>
      </c>
      <c r="J13" s="58" t="s">
        <v>2908</v>
      </c>
      <c r="K13" s="58" t="s">
        <v>278</v>
      </c>
      <c r="L13" s="58" t="s">
        <v>535</v>
      </c>
      <c r="M13" s="58" t="s">
        <v>534</v>
      </c>
      <c r="N13" s="58" t="s">
        <v>1809</v>
      </c>
      <c r="O13" s="58" t="s">
        <v>3358</v>
      </c>
      <c r="P13" s="58" t="s">
        <v>376</v>
      </c>
      <c r="Q13" s="58"/>
      <c r="R13" s="58"/>
      <c r="S13" s="58"/>
      <c r="T13" s="58"/>
      <c r="U13" s="58"/>
      <c r="V13" s="58"/>
      <c r="W13" s="58"/>
      <c r="X13" s="59"/>
      <c r="Y13" s="59"/>
      <c r="Z13" s="58"/>
      <c r="AA13" s="58"/>
      <c r="AB13" s="58"/>
      <c r="AC13" s="58"/>
      <c r="AD13" s="58">
        <v>2026</v>
      </c>
      <c r="AE13" s="58"/>
      <c r="AF13" s="58"/>
      <c r="AG13" s="58" t="s">
        <v>3313</v>
      </c>
      <c r="AH13" s="58" t="s">
        <v>3296</v>
      </c>
      <c r="AI13" s="58"/>
      <c r="AJ13" s="58"/>
      <c r="AK13" s="58"/>
      <c r="AL13" s="58"/>
      <c r="AM13" s="58"/>
      <c r="AN13" s="58" t="s">
        <v>1809</v>
      </c>
      <c r="AO13" s="60" t="s">
        <v>540</v>
      </c>
      <c r="AP13" s="60" t="s">
        <v>541</v>
      </c>
      <c r="AQ13" s="58" t="s">
        <v>3359</v>
      </c>
      <c r="AR13" s="58" t="s">
        <v>288</v>
      </c>
      <c r="AS13" s="58" t="s">
        <v>3321</v>
      </c>
      <c r="AT13" s="58" t="s">
        <v>3360</v>
      </c>
      <c r="AU13" s="58" t="s">
        <v>3361</v>
      </c>
      <c r="AV13" s="58" t="s">
        <v>3338</v>
      </c>
      <c r="AW13" s="58"/>
      <c r="AX13" s="58"/>
      <c r="AY13" s="58"/>
      <c r="AZ13" s="58"/>
      <c r="BA13" s="58" t="s">
        <v>3362</v>
      </c>
      <c r="BB13" s="58"/>
      <c r="BC13" s="58"/>
      <c r="BD13" s="58" t="s">
        <v>3338</v>
      </c>
      <c r="BE13" s="58"/>
      <c r="BF13" s="58"/>
      <c r="BG13" s="58"/>
      <c r="BH13" s="58"/>
      <c r="BI13" s="58"/>
      <c r="BJ13" s="58"/>
      <c r="BK13" s="58"/>
      <c r="BL13" s="58"/>
      <c r="BM13" s="58"/>
      <c r="BN13" s="58"/>
      <c r="BO13" s="58"/>
      <c r="BP13" s="58"/>
      <c r="BQ13" s="58"/>
      <c r="BR13" s="58" t="s">
        <v>3363</v>
      </c>
      <c r="BS13" s="58"/>
      <c r="BT13" s="58" t="s">
        <v>1809</v>
      </c>
      <c r="BU13" s="58" t="s">
        <v>538</v>
      </c>
      <c r="BV13" s="58" t="s">
        <v>1809</v>
      </c>
      <c r="BW13" s="58" t="s">
        <v>538</v>
      </c>
      <c r="BX13" s="58"/>
    </row>
    <row r="14" spans="1:76" ht="15" customHeight="1" x14ac:dyDescent="0.25">
      <c r="A14" s="61" t="str">
        <f t="shared" si="0"/>
        <v>068208012324</v>
      </c>
      <c r="B14" s="58">
        <v>12</v>
      </c>
      <c r="C14" s="58"/>
      <c r="D14" s="58"/>
      <c r="E14" s="58"/>
      <c r="F14" s="58" t="s">
        <v>556</v>
      </c>
      <c r="G14" s="58" t="s">
        <v>103</v>
      </c>
      <c r="H14" s="58" t="s">
        <v>551</v>
      </c>
      <c r="I14" s="58" t="s">
        <v>552</v>
      </c>
      <c r="J14" s="58" t="s">
        <v>2909</v>
      </c>
      <c r="K14" s="58" t="s">
        <v>278</v>
      </c>
      <c r="L14" s="58" t="s">
        <v>554</v>
      </c>
      <c r="M14" s="58" t="s">
        <v>3364</v>
      </c>
      <c r="N14" s="58" t="s">
        <v>1576</v>
      </c>
      <c r="O14" s="58" t="s">
        <v>3365</v>
      </c>
      <c r="P14" s="58" t="s">
        <v>3295</v>
      </c>
      <c r="Q14" s="58"/>
      <c r="R14" s="58"/>
      <c r="S14" s="58"/>
      <c r="T14" s="58"/>
      <c r="U14" s="58"/>
      <c r="V14" s="58"/>
      <c r="W14" s="58"/>
      <c r="X14" s="59"/>
      <c r="Y14" s="59"/>
      <c r="Z14" s="58"/>
      <c r="AA14" s="58"/>
      <c r="AB14" s="58"/>
      <c r="AC14" s="58"/>
      <c r="AD14" s="58">
        <v>2026</v>
      </c>
      <c r="AE14" s="58"/>
      <c r="AF14" s="58"/>
      <c r="AG14" s="58" t="s">
        <v>3313</v>
      </c>
      <c r="AH14" s="58" t="s">
        <v>3296</v>
      </c>
      <c r="AI14" s="58"/>
      <c r="AJ14" s="58"/>
      <c r="AK14" s="58"/>
      <c r="AL14" s="58"/>
      <c r="AM14" s="58"/>
      <c r="AN14" s="58" t="s">
        <v>1576</v>
      </c>
      <c r="AO14" s="60" t="s">
        <v>557</v>
      </c>
      <c r="AP14" s="60" t="s">
        <v>558</v>
      </c>
      <c r="AQ14" s="58" t="s">
        <v>3366</v>
      </c>
      <c r="AR14" s="58" t="s">
        <v>288</v>
      </c>
      <c r="AS14" s="58" t="s">
        <v>3308</v>
      </c>
      <c r="AT14" s="58" t="s">
        <v>3367</v>
      </c>
      <c r="AU14" s="58" t="s">
        <v>3368</v>
      </c>
      <c r="AV14" s="58" t="s">
        <v>3325</v>
      </c>
      <c r="AW14" s="58" t="s">
        <v>3332</v>
      </c>
      <c r="AX14" s="58" t="s">
        <v>3325</v>
      </c>
      <c r="AY14" s="58"/>
      <c r="AZ14" s="58"/>
      <c r="BA14" s="58"/>
      <c r="BB14" s="58"/>
      <c r="BC14" s="58"/>
      <c r="BD14" s="58"/>
      <c r="BE14" s="58"/>
      <c r="BF14" s="58"/>
      <c r="BG14" s="58"/>
      <c r="BH14" s="58"/>
      <c r="BI14" s="58"/>
      <c r="BJ14" s="58"/>
      <c r="BK14" s="58"/>
      <c r="BL14" s="58"/>
      <c r="BM14" s="58"/>
      <c r="BN14" s="58"/>
      <c r="BO14" s="58"/>
      <c r="BP14" s="58"/>
      <c r="BQ14" s="58"/>
      <c r="BR14" s="58" t="s">
        <v>1055</v>
      </c>
      <c r="BS14" s="58"/>
      <c r="BT14" s="58" t="s">
        <v>1576</v>
      </c>
      <c r="BU14" s="58" t="s">
        <v>557</v>
      </c>
      <c r="BV14" s="58" t="s">
        <v>1576</v>
      </c>
      <c r="BW14" s="58" t="s">
        <v>557</v>
      </c>
      <c r="BX14" s="58"/>
    </row>
    <row r="15" spans="1:76" ht="15" customHeight="1" x14ac:dyDescent="0.25">
      <c r="A15" s="61" t="str">
        <f t="shared" si="0"/>
        <v>080308005311</v>
      </c>
      <c r="B15" s="58">
        <v>13</v>
      </c>
      <c r="C15" s="58"/>
      <c r="D15" s="58"/>
      <c r="E15" s="58"/>
      <c r="F15" s="58" t="s">
        <v>572</v>
      </c>
      <c r="G15" s="58" t="s">
        <v>92</v>
      </c>
      <c r="H15" s="58" t="s">
        <v>567</v>
      </c>
      <c r="I15" s="58" t="s">
        <v>568</v>
      </c>
      <c r="J15" s="58" t="s">
        <v>2908</v>
      </c>
      <c r="K15" s="58" t="s">
        <v>278</v>
      </c>
      <c r="L15" s="58" t="s">
        <v>570</v>
      </c>
      <c r="M15" s="58" t="s">
        <v>569</v>
      </c>
      <c r="N15" s="58" t="s">
        <v>799</v>
      </c>
      <c r="O15" s="58" t="s">
        <v>3369</v>
      </c>
      <c r="P15" s="58" t="s">
        <v>376</v>
      </c>
      <c r="Q15" s="58"/>
      <c r="R15" s="58"/>
      <c r="S15" s="58"/>
      <c r="T15" s="58"/>
      <c r="U15" s="58"/>
      <c r="V15" s="58"/>
      <c r="W15" s="58"/>
      <c r="X15" s="59"/>
      <c r="Y15" s="59"/>
      <c r="Z15" s="58"/>
      <c r="AA15" s="58"/>
      <c r="AB15" s="58"/>
      <c r="AC15" s="58"/>
      <c r="AD15" s="58">
        <v>2026</v>
      </c>
      <c r="AE15" s="58"/>
      <c r="AF15" s="58"/>
      <c r="AG15" s="58" t="s">
        <v>3296</v>
      </c>
      <c r="AH15" s="58" t="s">
        <v>3296</v>
      </c>
      <c r="AI15" s="58"/>
      <c r="AJ15" s="58"/>
      <c r="AK15" s="58"/>
      <c r="AL15" s="58"/>
      <c r="AM15" s="58"/>
      <c r="AN15" s="58" t="s">
        <v>799</v>
      </c>
      <c r="AO15" s="60" t="s">
        <v>577</v>
      </c>
      <c r="AP15" s="60" t="s">
        <v>578</v>
      </c>
      <c r="AQ15" s="58" t="s">
        <v>3370</v>
      </c>
      <c r="AR15" s="58" t="s">
        <v>288</v>
      </c>
      <c r="AS15" s="58" t="s">
        <v>3371</v>
      </c>
      <c r="AT15" s="58" t="s">
        <v>3372</v>
      </c>
      <c r="AU15" s="58" t="s">
        <v>3338</v>
      </c>
      <c r="AV15" s="58" t="s">
        <v>3338</v>
      </c>
      <c r="AW15" s="58" t="s">
        <v>3338</v>
      </c>
      <c r="AX15" s="58"/>
      <c r="AY15" s="58"/>
      <c r="AZ15" s="58"/>
      <c r="BA15" s="58"/>
      <c r="BB15" s="58" t="s">
        <v>3325</v>
      </c>
      <c r="BC15" s="58" t="s">
        <v>3304</v>
      </c>
      <c r="BD15" s="58"/>
      <c r="BE15" s="58"/>
      <c r="BF15" s="58"/>
      <c r="BG15" s="58"/>
      <c r="BH15" s="58"/>
      <c r="BI15" s="58"/>
      <c r="BJ15" s="58"/>
      <c r="BK15" s="58"/>
      <c r="BL15" s="58"/>
      <c r="BM15" s="58"/>
      <c r="BN15" s="58"/>
      <c r="BO15" s="58"/>
      <c r="BP15" s="58"/>
      <c r="BQ15" s="58"/>
      <c r="BR15" s="58" t="s">
        <v>1217</v>
      </c>
      <c r="BS15" s="58"/>
      <c r="BT15" s="58" t="s">
        <v>799</v>
      </c>
      <c r="BU15" s="58" t="s">
        <v>577</v>
      </c>
      <c r="BV15" s="58" t="s">
        <v>799</v>
      </c>
      <c r="BW15" s="58" t="s">
        <v>577</v>
      </c>
      <c r="BX15" s="58"/>
    </row>
    <row r="16" spans="1:76" ht="15" customHeight="1" x14ac:dyDescent="0.25">
      <c r="A16" s="61" t="str">
        <f t="shared" si="0"/>
        <v>084308006597</v>
      </c>
      <c r="B16" s="58">
        <v>14</v>
      </c>
      <c r="C16" s="58"/>
      <c r="D16" s="58"/>
      <c r="E16" s="58"/>
      <c r="F16" s="58" t="s">
        <v>621</v>
      </c>
      <c r="G16" s="58" t="s">
        <v>73</v>
      </c>
      <c r="H16" s="58" t="s">
        <v>616</v>
      </c>
      <c r="I16" s="58" t="s">
        <v>617</v>
      </c>
      <c r="J16" s="58" t="s">
        <v>2908</v>
      </c>
      <c r="K16" s="58" t="s">
        <v>278</v>
      </c>
      <c r="L16" s="58" t="s">
        <v>619</v>
      </c>
      <c r="M16" s="58" t="s">
        <v>618</v>
      </c>
      <c r="N16" s="58" t="s">
        <v>1851</v>
      </c>
      <c r="O16" s="58" t="s">
        <v>3373</v>
      </c>
      <c r="P16" s="58" t="s">
        <v>278</v>
      </c>
      <c r="Q16" s="58"/>
      <c r="R16" s="58"/>
      <c r="S16" s="58"/>
      <c r="T16" s="58"/>
      <c r="U16" s="58"/>
      <c r="V16" s="58"/>
      <c r="W16" s="58"/>
      <c r="X16" s="59"/>
      <c r="Y16" s="59"/>
      <c r="Z16" s="58"/>
      <c r="AA16" s="58"/>
      <c r="AB16" s="58"/>
      <c r="AC16" s="58"/>
      <c r="AD16" s="58">
        <v>2026</v>
      </c>
      <c r="AE16" s="58"/>
      <c r="AF16" s="58"/>
      <c r="AG16" s="58" t="s">
        <v>3296</v>
      </c>
      <c r="AH16" s="58" t="s">
        <v>3296</v>
      </c>
      <c r="AI16" s="58"/>
      <c r="AJ16" s="58"/>
      <c r="AK16" s="58"/>
      <c r="AL16" s="58"/>
      <c r="AM16" s="58"/>
      <c r="AN16" s="58" t="s">
        <v>1851</v>
      </c>
      <c r="AO16" s="60" t="s">
        <v>625</v>
      </c>
      <c r="AP16" s="60" t="s">
        <v>626</v>
      </c>
      <c r="AQ16" s="58" t="s">
        <v>3374</v>
      </c>
      <c r="AR16" s="58" t="s">
        <v>288</v>
      </c>
      <c r="AS16" s="58" t="s">
        <v>3330</v>
      </c>
      <c r="AT16" s="58" t="s">
        <v>3375</v>
      </c>
      <c r="AU16" s="58" t="s">
        <v>3376</v>
      </c>
      <c r="AV16" s="58" t="s">
        <v>3311</v>
      </c>
      <c r="AW16" s="58"/>
      <c r="AX16" s="58"/>
      <c r="AY16" s="58"/>
      <c r="AZ16" s="58" t="s">
        <v>3377</v>
      </c>
      <c r="BA16" s="58"/>
      <c r="BB16" s="58" t="s">
        <v>3378</v>
      </c>
      <c r="BC16" s="58" t="s">
        <v>3304</v>
      </c>
      <c r="BD16" s="58"/>
      <c r="BE16" s="58"/>
      <c r="BF16" s="58"/>
      <c r="BG16" s="58"/>
      <c r="BH16" s="58"/>
      <c r="BI16" s="58"/>
      <c r="BJ16" s="58"/>
      <c r="BK16" s="58"/>
      <c r="BL16" s="58"/>
      <c r="BM16" s="58"/>
      <c r="BN16" s="58"/>
      <c r="BO16" s="58"/>
      <c r="BP16" s="58"/>
      <c r="BQ16" s="58"/>
      <c r="BR16" s="58" t="s">
        <v>1927</v>
      </c>
      <c r="BS16" s="58"/>
      <c r="BT16" s="58" t="s">
        <v>1851</v>
      </c>
      <c r="BU16" s="58" t="s">
        <v>625</v>
      </c>
      <c r="BV16" s="58" t="s">
        <v>1851</v>
      </c>
      <c r="BW16" s="58" t="s">
        <v>625</v>
      </c>
      <c r="BX16" s="58"/>
    </row>
    <row r="17" spans="1:76" ht="15" customHeight="1" x14ac:dyDescent="0.25">
      <c r="A17" s="61" t="str">
        <f t="shared" si="0"/>
        <v>086308010041</v>
      </c>
      <c r="B17" s="58">
        <v>15</v>
      </c>
      <c r="C17" s="58"/>
      <c r="D17" s="58"/>
      <c r="E17" s="58"/>
      <c r="F17" s="58" t="s">
        <v>639</v>
      </c>
      <c r="G17" s="58" t="s">
        <v>55</v>
      </c>
      <c r="H17" s="58" t="s">
        <v>634</v>
      </c>
      <c r="I17" s="58" t="s">
        <v>635</v>
      </c>
      <c r="J17" s="58" t="s">
        <v>2908</v>
      </c>
      <c r="K17" s="58" t="s">
        <v>278</v>
      </c>
      <c r="L17" s="58" t="s">
        <v>3379</v>
      </c>
      <c r="M17" s="58" t="s">
        <v>636</v>
      </c>
      <c r="N17" s="58" t="s">
        <v>1851</v>
      </c>
      <c r="O17" s="58" t="s">
        <v>3380</v>
      </c>
      <c r="P17" s="58" t="s">
        <v>376</v>
      </c>
      <c r="Q17" s="58"/>
      <c r="R17" s="58"/>
      <c r="S17" s="58"/>
      <c r="T17" s="58"/>
      <c r="U17" s="58"/>
      <c r="V17" s="58"/>
      <c r="W17" s="58"/>
      <c r="X17" s="59"/>
      <c r="Y17" s="59"/>
      <c r="Z17" s="58"/>
      <c r="AA17" s="58"/>
      <c r="AB17" s="58"/>
      <c r="AC17" s="58"/>
      <c r="AD17" s="58">
        <v>2026</v>
      </c>
      <c r="AE17" s="58"/>
      <c r="AF17" s="58"/>
      <c r="AG17" s="58" t="s">
        <v>3296</v>
      </c>
      <c r="AH17" s="58" t="s">
        <v>3296</v>
      </c>
      <c r="AI17" s="58"/>
      <c r="AJ17" s="58"/>
      <c r="AK17" s="58"/>
      <c r="AL17" s="58"/>
      <c r="AM17" s="58"/>
      <c r="AN17" s="58" t="s">
        <v>1851</v>
      </c>
      <c r="AO17" s="60" t="s">
        <v>640</v>
      </c>
      <c r="AP17" s="60" t="s">
        <v>3381</v>
      </c>
      <c r="AQ17" s="58" t="s">
        <v>3382</v>
      </c>
      <c r="AR17" s="58" t="s">
        <v>288</v>
      </c>
      <c r="AS17" s="58" t="s">
        <v>3330</v>
      </c>
      <c r="AT17" s="58" t="s">
        <v>3383</v>
      </c>
      <c r="AU17" s="58" t="s">
        <v>3333</v>
      </c>
      <c r="AV17" s="58" t="s">
        <v>3333</v>
      </c>
      <c r="AW17" s="58" t="s">
        <v>3361</v>
      </c>
      <c r="AX17" s="58"/>
      <c r="AY17" s="58"/>
      <c r="AZ17" s="58"/>
      <c r="BA17" s="58"/>
      <c r="BB17" s="58" t="s">
        <v>3384</v>
      </c>
      <c r="BC17" s="58" t="s">
        <v>3304</v>
      </c>
      <c r="BD17" s="58"/>
      <c r="BE17" s="58"/>
      <c r="BF17" s="58"/>
      <c r="BG17" s="58"/>
      <c r="BH17" s="58"/>
      <c r="BI17" s="58"/>
      <c r="BJ17" s="58"/>
      <c r="BK17" s="58"/>
      <c r="BL17" s="58"/>
      <c r="BM17" s="58"/>
      <c r="BN17" s="58"/>
      <c r="BO17" s="58"/>
      <c r="BP17" s="58"/>
      <c r="BQ17" s="58"/>
      <c r="BR17" s="58" t="s">
        <v>3385</v>
      </c>
      <c r="BS17" s="58"/>
      <c r="BT17" s="58" t="s">
        <v>1851</v>
      </c>
      <c r="BU17" s="58" t="s">
        <v>3386</v>
      </c>
      <c r="BV17" s="58" t="s">
        <v>1851</v>
      </c>
      <c r="BW17" s="58" t="s">
        <v>3386</v>
      </c>
      <c r="BX17" s="58"/>
    </row>
    <row r="18" spans="1:76" ht="15" customHeight="1" x14ac:dyDescent="0.25">
      <c r="A18" s="61" t="str">
        <f t="shared" si="0"/>
        <v>095307002559</v>
      </c>
      <c r="B18" s="58">
        <v>16</v>
      </c>
      <c r="C18" s="58"/>
      <c r="D18" s="58"/>
      <c r="E18" s="58"/>
      <c r="F18" s="58" t="s">
        <v>656</v>
      </c>
      <c r="G18" s="58" t="s">
        <v>26</v>
      </c>
      <c r="H18" s="58" t="s">
        <v>650</v>
      </c>
      <c r="I18" s="58" t="s">
        <v>651</v>
      </c>
      <c r="J18" s="58" t="s">
        <v>2908</v>
      </c>
      <c r="K18" s="58" t="s">
        <v>278</v>
      </c>
      <c r="L18" s="58" t="s">
        <v>653</v>
      </c>
      <c r="M18" s="58" t="s">
        <v>652</v>
      </c>
      <c r="N18" s="58" t="s">
        <v>1933</v>
      </c>
      <c r="O18" s="58" t="s">
        <v>3387</v>
      </c>
      <c r="P18" s="58" t="s">
        <v>278</v>
      </c>
      <c r="Q18" s="58"/>
      <c r="R18" s="58"/>
      <c r="S18" s="58"/>
      <c r="T18" s="58"/>
      <c r="U18" s="58"/>
      <c r="V18" s="58"/>
      <c r="W18" s="58"/>
      <c r="X18" s="59"/>
      <c r="Y18" s="59"/>
      <c r="Z18" s="58"/>
      <c r="AA18" s="58"/>
      <c r="AB18" s="58"/>
      <c r="AC18" s="58"/>
      <c r="AD18" s="58">
        <v>2025</v>
      </c>
      <c r="AE18" s="58"/>
      <c r="AF18" s="58"/>
      <c r="AG18" s="58" t="s">
        <v>3313</v>
      </c>
      <c r="AH18" s="58" t="s">
        <v>3296</v>
      </c>
      <c r="AI18" s="58"/>
      <c r="AJ18" s="58"/>
      <c r="AK18" s="58"/>
      <c r="AL18" s="58"/>
      <c r="AM18" s="58"/>
      <c r="AN18" s="58" t="s">
        <v>1933</v>
      </c>
      <c r="AO18" s="60" t="s">
        <v>664</v>
      </c>
      <c r="AP18" s="60" t="s">
        <v>665</v>
      </c>
      <c r="AQ18" s="58" t="s">
        <v>3388</v>
      </c>
      <c r="AR18" s="58" t="s">
        <v>288</v>
      </c>
      <c r="AS18" s="58" t="s">
        <v>3389</v>
      </c>
      <c r="AT18" s="58" t="s">
        <v>3390</v>
      </c>
      <c r="AU18" s="58" t="s">
        <v>3332</v>
      </c>
      <c r="AV18" s="58" t="s">
        <v>3340</v>
      </c>
      <c r="AW18" s="58"/>
      <c r="AX18" s="58"/>
      <c r="AY18" s="58"/>
      <c r="AZ18" s="58" t="s">
        <v>3325</v>
      </c>
      <c r="BA18" s="58"/>
      <c r="BB18" s="58" t="s">
        <v>3376</v>
      </c>
      <c r="BC18" s="58" t="s">
        <v>3304</v>
      </c>
      <c r="BD18" s="58"/>
      <c r="BE18" s="58"/>
      <c r="BF18" s="58"/>
      <c r="BG18" s="58"/>
      <c r="BH18" s="58"/>
      <c r="BI18" s="58"/>
      <c r="BJ18" s="58"/>
      <c r="BK18" s="58"/>
      <c r="BL18" s="58"/>
      <c r="BM18" s="58"/>
      <c r="BN18" s="58"/>
      <c r="BO18" s="58"/>
      <c r="BP18" s="58"/>
      <c r="BQ18" s="58"/>
      <c r="BR18" s="58"/>
      <c r="BS18" s="58"/>
      <c r="BT18" s="58" t="s">
        <v>1933</v>
      </c>
      <c r="BU18" s="58" t="s">
        <v>664</v>
      </c>
      <c r="BV18" s="58" t="s">
        <v>1933</v>
      </c>
      <c r="BW18" s="58" t="s">
        <v>664</v>
      </c>
      <c r="BX18" s="58"/>
    </row>
    <row r="19" spans="1:76" ht="15" customHeight="1" x14ac:dyDescent="0.25">
      <c r="A19" s="61" t="str">
        <f t="shared" si="0"/>
        <v>083208009377</v>
      </c>
      <c r="B19" s="58">
        <v>17</v>
      </c>
      <c r="C19" s="58"/>
      <c r="D19" s="58"/>
      <c r="E19" s="58"/>
      <c r="F19" s="58" t="s">
        <v>681</v>
      </c>
      <c r="G19" s="58" t="s">
        <v>81</v>
      </c>
      <c r="H19" s="58" t="s">
        <v>676</v>
      </c>
      <c r="I19" s="58" t="s">
        <v>677</v>
      </c>
      <c r="J19" s="58" t="s">
        <v>2909</v>
      </c>
      <c r="K19" s="58" t="s">
        <v>278</v>
      </c>
      <c r="L19" s="58" t="s">
        <v>679</v>
      </c>
      <c r="M19" s="58" t="s">
        <v>3391</v>
      </c>
      <c r="N19" s="58" t="s">
        <v>1851</v>
      </c>
      <c r="O19" s="58" t="s">
        <v>3392</v>
      </c>
      <c r="P19" s="58" t="s">
        <v>3295</v>
      </c>
      <c r="Q19" s="58"/>
      <c r="R19" s="58"/>
      <c r="S19" s="58"/>
      <c r="T19" s="58"/>
      <c r="U19" s="58"/>
      <c r="V19" s="58"/>
      <c r="W19" s="58"/>
      <c r="X19" s="59"/>
      <c r="Y19" s="59"/>
      <c r="Z19" s="58"/>
      <c r="AA19" s="58"/>
      <c r="AB19" s="58"/>
      <c r="AC19" s="58"/>
      <c r="AD19" s="58">
        <v>2026</v>
      </c>
      <c r="AE19" s="58"/>
      <c r="AF19" s="58"/>
      <c r="AG19" s="58" t="s">
        <v>3296</v>
      </c>
      <c r="AH19" s="58" t="s">
        <v>3296</v>
      </c>
      <c r="AI19" s="58"/>
      <c r="AJ19" s="58"/>
      <c r="AK19" s="58"/>
      <c r="AL19" s="58"/>
      <c r="AM19" s="58"/>
      <c r="AN19" s="58" t="s">
        <v>1851</v>
      </c>
      <c r="AO19" s="60" t="s">
        <v>687</v>
      </c>
      <c r="AP19" s="60" t="s">
        <v>688</v>
      </c>
      <c r="AQ19" s="58" t="s">
        <v>3393</v>
      </c>
      <c r="AR19" s="58" t="s">
        <v>288</v>
      </c>
      <c r="AS19" s="58" t="s">
        <v>3330</v>
      </c>
      <c r="AT19" s="58" t="s">
        <v>3394</v>
      </c>
      <c r="AU19" s="58" t="s">
        <v>3326</v>
      </c>
      <c r="AV19" s="58" t="s">
        <v>3300</v>
      </c>
      <c r="AW19" s="58"/>
      <c r="AX19" s="58"/>
      <c r="AY19" s="58"/>
      <c r="AZ19" s="58" t="s">
        <v>3301</v>
      </c>
      <c r="BA19" s="58"/>
      <c r="BB19" s="58" t="s">
        <v>3395</v>
      </c>
      <c r="BC19" s="58" t="s">
        <v>3304</v>
      </c>
      <c r="BD19" s="58"/>
      <c r="BE19" s="58"/>
      <c r="BF19" s="58"/>
      <c r="BG19" s="58"/>
      <c r="BH19" s="58"/>
      <c r="BI19" s="58"/>
      <c r="BJ19" s="58"/>
      <c r="BK19" s="58"/>
      <c r="BL19" s="58"/>
      <c r="BM19" s="58"/>
      <c r="BN19" s="58"/>
      <c r="BO19" s="58"/>
      <c r="BP19" s="58"/>
      <c r="BQ19" s="58"/>
      <c r="BR19" s="58" t="s">
        <v>3396</v>
      </c>
      <c r="BS19" s="58"/>
      <c r="BT19" s="58" t="s">
        <v>1851</v>
      </c>
      <c r="BU19" s="58" t="s">
        <v>687</v>
      </c>
      <c r="BV19" s="58" t="s">
        <v>1851</v>
      </c>
      <c r="BW19" s="58" t="s">
        <v>687</v>
      </c>
      <c r="BX19" s="58"/>
    </row>
    <row r="20" spans="1:76" ht="15" customHeight="1" x14ac:dyDescent="0.25">
      <c r="A20" s="61" t="str">
        <f t="shared" si="0"/>
        <v>077308001983</v>
      </c>
      <c r="B20" s="58">
        <v>18</v>
      </c>
      <c r="C20" s="58"/>
      <c r="D20" s="58"/>
      <c r="E20" s="58"/>
      <c r="F20" s="58" t="s">
        <v>702</v>
      </c>
      <c r="G20" s="58" t="s">
        <v>98</v>
      </c>
      <c r="H20" s="58" t="s">
        <v>697</v>
      </c>
      <c r="I20" s="58" t="s">
        <v>698</v>
      </c>
      <c r="J20" s="58" t="s">
        <v>2908</v>
      </c>
      <c r="K20" s="58" t="s">
        <v>278</v>
      </c>
      <c r="L20" s="58" t="s">
        <v>700</v>
      </c>
      <c r="M20" s="58" t="s">
        <v>3397</v>
      </c>
      <c r="N20" s="58" t="s">
        <v>1709</v>
      </c>
      <c r="O20" s="58" t="s">
        <v>3398</v>
      </c>
      <c r="P20" s="58" t="s">
        <v>3295</v>
      </c>
      <c r="Q20" s="58"/>
      <c r="R20" s="58"/>
      <c r="S20" s="58"/>
      <c r="T20" s="58"/>
      <c r="U20" s="58"/>
      <c r="V20" s="58"/>
      <c r="W20" s="58"/>
      <c r="X20" s="59"/>
      <c r="Y20" s="59"/>
      <c r="Z20" s="58"/>
      <c r="AA20" s="58"/>
      <c r="AB20" s="58"/>
      <c r="AC20" s="58"/>
      <c r="AD20" s="58">
        <v>2026</v>
      </c>
      <c r="AE20" s="58"/>
      <c r="AF20" s="58"/>
      <c r="AG20" s="58" t="s">
        <v>3313</v>
      </c>
      <c r="AH20" s="58" t="s">
        <v>3296</v>
      </c>
      <c r="AI20" s="58"/>
      <c r="AJ20" s="58"/>
      <c r="AK20" s="58"/>
      <c r="AL20" s="58"/>
      <c r="AM20" s="58"/>
      <c r="AN20" s="58" t="s">
        <v>1709</v>
      </c>
      <c r="AO20" s="60" t="s">
        <v>707</v>
      </c>
      <c r="AP20" s="60" t="s">
        <v>708</v>
      </c>
      <c r="AQ20" s="58" t="s">
        <v>3399</v>
      </c>
      <c r="AR20" s="58" t="s">
        <v>288</v>
      </c>
      <c r="AS20" s="58" t="s">
        <v>3400</v>
      </c>
      <c r="AT20" s="58" t="s">
        <v>3401</v>
      </c>
      <c r="AU20" s="58" t="s">
        <v>3344</v>
      </c>
      <c r="AV20" s="58" t="s">
        <v>3338</v>
      </c>
      <c r="AW20" s="58" t="s">
        <v>3325</v>
      </c>
      <c r="AX20" s="58"/>
      <c r="AY20" s="58"/>
      <c r="AZ20" s="58"/>
      <c r="BA20" s="58"/>
      <c r="BB20" s="58" t="s">
        <v>3402</v>
      </c>
      <c r="BC20" s="58" t="s">
        <v>3304</v>
      </c>
      <c r="BD20" s="58"/>
      <c r="BE20" s="58"/>
      <c r="BF20" s="58"/>
      <c r="BG20" s="58"/>
      <c r="BH20" s="58"/>
      <c r="BI20" s="58"/>
      <c r="BJ20" s="58"/>
      <c r="BK20" s="58"/>
      <c r="BL20" s="58"/>
      <c r="BM20" s="58"/>
      <c r="BN20" s="58"/>
      <c r="BO20" s="58"/>
      <c r="BP20" s="58"/>
      <c r="BQ20" s="58"/>
      <c r="BR20" s="58" t="s">
        <v>709</v>
      </c>
      <c r="BS20" s="58"/>
      <c r="BT20" s="58" t="s">
        <v>1709</v>
      </c>
      <c r="BU20" s="58" t="s">
        <v>3403</v>
      </c>
      <c r="BV20" s="58" t="s">
        <v>1709</v>
      </c>
      <c r="BW20" s="58" t="s">
        <v>3403</v>
      </c>
      <c r="BX20" s="58"/>
    </row>
    <row r="21" spans="1:76" ht="15" customHeight="1" x14ac:dyDescent="0.25">
      <c r="A21" s="61" t="str">
        <f t="shared" si="0"/>
        <v>095308002044</v>
      </c>
      <c r="B21" s="58">
        <v>19</v>
      </c>
      <c r="C21" s="58"/>
      <c r="D21" s="58"/>
      <c r="E21" s="58"/>
      <c r="F21" s="58" t="s">
        <v>722</v>
      </c>
      <c r="G21" s="58" t="s">
        <v>25</v>
      </c>
      <c r="H21" s="58" t="s">
        <v>717</v>
      </c>
      <c r="I21" s="58" t="s">
        <v>718</v>
      </c>
      <c r="J21" s="58" t="s">
        <v>2908</v>
      </c>
      <c r="K21" s="58" t="s">
        <v>278</v>
      </c>
      <c r="L21" s="58" t="s">
        <v>720</v>
      </c>
      <c r="M21" s="58" t="s">
        <v>719</v>
      </c>
      <c r="N21" s="58" t="s">
        <v>1933</v>
      </c>
      <c r="O21" s="58" t="s">
        <v>3404</v>
      </c>
      <c r="P21" s="58" t="s">
        <v>376</v>
      </c>
      <c r="Q21" s="58"/>
      <c r="R21" s="58"/>
      <c r="S21" s="58"/>
      <c r="T21" s="58"/>
      <c r="U21" s="58"/>
      <c r="V21" s="58"/>
      <c r="W21" s="58"/>
      <c r="X21" s="59"/>
      <c r="Y21" s="59"/>
      <c r="Z21" s="58"/>
      <c r="AA21" s="58"/>
      <c r="AB21" s="58"/>
      <c r="AC21" s="58"/>
      <c r="AD21" s="58">
        <v>2026</v>
      </c>
      <c r="AE21" s="58"/>
      <c r="AF21" s="58"/>
      <c r="AG21" s="58" t="s">
        <v>3313</v>
      </c>
      <c r="AH21" s="58" t="s">
        <v>3296</v>
      </c>
      <c r="AI21" s="58"/>
      <c r="AJ21" s="58"/>
      <c r="AK21" s="58"/>
      <c r="AL21" s="58"/>
      <c r="AM21" s="58"/>
      <c r="AN21" s="58" t="s">
        <v>1933</v>
      </c>
      <c r="AO21" s="60" t="s">
        <v>728</v>
      </c>
      <c r="AP21" s="60" t="s">
        <v>3405</v>
      </c>
      <c r="AQ21" s="58" t="s">
        <v>3406</v>
      </c>
      <c r="AR21" s="58" t="s">
        <v>288</v>
      </c>
      <c r="AS21" s="58" t="s">
        <v>3389</v>
      </c>
      <c r="AT21" s="58" t="s">
        <v>3407</v>
      </c>
      <c r="AU21" s="58" t="s">
        <v>3332</v>
      </c>
      <c r="AV21" s="58" t="s">
        <v>3324</v>
      </c>
      <c r="AW21" s="58" t="s">
        <v>3325</v>
      </c>
      <c r="AX21" s="58"/>
      <c r="AY21" s="58" t="s">
        <v>3317</v>
      </c>
      <c r="AZ21" s="58"/>
      <c r="BA21" s="58"/>
      <c r="BB21" s="58"/>
      <c r="BC21" s="58"/>
      <c r="BD21" s="58"/>
      <c r="BE21" s="58"/>
      <c r="BF21" s="58"/>
      <c r="BG21" s="58"/>
      <c r="BH21" s="58"/>
      <c r="BI21" s="58"/>
      <c r="BJ21" s="58"/>
      <c r="BK21" s="58"/>
      <c r="BL21" s="58"/>
      <c r="BM21" s="58"/>
      <c r="BN21" s="58"/>
      <c r="BO21" s="58"/>
      <c r="BP21" s="58"/>
      <c r="BQ21" s="58"/>
      <c r="BR21" s="58" t="s">
        <v>2192</v>
      </c>
      <c r="BS21" s="58"/>
      <c r="BT21" s="58" t="s">
        <v>1933</v>
      </c>
      <c r="BU21" s="58" t="s">
        <v>726</v>
      </c>
      <c r="BV21" s="58" t="s">
        <v>1933</v>
      </c>
      <c r="BW21" s="58" t="s">
        <v>726</v>
      </c>
      <c r="BX21" s="58"/>
    </row>
    <row r="22" spans="1:76" ht="15" customHeight="1" x14ac:dyDescent="0.25">
      <c r="A22" s="61" t="str">
        <f t="shared" si="0"/>
        <v>034308005716</v>
      </c>
      <c r="B22" s="58">
        <v>20</v>
      </c>
      <c r="C22" s="58"/>
      <c r="D22" s="58"/>
      <c r="E22" s="58"/>
      <c r="F22" s="58" t="s">
        <v>589</v>
      </c>
      <c r="G22" s="58" t="s">
        <v>117</v>
      </c>
      <c r="H22" s="58" t="s">
        <v>584</v>
      </c>
      <c r="I22" s="58" t="s">
        <v>585</v>
      </c>
      <c r="J22" s="58" t="s">
        <v>2908</v>
      </c>
      <c r="K22" s="58" t="s">
        <v>278</v>
      </c>
      <c r="L22" s="58" t="s">
        <v>587</v>
      </c>
      <c r="M22" s="58" t="s">
        <v>586</v>
      </c>
      <c r="N22" s="58" t="s">
        <v>1073</v>
      </c>
      <c r="O22" s="58" t="s">
        <v>3408</v>
      </c>
      <c r="P22" s="58" t="s">
        <v>314</v>
      </c>
      <c r="Q22" s="58"/>
      <c r="R22" s="58"/>
      <c r="S22" s="58"/>
      <c r="T22" s="58"/>
      <c r="U22" s="58"/>
      <c r="V22" s="58"/>
      <c r="W22" s="58"/>
      <c r="X22" s="59"/>
      <c r="Y22" s="59"/>
      <c r="Z22" s="58"/>
      <c r="AA22" s="58"/>
      <c r="AB22" s="58"/>
      <c r="AC22" s="58"/>
      <c r="AD22" s="58">
        <v>2026</v>
      </c>
      <c r="AE22" s="58"/>
      <c r="AF22" s="58"/>
      <c r="AG22" s="58" t="s">
        <v>3296</v>
      </c>
      <c r="AH22" s="58" t="s">
        <v>3296</v>
      </c>
      <c r="AI22" s="58"/>
      <c r="AJ22" s="58"/>
      <c r="AK22" s="58"/>
      <c r="AL22" s="58"/>
      <c r="AM22" s="58"/>
      <c r="AN22" s="58" t="s">
        <v>1073</v>
      </c>
      <c r="AO22" s="60" t="s">
        <v>601</v>
      </c>
      <c r="AP22" s="60" t="s">
        <v>602</v>
      </c>
      <c r="AQ22" s="58" t="s">
        <v>3409</v>
      </c>
      <c r="AR22" s="58" t="s">
        <v>288</v>
      </c>
      <c r="AS22" s="58" t="s">
        <v>3410</v>
      </c>
      <c r="AT22" s="58" t="s">
        <v>3411</v>
      </c>
      <c r="AU22" s="58" t="s">
        <v>3325</v>
      </c>
      <c r="AV22" s="58" t="s">
        <v>3324</v>
      </c>
      <c r="AW22" s="58" t="s">
        <v>3332</v>
      </c>
      <c r="AX22" s="58"/>
      <c r="AY22" s="58"/>
      <c r="AZ22" s="58"/>
      <c r="BA22" s="58"/>
      <c r="BB22" s="58" t="s">
        <v>3395</v>
      </c>
      <c r="BC22" s="58" t="s">
        <v>3304</v>
      </c>
      <c r="BD22" s="58"/>
      <c r="BE22" s="58"/>
      <c r="BF22" s="58"/>
      <c r="BG22" s="58"/>
      <c r="BH22" s="58"/>
      <c r="BI22" s="58"/>
      <c r="BJ22" s="58"/>
      <c r="BK22" s="58"/>
      <c r="BL22" s="58"/>
      <c r="BM22" s="58"/>
      <c r="BN22" s="58"/>
      <c r="BO22" s="58"/>
      <c r="BP22" s="58"/>
      <c r="BQ22" s="58"/>
      <c r="BR22" s="58" t="s">
        <v>604</v>
      </c>
      <c r="BS22" s="58"/>
      <c r="BT22" s="58" t="s">
        <v>1073</v>
      </c>
      <c r="BU22" s="58" t="s">
        <v>601</v>
      </c>
      <c r="BV22" s="58" t="s">
        <v>1073</v>
      </c>
      <c r="BW22" s="58" t="s">
        <v>601</v>
      </c>
      <c r="BX22" s="58"/>
    </row>
    <row r="23" spans="1:76" ht="15" customHeight="1" x14ac:dyDescent="0.25">
      <c r="A23" s="61" t="str">
        <f t="shared" si="0"/>
        <v>079308045991</v>
      </c>
      <c r="B23" s="58">
        <v>21</v>
      </c>
      <c r="C23" s="58"/>
      <c r="D23" s="58"/>
      <c r="E23" s="58"/>
      <c r="F23" s="58" t="s">
        <v>770</v>
      </c>
      <c r="G23" s="58" t="s">
        <v>94</v>
      </c>
      <c r="H23" s="58" t="s">
        <v>765</v>
      </c>
      <c r="I23" s="58" t="s">
        <v>766</v>
      </c>
      <c r="J23" s="58" t="s">
        <v>2908</v>
      </c>
      <c r="K23" s="58" t="s">
        <v>278</v>
      </c>
      <c r="L23" s="58" t="s">
        <v>768</v>
      </c>
      <c r="M23" s="58" t="s">
        <v>767</v>
      </c>
      <c r="N23" s="58" t="s">
        <v>1851</v>
      </c>
      <c r="O23" s="58" t="s">
        <v>3412</v>
      </c>
      <c r="P23" s="58" t="s">
        <v>376</v>
      </c>
      <c r="Q23" s="58"/>
      <c r="R23" s="58"/>
      <c r="S23" s="58"/>
      <c r="T23" s="58"/>
      <c r="U23" s="58"/>
      <c r="V23" s="58"/>
      <c r="W23" s="58"/>
      <c r="X23" s="59"/>
      <c r="Y23" s="59"/>
      <c r="Z23" s="58"/>
      <c r="AA23" s="58"/>
      <c r="AB23" s="58"/>
      <c r="AC23" s="58"/>
      <c r="AD23" s="58">
        <v>2026</v>
      </c>
      <c r="AE23" s="58"/>
      <c r="AF23" s="58"/>
      <c r="AG23" s="58" t="s">
        <v>3296</v>
      </c>
      <c r="AH23" s="58" t="s">
        <v>3296</v>
      </c>
      <c r="AI23" s="58"/>
      <c r="AJ23" s="58"/>
      <c r="AK23" s="58"/>
      <c r="AL23" s="58"/>
      <c r="AM23" s="58"/>
      <c r="AN23" s="58" t="s">
        <v>1851</v>
      </c>
      <c r="AO23" s="60" t="s">
        <v>777</v>
      </c>
      <c r="AP23" s="60" t="s">
        <v>778</v>
      </c>
      <c r="AQ23" s="58" t="s">
        <v>3413</v>
      </c>
      <c r="AR23" s="58" t="s">
        <v>288</v>
      </c>
      <c r="AS23" s="58" t="s">
        <v>3330</v>
      </c>
      <c r="AT23" s="58" t="s">
        <v>3414</v>
      </c>
      <c r="AU23" s="58" t="s">
        <v>3311</v>
      </c>
      <c r="AV23" s="58" t="s">
        <v>3368</v>
      </c>
      <c r="AW23" s="58"/>
      <c r="AX23" s="58"/>
      <c r="AY23" s="58"/>
      <c r="AZ23" s="58" t="s">
        <v>3338</v>
      </c>
      <c r="BA23" s="58"/>
      <c r="BB23" s="58" t="s">
        <v>3352</v>
      </c>
      <c r="BC23" s="58" t="s">
        <v>3304</v>
      </c>
      <c r="BD23" s="58"/>
      <c r="BE23" s="58"/>
      <c r="BF23" s="58"/>
      <c r="BG23" s="58"/>
      <c r="BH23" s="58"/>
      <c r="BI23" s="58"/>
      <c r="BJ23" s="58"/>
      <c r="BK23" s="58"/>
      <c r="BL23" s="58"/>
      <c r="BM23" s="58"/>
      <c r="BN23" s="58"/>
      <c r="BO23" s="58"/>
      <c r="BP23" s="58"/>
      <c r="BQ23" s="58"/>
      <c r="BR23" s="58" t="s">
        <v>3415</v>
      </c>
      <c r="BS23" s="58"/>
      <c r="BT23" s="58" t="s">
        <v>1851</v>
      </c>
      <c r="BU23" s="58" t="s">
        <v>777</v>
      </c>
      <c r="BV23" s="58" t="s">
        <v>1851</v>
      </c>
      <c r="BW23" s="58" t="s">
        <v>777</v>
      </c>
      <c r="BX23" s="58"/>
    </row>
    <row r="24" spans="1:76" ht="15" customHeight="1" x14ac:dyDescent="0.25">
      <c r="A24" s="61" t="str">
        <f t="shared" si="0"/>
        <v>086308009238</v>
      </c>
      <c r="B24" s="58">
        <v>22</v>
      </c>
      <c r="C24" s="58"/>
      <c r="D24" s="58"/>
      <c r="E24" s="58"/>
      <c r="F24" s="58" t="s">
        <v>791</v>
      </c>
      <c r="G24" s="58" t="s">
        <v>56</v>
      </c>
      <c r="H24" s="58" t="s">
        <v>786</v>
      </c>
      <c r="I24" s="58" t="s">
        <v>787</v>
      </c>
      <c r="J24" s="58" t="s">
        <v>2908</v>
      </c>
      <c r="K24" s="58" t="s">
        <v>278</v>
      </c>
      <c r="L24" s="58" t="s">
        <v>789</v>
      </c>
      <c r="M24" s="58" t="s">
        <v>788</v>
      </c>
      <c r="N24" s="58" t="s">
        <v>1851</v>
      </c>
      <c r="O24" s="58" t="s">
        <v>3412</v>
      </c>
      <c r="P24" s="58" t="s">
        <v>376</v>
      </c>
      <c r="Q24" s="58"/>
      <c r="R24" s="58"/>
      <c r="S24" s="58"/>
      <c r="T24" s="58"/>
      <c r="U24" s="58"/>
      <c r="V24" s="58"/>
      <c r="W24" s="58"/>
      <c r="X24" s="59"/>
      <c r="Y24" s="59"/>
      <c r="Z24" s="58"/>
      <c r="AA24" s="58"/>
      <c r="AB24" s="58"/>
      <c r="AC24" s="58"/>
      <c r="AD24" s="58">
        <v>2026</v>
      </c>
      <c r="AE24" s="58"/>
      <c r="AF24" s="58"/>
      <c r="AG24" s="58" t="s">
        <v>3296</v>
      </c>
      <c r="AH24" s="58" t="s">
        <v>3296</v>
      </c>
      <c r="AI24" s="58"/>
      <c r="AJ24" s="58"/>
      <c r="AK24" s="58"/>
      <c r="AL24" s="58"/>
      <c r="AM24" s="58"/>
      <c r="AN24" s="58" t="s">
        <v>1851</v>
      </c>
      <c r="AO24" s="60" t="s">
        <v>777</v>
      </c>
      <c r="AP24" s="60" t="s">
        <v>778</v>
      </c>
      <c r="AQ24" s="58" t="s">
        <v>3416</v>
      </c>
      <c r="AR24" s="58" t="s">
        <v>288</v>
      </c>
      <c r="AS24" s="58" t="s">
        <v>3330</v>
      </c>
      <c r="AT24" s="58" t="s">
        <v>3414</v>
      </c>
      <c r="AU24" s="58" t="s">
        <v>3311</v>
      </c>
      <c r="AV24" s="58" t="s">
        <v>3317</v>
      </c>
      <c r="AW24" s="58"/>
      <c r="AX24" s="58"/>
      <c r="AY24" s="58"/>
      <c r="AZ24" s="58" t="s">
        <v>3301</v>
      </c>
      <c r="BA24" s="58" t="s">
        <v>3303</v>
      </c>
      <c r="BB24" s="58"/>
      <c r="BC24" s="58"/>
      <c r="BD24" s="58"/>
      <c r="BE24" s="58"/>
      <c r="BF24" s="58"/>
      <c r="BG24" s="58"/>
      <c r="BH24" s="58"/>
      <c r="BI24" s="58"/>
      <c r="BJ24" s="58"/>
      <c r="BK24" s="58"/>
      <c r="BL24" s="58"/>
      <c r="BM24" s="58"/>
      <c r="BN24" s="58"/>
      <c r="BO24" s="58"/>
      <c r="BP24" s="58"/>
      <c r="BQ24" s="58"/>
      <c r="BR24" s="58" t="s">
        <v>1388</v>
      </c>
      <c r="BS24" s="58"/>
      <c r="BT24" s="58" t="s">
        <v>1851</v>
      </c>
      <c r="BU24" s="58" t="s">
        <v>777</v>
      </c>
      <c r="BV24" s="58" t="s">
        <v>1851</v>
      </c>
      <c r="BW24" s="58" t="s">
        <v>777</v>
      </c>
      <c r="BX24" s="58"/>
    </row>
    <row r="25" spans="1:76" ht="15" customHeight="1" x14ac:dyDescent="0.25">
      <c r="A25" s="61" t="str">
        <f t="shared" si="0"/>
        <v>086308004288</v>
      </c>
      <c r="B25" s="58">
        <v>23</v>
      </c>
      <c r="C25" s="58"/>
      <c r="D25" s="58"/>
      <c r="E25" s="58"/>
      <c r="F25" s="58" t="s">
        <v>805</v>
      </c>
      <c r="G25" s="58" t="s">
        <v>62</v>
      </c>
      <c r="H25" s="58" t="s">
        <v>800</v>
      </c>
      <c r="I25" s="58" t="s">
        <v>801</v>
      </c>
      <c r="J25" s="58" t="s">
        <v>2908</v>
      </c>
      <c r="K25" s="58" t="s">
        <v>278</v>
      </c>
      <c r="L25" s="58" t="s">
        <v>803</v>
      </c>
      <c r="M25" s="58" t="s">
        <v>802</v>
      </c>
      <c r="N25" s="58" t="s">
        <v>1851</v>
      </c>
      <c r="O25" s="58" t="s">
        <v>3417</v>
      </c>
      <c r="P25" s="58" t="s">
        <v>3295</v>
      </c>
      <c r="Q25" s="58"/>
      <c r="R25" s="58"/>
      <c r="S25" s="58"/>
      <c r="T25" s="58"/>
      <c r="U25" s="58"/>
      <c r="V25" s="58"/>
      <c r="W25" s="58"/>
      <c r="X25" s="59"/>
      <c r="Y25" s="59"/>
      <c r="Z25" s="58"/>
      <c r="AA25" s="58"/>
      <c r="AB25" s="58"/>
      <c r="AC25" s="58"/>
      <c r="AD25" s="58">
        <v>2026</v>
      </c>
      <c r="AE25" s="58"/>
      <c r="AF25" s="58"/>
      <c r="AG25" s="58" t="s">
        <v>3296</v>
      </c>
      <c r="AH25" s="58" t="s">
        <v>3296</v>
      </c>
      <c r="AI25" s="58"/>
      <c r="AJ25" s="58"/>
      <c r="AK25" s="58"/>
      <c r="AL25" s="58"/>
      <c r="AM25" s="58"/>
      <c r="AN25" s="58" t="s">
        <v>1851</v>
      </c>
      <c r="AO25" s="60" t="s">
        <v>422</v>
      </c>
      <c r="AP25" s="60" t="s">
        <v>423</v>
      </c>
      <c r="AQ25" s="58" t="s">
        <v>3418</v>
      </c>
      <c r="AR25" s="58" t="s">
        <v>288</v>
      </c>
      <c r="AS25" s="58" t="s">
        <v>3330</v>
      </c>
      <c r="AT25" s="58" t="s">
        <v>3419</v>
      </c>
      <c r="AU25" s="58" t="s">
        <v>3303</v>
      </c>
      <c r="AV25" s="58" t="s">
        <v>3420</v>
      </c>
      <c r="AW25" s="58" t="s">
        <v>3421</v>
      </c>
      <c r="AX25" s="58"/>
      <c r="AY25" s="58"/>
      <c r="AZ25" s="58"/>
      <c r="BA25" s="58"/>
      <c r="BB25" s="58" t="s">
        <v>3352</v>
      </c>
      <c r="BC25" s="58" t="s">
        <v>3304</v>
      </c>
      <c r="BD25" s="58"/>
      <c r="BE25" s="58"/>
      <c r="BF25" s="58"/>
      <c r="BG25" s="58"/>
      <c r="BH25" s="58"/>
      <c r="BI25" s="58"/>
      <c r="BJ25" s="58"/>
      <c r="BK25" s="58"/>
      <c r="BL25" s="58"/>
      <c r="BM25" s="58"/>
      <c r="BN25" s="58"/>
      <c r="BO25" s="58"/>
      <c r="BP25" s="58"/>
      <c r="BQ25" s="58"/>
      <c r="BR25" s="58" t="s">
        <v>1191</v>
      </c>
      <c r="BS25" s="58"/>
      <c r="BT25" s="58" t="s">
        <v>1851</v>
      </c>
      <c r="BU25" s="58" t="s">
        <v>422</v>
      </c>
      <c r="BV25" s="58" t="s">
        <v>1851</v>
      </c>
      <c r="BW25" s="58" t="s">
        <v>422</v>
      </c>
      <c r="BX25" s="58"/>
    </row>
    <row r="26" spans="1:76" ht="15" customHeight="1" x14ac:dyDescent="0.25">
      <c r="A26" s="61" t="str">
        <f t="shared" si="0"/>
        <v>080308005425</v>
      </c>
      <c r="B26" s="58">
        <v>24</v>
      </c>
      <c r="C26" s="58"/>
      <c r="D26" s="58"/>
      <c r="E26" s="58"/>
      <c r="F26" s="58" t="s">
        <v>820</v>
      </c>
      <c r="G26" s="58" t="s">
        <v>91</v>
      </c>
      <c r="H26" s="58" t="s">
        <v>815</v>
      </c>
      <c r="I26" s="58" t="s">
        <v>816</v>
      </c>
      <c r="J26" s="58" t="s">
        <v>2908</v>
      </c>
      <c r="K26" s="58" t="s">
        <v>278</v>
      </c>
      <c r="L26" s="58" t="s">
        <v>818</v>
      </c>
      <c r="M26" s="58" t="s">
        <v>817</v>
      </c>
      <c r="N26" s="58" t="s">
        <v>799</v>
      </c>
      <c r="O26" s="58" t="s">
        <v>3422</v>
      </c>
      <c r="P26" s="58" t="s">
        <v>3295</v>
      </c>
      <c r="Q26" s="58"/>
      <c r="R26" s="58"/>
      <c r="S26" s="58"/>
      <c r="T26" s="58"/>
      <c r="U26" s="58"/>
      <c r="V26" s="58"/>
      <c r="W26" s="58"/>
      <c r="X26" s="59"/>
      <c r="Y26" s="59"/>
      <c r="Z26" s="58"/>
      <c r="AA26" s="58"/>
      <c r="AB26" s="58"/>
      <c r="AC26" s="58"/>
      <c r="AD26" s="58">
        <v>2026</v>
      </c>
      <c r="AE26" s="58"/>
      <c r="AF26" s="58"/>
      <c r="AG26" s="58" t="s">
        <v>3296</v>
      </c>
      <c r="AH26" s="58" t="s">
        <v>3296</v>
      </c>
      <c r="AI26" s="58"/>
      <c r="AJ26" s="58"/>
      <c r="AK26" s="58"/>
      <c r="AL26" s="58"/>
      <c r="AM26" s="58"/>
      <c r="AN26" s="58" t="s">
        <v>799</v>
      </c>
      <c r="AO26" s="60" t="s">
        <v>821</v>
      </c>
      <c r="AP26" s="60" t="s">
        <v>822</v>
      </c>
      <c r="AQ26" s="58" t="s">
        <v>3423</v>
      </c>
      <c r="AR26" s="58" t="s">
        <v>288</v>
      </c>
      <c r="AS26" s="58" t="s">
        <v>3371</v>
      </c>
      <c r="AT26" s="58" t="s">
        <v>3424</v>
      </c>
      <c r="AU26" s="58" t="s">
        <v>3324</v>
      </c>
      <c r="AV26" s="58" t="s">
        <v>3332</v>
      </c>
      <c r="AW26" s="58"/>
      <c r="AX26" s="58"/>
      <c r="AY26" s="58"/>
      <c r="AZ26" s="58"/>
      <c r="BA26" s="58"/>
      <c r="BB26" s="58" t="s">
        <v>3378</v>
      </c>
      <c r="BC26" s="58" t="s">
        <v>3304</v>
      </c>
      <c r="BD26" s="58" t="s">
        <v>3425</v>
      </c>
      <c r="BE26" s="58"/>
      <c r="BF26" s="58"/>
      <c r="BG26" s="58"/>
      <c r="BH26" s="58"/>
      <c r="BI26" s="58"/>
      <c r="BJ26" s="58"/>
      <c r="BK26" s="58"/>
      <c r="BL26" s="58"/>
      <c r="BM26" s="58"/>
      <c r="BN26" s="58"/>
      <c r="BO26" s="58"/>
      <c r="BP26" s="58"/>
      <c r="BQ26" s="58"/>
      <c r="BR26" s="58" t="s">
        <v>2972</v>
      </c>
      <c r="BS26" s="58"/>
      <c r="BT26" s="58" t="s">
        <v>799</v>
      </c>
      <c r="BU26" s="58" t="s">
        <v>821</v>
      </c>
      <c r="BV26" s="58" t="s">
        <v>799</v>
      </c>
      <c r="BW26" s="58" t="s">
        <v>821</v>
      </c>
      <c r="BX26" s="58"/>
    </row>
    <row r="27" spans="1:76" ht="15" customHeight="1" x14ac:dyDescent="0.25">
      <c r="A27" s="61" t="str">
        <f t="shared" si="0"/>
        <v>091208001550</v>
      </c>
      <c r="B27" s="58">
        <v>25</v>
      </c>
      <c r="C27" s="58"/>
      <c r="D27" s="58"/>
      <c r="E27" s="58"/>
      <c r="F27" s="58" t="s">
        <v>833</v>
      </c>
      <c r="G27" s="58" t="s">
        <v>39</v>
      </c>
      <c r="H27" s="58" t="s">
        <v>828</v>
      </c>
      <c r="I27" s="58" t="s">
        <v>829</v>
      </c>
      <c r="J27" s="58" t="s">
        <v>2909</v>
      </c>
      <c r="K27" s="58" t="s">
        <v>278</v>
      </c>
      <c r="L27" s="58" t="s">
        <v>831</v>
      </c>
      <c r="M27" s="58" t="s">
        <v>830</v>
      </c>
      <c r="N27" s="58" t="s">
        <v>1809</v>
      </c>
      <c r="O27" s="58" t="s">
        <v>3358</v>
      </c>
      <c r="P27" s="58" t="s">
        <v>376</v>
      </c>
      <c r="Q27" s="58"/>
      <c r="R27" s="58"/>
      <c r="S27" s="58"/>
      <c r="T27" s="58"/>
      <c r="U27" s="58"/>
      <c r="V27" s="58"/>
      <c r="W27" s="58"/>
      <c r="X27" s="59"/>
      <c r="Y27" s="59"/>
      <c r="Z27" s="58"/>
      <c r="AA27" s="58"/>
      <c r="AB27" s="58"/>
      <c r="AC27" s="58"/>
      <c r="AD27" s="58">
        <v>2026</v>
      </c>
      <c r="AE27" s="58"/>
      <c r="AF27" s="58"/>
      <c r="AG27" s="58" t="s">
        <v>3426</v>
      </c>
      <c r="AH27" s="58" t="s">
        <v>3313</v>
      </c>
      <c r="AI27" s="58"/>
      <c r="AJ27" s="58"/>
      <c r="AK27" s="58"/>
      <c r="AL27" s="58"/>
      <c r="AM27" s="58"/>
      <c r="AN27" s="58" t="s">
        <v>1809</v>
      </c>
      <c r="AO27" s="60" t="s">
        <v>540</v>
      </c>
      <c r="AP27" s="60" t="s">
        <v>541</v>
      </c>
      <c r="AQ27" s="58" t="s">
        <v>3427</v>
      </c>
      <c r="AR27" s="58" t="s">
        <v>288</v>
      </c>
      <c r="AS27" s="58" t="s">
        <v>3321</v>
      </c>
      <c r="AT27" s="58" t="s">
        <v>3360</v>
      </c>
      <c r="AU27" s="58" t="s">
        <v>3303</v>
      </c>
      <c r="AV27" s="58" t="s">
        <v>3332</v>
      </c>
      <c r="AW27" s="58"/>
      <c r="AX27" s="58"/>
      <c r="AY27" s="58"/>
      <c r="AZ27" s="58"/>
      <c r="BA27" s="58"/>
      <c r="BB27" s="58" t="s">
        <v>3428</v>
      </c>
      <c r="BC27" s="58" t="s">
        <v>3304</v>
      </c>
      <c r="BD27" s="58" t="s">
        <v>3368</v>
      </c>
      <c r="BE27" s="58"/>
      <c r="BF27" s="58"/>
      <c r="BG27" s="58"/>
      <c r="BH27" s="58"/>
      <c r="BI27" s="58"/>
      <c r="BJ27" s="58"/>
      <c r="BK27" s="58"/>
      <c r="BL27" s="58"/>
      <c r="BM27" s="58"/>
      <c r="BN27" s="58"/>
      <c r="BO27" s="58"/>
      <c r="BP27" s="58"/>
      <c r="BQ27" s="58"/>
      <c r="BR27" s="58" t="s">
        <v>429</v>
      </c>
      <c r="BS27" s="58"/>
      <c r="BT27" s="58" t="s">
        <v>1809</v>
      </c>
      <c r="BU27" s="58" t="s">
        <v>538</v>
      </c>
      <c r="BV27" s="58" t="s">
        <v>1809</v>
      </c>
      <c r="BW27" s="58" t="s">
        <v>538</v>
      </c>
      <c r="BX27" s="58"/>
    </row>
    <row r="28" spans="1:76" ht="15" customHeight="1" x14ac:dyDescent="0.25">
      <c r="A28" s="61" t="str">
        <f t="shared" si="0"/>
        <v>075308023084</v>
      </c>
      <c r="B28" s="58">
        <v>26</v>
      </c>
      <c r="C28" s="58"/>
      <c r="D28" s="58"/>
      <c r="E28" s="58"/>
      <c r="F28" s="58" t="s">
        <v>3429</v>
      </c>
      <c r="G28" s="58" t="s">
        <v>100</v>
      </c>
      <c r="H28" s="58" t="s">
        <v>847</v>
      </c>
      <c r="I28" s="58" t="s">
        <v>848</v>
      </c>
      <c r="J28" s="58" t="s">
        <v>2908</v>
      </c>
      <c r="K28" s="58" t="s">
        <v>278</v>
      </c>
      <c r="L28" s="58" t="s">
        <v>850</v>
      </c>
      <c r="M28" s="58" t="s">
        <v>849</v>
      </c>
      <c r="N28" s="58" t="s">
        <v>1798</v>
      </c>
      <c r="O28" s="58" t="s">
        <v>3430</v>
      </c>
      <c r="P28" s="58" t="s">
        <v>376</v>
      </c>
      <c r="Q28" s="58"/>
      <c r="R28" s="58"/>
      <c r="S28" s="58"/>
      <c r="T28" s="58"/>
      <c r="U28" s="58"/>
      <c r="V28" s="58"/>
      <c r="W28" s="58"/>
      <c r="X28" s="59"/>
      <c r="Y28" s="59"/>
      <c r="Z28" s="58"/>
      <c r="AA28" s="58"/>
      <c r="AB28" s="58"/>
      <c r="AC28" s="58"/>
      <c r="AD28" s="58">
        <v>2026</v>
      </c>
      <c r="AE28" s="58"/>
      <c r="AF28" s="58"/>
      <c r="AG28" s="58" t="s">
        <v>3313</v>
      </c>
      <c r="AH28" s="58" t="s">
        <v>3296</v>
      </c>
      <c r="AI28" s="58"/>
      <c r="AJ28" s="58"/>
      <c r="AK28" s="58"/>
      <c r="AL28" s="58"/>
      <c r="AM28" s="58"/>
      <c r="AN28" s="58" t="s">
        <v>1798</v>
      </c>
      <c r="AO28" s="60" t="s">
        <v>857</v>
      </c>
      <c r="AP28" s="60" t="s">
        <v>858</v>
      </c>
      <c r="AQ28" s="58" t="s">
        <v>3431</v>
      </c>
      <c r="AR28" s="58" t="s">
        <v>288</v>
      </c>
      <c r="AS28" s="58" t="s">
        <v>3432</v>
      </c>
      <c r="AT28" s="58" t="s">
        <v>3433</v>
      </c>
      <c r="AU28" s="58" t="s">
        <v>3324</v>
      </c>
      <c r="AV28" s="58" t="s">
        <v>3338</v>
      </c>
      <c r="AW28" s="58" t="s">
        <v>3368</v>
      </c>
      <c r="AX28" s="58" t="s">
        <v>3317</v>
      </c>
      <c r="AY28" s="58"/>
      <c r="AZ28" s="58"/>
      <c r="BA28" s="58"/>
      <c r="BB28" s="58"/>
      <c r="BC28" s="58"/>
      <c r="BD28" s="58"/>
      <c r="BE28" s="58"/>
      <c r="BF28" s="58"/>
      <c r="BG28" s="58"/>
      <c r="BH28" s="58"/>
      <c r="BI28" s="58"/>
      <c r="BJ28" s="58"/>
      <c r="BK28" s="58"/>
      <c r="BL28" s="58"/>
      <c r="BM28" s="58"/>
      <c r="BN28" s="58"/>
      <c r="BO28" s="58"/>
      <c r="BP28" s="58"/>
      <c r="BQ28" s="58"/>
      <c r="BR28" s="58" t="s">
        <v>2303</v>
      </c>
      <c r="BS28" s="58"/>
      <c r="BT28" s="58" t="s">
        <v>1798</v>
      </c>
      <c r="BU28" s="58" t="s">
        <v>857</v>
      </c>
      <c r="BV28" s="58" t="s">
        <v>1798</v>
      </c>
      <c r="BW28" s="58" t="s">
        <v>857</v>
      </c>
      <c r="BX28" s="58"/>
    </row>
    <row r="29" spans="1:76" ht="15" customHeight="1" x14ac:dyDescent="0.25">
      <c r="A29" s="61" t="str">
        <f t="shared" si="0"/>
        <v>086208005701</v>
      </c>
      <c r="B29" s="58">
        <v>27</v>
      </c>
      <c r="C29" s="58"/>
      <c r="D29" s="58"/>
      <c r="E29" s="58"/>
      <c r="F29" s="58" t="s">
        <v>871</v>
      </c>
      <c r="G29" s="58" t="s">
        <v>68</v>
      </c>
      <c r="H29" s="58" t="s">
        <v>866</v>
      </c>
      <c r="I29" s="58" t="s">
        <v>867</v>
      </c>
      <c r="J29" s="58" t="s">
        <v>2909</v>
      </c>
      <c r="K29" s="58" t="s">
        <v>278</v>
      </c>
      <c r="L29" s="58" t="s">
        <v>869</v>
      </c>
      <c r="M29" s="58" t="s">
        <v>3434</v>
      </c>
      <c r="N29" s="58" t="s">
        <v>1851</v>
      </c>
      <c r="O29" s="58" t="s">
        <v>3412</v>
      </c>
      <c r="P29" s="58" t="s">
        <v>376</v>
      </c>
      <c r="Q29" s="58"/>
      <c r="R29" s="58"/>
      <c r="S29" s="58"/>
      <c r="T29" s="58"/>
      <c r="U29" s="58"/>
      <c r="V29" s="58"/>
      <c r="W29" s="58"/>
      <c r="X29" s="59"/>
      <c r="Y29" s="59"/>
      <c r="Z29" s="58"/>
      <c r="AA29" s="58"/>
      <c r="AB29" s="58"/>
      <c r="AC29" s="58"/>
      <c r="AD29" s="58">
        <v>2026</v>
      </c>
      <c r="AE29" s="58"/>
      <c r="AF29" s="58"/>
      <c r="AG29" s="58" t="s">
        <v>3296</v>
      </c>
      <c r="AH29" s="58" t="s">
        <v>3296</v>
      </c>
      <c r="AI29" s="58"/>
      <c r="AJ29" s="58"/>
      <c r="AK29" s="58"/>
      <c r="AL29" s="58"/>
      <c r="AM29" s="58"/>
      <c r="AN29" s="58" t="s">
        <v>1851</v>
      </c>
      <c r="AO29" s="60" t="s">
        <v>750</v>
      </c>
      <c r="AP29" s="60" t="s">
        <v>751</v>
      </c>
      <c r="AQ29" s="58" t="s">
        <v>3435</v>
      </c>
      <c r="AR29" s="58" t="s">
        <v>288</v>
      </c>
      <c r="AS29" s="58" t="s">
        <v>3330</v>
      </c>
      <c r="AT29" s="58" t="s">
        <v>3414</v>
      </c>
      <c r="AU29" s="58" t="s">
        <v>3301</v>
      </c>
      <c r="AV29" s="58" t="s">
        <v>3303</v>
      </c>
      <c r="AW29" s="58" t="s">
        <v>3300</v>
      </c>
      <c r="AX29" s="58"/>
      <c r="AY29" s="58"/>
      <c r="AZ29" s="58"/>
      <c r="BA29" s="58"/>
      <c r="BB29" s="58" t="s">
        <v>3325</v>
      </c>
      <c r="BC29" s="58" t="s">
        <v>3304</v>
      </c>
      <c r="BD29" s="58"/>
      <c r="BE29" s="58"/>
      <c r="BF29" s="58"/>
      <c r="BG29" s="58"/>
      <c r="BH29" s="58"/>
      <c r="BI29" s="58"/>
      <c r="BJ29" s="58"/>
      <c r="BK29" s="58"/>
      <c r="BL29" s="58"/>
      <c r="BM29" s="58"/>
      <c r="BN29" s="58"/>
      <c r="BO29" s="58"/>
      <c r="BP29" s="58"/>
      <c r="BQ29" s="58"/>
      <c r="BR29" s="58" t="s">
        <v>872</v>
      </c>
      <c r="BS29" s="58"/>
      <c r="BT29" s="58" t="s">
        <v>1851</v>
      </c>
      <c r="BU29" s="58" t="s">
        <v>750</v>
      </c>
      <c r="BV29" s="58" t="s">
        <v>1851</v>
      </c>
      <c r="BW29" s="58" t="s">
        <v>750</v>
      </c>
      <c r="BX29" s="58"/>
    </row>
    <row r="30" spans="1:76" ht="15" customHeight="1" x14ac:dyDescent="0.25">
      <c r="A30" s="61" t="str">
        <f t="shared" si="0"/>
        <v>086208004243</v>
      </c>
      <c r="B30" s="58">
        <v>28</v>
      </c>
      <c r="C30" s="58"/>
      <c r="D30" s="58"/>
      <c r="E30" s="58"/>
      <c r="F30" s="58" t="s">
        <v>884</v>
      </c>
      <c r="G30" s="58" t="s">
        <v>69</v>
      </c>
      <c r="H30" s="58" t="s">
        <v>879</v>
      </c>
      <c r="I30" s="58" t="s">
        <v>880</v>
      </c>
      <c r="J30" s="58" t="s">
        <v>2909</v>
      </c>
      <c r="K30" s="58" t="s">
        <v>278</v>
      </c>
      <c r="L30" s="58" t="s">
        <v>882</v>
      </c>
      <c r="M30" s="58" t="s">
        <v>881</v>
      </c>
      <c r="N30" s="58" t="s">
        <v>1851</v>
      </c>
      <c r="O30" s="58" t="s">
        <v>3436</v>
      </c>
      <c r="P30" s="58" t="s">
        <v>376</v>
      </c>
      <c r="Q30" s="58"/>
      <c r="R30" s="58"/>
      <c r="S30" s="58"/>
      <c r="T30" s="58"/>
      <c r="U30" s="58"/>
      <c r="V30" s="58"/>
      <c r="W30" s="58"/>
      <c r="X30" s="59"/>
      <c r="Y30" s="59"/>
      <c r="Z30" s="58"/>
      <c r="AA30" s="58"/>
      <c r="AB30" s="58"/>
      <c r="AC30" s="58"/>
      <c r="AD30" s="58">
        <v>2026</v>
      </c>
      <c r="AE30" s="58"/>
      <c r="AF30" s="58"/>
      <c r="AG30" s="58" t="s">
        <v>3296</v>
      </c>
      <c r="AH30" s="58" t="s">
        <v>3296</v>
      </c>
      <c r="AI30" s="58"/>
      <c r="AJ30" s="58"/>
      <c r="AK30" s="58"/>
      <c r="AL30" s="58"/>
      <c r="AM30" s="58"/>
      <c r="AN30" s="58" t="s">
        <v>1851</v>
      </c>
      <c r="AO30" s="60" t="s">
        <v>777</v>
      </c>
      <c r="AP30" s="60" t="s">
        <v>778</v>
      </c>
      <c r="AQ30" s="58" t="s">
        <v>3437</v>
      </c>
      <c r="AR30" s="58" t="s">
        <v>288</v>
      </c>
      <c r="AS30" s="58" t="s">
        <v>3330</v>
      </c>
      <c r="AT30" s="58" t="s">
        <v>3438</v>
      </c>
      <c r="AU30" s="58" t="s">
        <v>3325</v>
      </c>
      <c r="AV30" s="58" t="s">
        <v>3300</v>
      </c>
      <c r="AW30" s="58"/>
      <c r="AX30" s="58"/>
      <c r="AY30" s="58"/>
      <c r="AZ30" s="58"/>
      <c r="BA30" s="58" t="s">
        <v>3340</v>
      </c>
      <c r="BB30" s="58" t="s">
        <v>3428</v>
      </c>
      <c r="BC30" s="58" t="s">
        <v>3304</v>
      </c>
      <c r="BD30" s="58"/>
      <c r="BE30" s="58"/>
      <c r="BF30" s="58"/>
      <c r="BG30" s="58"/>
      <c r="BH30" s="58"/>
      <c r="BI30" s="58"/>
      <c r="BJ30" s="58"/>
      <c r="BK30" s="58"/>
      <c r="BL30" s="58"/>
      <c r="BM30" s="58"/>
      <c r="BN30" s="58"/>
      <c r="BO30" s="58"/>
      <c r="BP30" s="58"/>
      <c r="BQ30" s="58"/>
      <c r="BR30" s="58" t="s">
        <v>2287</v>
      </c>
      <c r="BS30" s="58"/>
      <c r="BT30" s="58" t="s">
        <v>1851</v>
      </c>
      <c r="BU30" s="58" t="s">
        <v>777</v>
      </c>
      <c r="BV30" s="58" t="s">
        <v>1851</v>
      </c>
      <c r="BW30" s="58" t="s">
        <v>777</v>
      </c>
      <c r="BX30" s="58"/>
    </row>
    <row r="31" spans="1:76" ht="15" customHeight="1" x14ac:dyDescent="0.25">
      <c r="A31" s="61" t="str">
        <f t="shared" si="0"/>
        <v>086308006658</v>
      </c>
      <c r="B31" s="58">
        <v>29</v>
      </c>
      <c r="C31" s="58"/>
      <c r="D31" s="58"/>
      <c r="E31" s="58"/>
      <c r="F31" s="58" t="s">
        <v>903</v>
      </c>
      <c r="G31" s="58" t="s">
        <v>59</v>
      </c>
      <c r="H31" s="58" t="s">
        <v>898</v>
      </c>
      <c r="I31" s="58" t="s">
        <v>899</v>
      </c>
      <c r="J31" s="58" t="s">
        <v>2908</v>
      </c>
      <c r="K31" s="58" t="s">
        <v>278</v>
      </c>
      <c r="L31" s="58" t="s">
        <v>901</v>
      </c>
      <c r="M31" s="58" t="s">
        <v>900</v>
      </c>
      <c r="N31" s="58" t="s">
        <v>1851</v>
      </c>
      <c r="O31" s="58" t="s">
        <v>3439</v>
      </c>
      <c r="P31" s="58" t="s">
        <v>376</v>
      </c>
      <c r="Q31" s="58"/>
      <c r="R31" s="58"/>
      <c r="S31" s="58"/>
      <c r="T31" s="58"/>
      <c r="U31" s="58"/>
      <c r="V31" s="58"/>
      <c r="W31" s="58"/>
      <c r="X31" s="59"/>
      <c r="Y31" s="59"/>
      <c r="Z31" s="58"/>
      <c r="AA31" s="58"/>
      <c r="AB31" s="58"/>
      <c r="AC31" s="58"/>
      <c r="AD31" s="58">
        <v>2026</v>
      </c>
      <c r="AE31" s="58"/>
      <c r="AF31" s="58"/>
      <c r="AG31" s="58" t="s">
        <v>3296</v>
      </c>
      <c r="AH31" s="58" t="s">
        <v>3296</v>
      </c>
      <c r="AI31" s="58"/>
      <c r="AJ31" s="58"/>
      <c r="AK31" s="58"/>
      <c r="AL31" s="58"/>
      <c r="AM31" s="58"/>
      <c r="AN31" s="58" t="s">
        <v>1851</v>
      </c>
      <c r="AO31" s="60" t="s">
        <v>750</v>
      </c>
      <c r="AP31" s="60" t="s">
        <v>751</v>
      </c>
      <c r="AQ31" s="58" t="s">
        <v>3440</v>
      </c>
      <c r="AR31" s="58" t="s">
        <v>288</v>
      </c>
      <c r="AS31" s="58" t="s">
        <v>3330</v>
      </c>
      <c r="AT31" s="58" t="s">
        <v>3441</v>
      </c>
      <c r="AU31" s="58" t="s">
        <v>3361</v>
      </c>
      <c r="AV31" s="58" t="s">
        <v>3333</v>
      </c>
      <c r="AW31" s="58"/>
      <c r="AX31" s="58"/>
      <c r="AY31" s="58"/>
      <c r="AZ31" s="58" t="s">
        <v>3442</v>
      </c>
      <c r="BA31" s="58"/>
      <c r="BB31" s="58" t="s">
        <v>3301</v>
      </c>
      <c r="BC31" s="58" t="s">
        <v>3304</v>
      </c>
      <c r="BD31" s="58"/>
      <c r="BE31" s="58"/>
      <c r="BF31" s="58"/>
      <c r="BG31" s="58"/>
      <c r="BH31" s="58"/>
      <c r="BI31" s="58"/>
      <c r="BJ31" s="58"/>
      <c r="BK31" s="58"/>
      <c r="BL31" s="58"/>
      <c r="BM31" s="58"/>
      <c r="BN31" s="58"/>
      <c r="BO31" s="58"/>
      <c r="BP31" s="58"/>
      <c r="BQ31" s="58"/>
      <c r="BR31" s="58" t="s">
        <v>544</v>
      </c>
      <c r="BS31" s="58"/>
      <c r="BT31" s="58" t="s">
        <v>1851</v>
      </c>
      <c r="BU31" s="58" t="s">
        <v>750</v>
      </c>
      <c r="BV31" s="58" t="s">
        <v>1851</v>
      </c>
      <c r="BW31" s="58" t="s">
        <v>750</v>
      </c>
      <c r="BX31" s="58"/>
    </row>
    <row r="32" spans="1:76" ht="15" customHeight="1" x14ac:dyDescent="0.25">
      <c r="A32" s="61" t="str">
        <f t="shared" si="0"/>
        <v>082208000404</v>
      </c>
      <c r="B32" s="58">
        <v>30</v>
      </c>
      <c r="C32" s="58"/>
      <c r="D32" s="58"/>
      <c r="E32" s="58"/>
      <c r="F32" s="58" t="s">
        <v>911</v>
      </c>
      <c r="G32" s="58" t="s">
        <v>89</v>
      </c>
      <c r="H32" s="58" t="s">
        <v>907</v>
      </c>
      <c r="I32" s="58" t="s">
        <v>867</v>
      </c>
      <c r="J32" s="58" t="s">
        <v>2909</v>
      </c>
      <c r="K32" s="58" t="s">
        <v>278</v>
      </c>
      <c r="L32" s="58" t="s">
        <v>909</v>
      </c>
      <c r="M32" s="58" t="s">
        <v>3443</v>
      </c>
      <c r="N32" s="58" t="s">
        <v>1822</v>
      </c>
      <c r="O32" s="58" t="s">
        <v>3444</v>
      </c>
      <c r="P32" s="58" t="s">
        <v>3295</v>
      </c>
      <c r="Q32" s="58"/>
      <c r="R32" s="58"/>
      <c r="S32" s="58"/>
      <c r="T32" s="58"/>
      <c r="U32" s="58"/>
      <c r="V32" s="58"/>
      <c r="W32" s="58"/>
      <c r="X32" s="59"/>
      <c r="Y32" s="59"/>
      <c r="Z32" s="58"/>
      <c r="AA32" s="58"/>
      <c r="AB32" s="58"/>
      <c r="AC32" s="58"/>
      <c r="AD32" s="58">
        <v>2026</v>
      </c>
      <c r="AE32" s="58"/>
      <c r="AF32" s="58"/>
      <c r="AG32" s="58" t="s">
        <v>3296</v>
      </c>
      <c r="AH32" s="58" t="s">
        <v>3296</v>
      </c>
      <c r="AI32" s="58"/>
      <c r="AJ32" s="58"/>
      <c r="AK32" s="58"/>
      <c r="AL32" s="58"/>
      <c r="AM32" s="58"/>
      <c r="AN32" s="58" t="s">
        <v>1822</v>
      </c>
      <c r="AO32" s="60" t="s">
        <v>912</v>
      </c>
      <c r="AP32" s="60" t="s">
        <v>913</v>
      </c>
      <c r="AQ32" s="58" t="s">
        <v>3445</v>
      </c>
      <c r="AR32" s="58" t="s">
        <v>288</v>
      </c>
      <c r="AS32" s="58" t="s">
        <v>3298</v>
      </c>
      <c r="AT32" s="58" t="s">
        <v>3446</v>
      </c>
      <c r="AU32" s="58" t="s">
        <v>3333</v>
      </c>
      <c r="AV32" s="58" t="s">
        <v>3317</v>
      </c>
      <c r="AW32" s="58" t="s">
        <v>3447</v>
      </c>
      <c r="AX32" s="58" t="s">
        <v>3324</v>
      </c>
      <c r="AY32" s="58"/>
      <c r="AZ32" s="58"/>
      <c r="BA32" s="58"/>
      <c r="BB32" s="58"/>
      <c r="BC32" s="58"/>
      <c r="BD32" s="58"/>
      <c r="BE32" s="58"/>
      <c r="BF32" s="58"/>
      <c r="BG32" s="58"/>
      <c r="BH32" s="58"/>
      <c r="BI32" s="58"/>
      <c r="BJ32" s="58"/>
      <c r="BK32" s="58"/>
      <c r="BL32" s="58"/>
      <c r="BM32" s="58"/>
      <c r="BN32" s="58"/>
      <c r="BO32" s="58"/>
      <c r="BP32" s="58"/>
      <c r="BQ32" s="58"/>
      <c r="BR32" s="58" t="s">
        <v>1338</v>
      </c>
      <c r="BS32" s="58"/>
      <c r="BT32" s="58" t="s">
        <v>1822</v>
      </c>
      <c r="BU32" s="58" t="s">
        <v>912</v>
      </c>
      <c r="BV32" s="58" t="s">
        <v>1822</v>
      </c>
      <c r="BW32" s="58" t="s">
        <v>912</v>
      </c>
      <c r="BX32" s="58"/>
    </row>
    <row r="33" spans="1:76" ht="15" customHeight="1" x14ac:dyDescent="0.25">
      <c r="A33" s="61" t="str">
        <f t="shared" si="0"/>
        <v>094308011074</v>
      </c>
      <c r="B33" s="58">
        <v>31</v>
      </c>
      <c r="C33" s="58"/>
      <c r="D33" s="58"/>
      <c r="E33" s="58"/>
      <c r="F33" s="58" t="s">
        <v>925</v>
      </c>
      <c r="G33" s="58" t="s">
        <v>29</v>
      </c>
      <c r="H33" s="58" t="s">
        <v>920</v>
      </c>
      <c r="I33" s="58" t="s">
        <v>921</v>
      </c>
      <c r="J33" s="58" t="s">
        <v>2908</v>
      </c>
      <c r="K33" s="58" t="s">
        <v>278</v>
      </c>
      <c r="L33" s="58" t="s">
        <v>923</v>
      </c>
      <c r="M33" s="58" t="s">
        <v>922</v>
      </c>
      <c r="N33" s="58" t="s">
        <v>1870</v>
      </c>
      <c r="O33" s="58" t="s">
        <v>3448</v>
      </c>
      <c r="P33" s="58" t="s">
        <v>278</v>
      </c>
      <c r="Q33" s="58"/>
      <c r="R33" s="58"/>
      <c r="S33" s="58"/>
      <c r="T33" s="58"/>
      <c r="U33" s="58"/>
      <c r="V33" s="58"/>
      <c r="W33" s="58"/>
      <c r="X33" s="59"/>
      <c r="Y33" s="59"/>
      <c r="Z33" s="58"/>
      <c r="AA33" s="58"/>
      <c r="AB33" s="58"/>
      <c r="AC33" s="58"/>
      <c r="AD33" s="58">
        <v>2026</v>
      </c>
      <c r="AE33" s="58"/>
      <c r="AF33" s="58"/>
      <c r="AG33" s="58" t="s">
        <v>3296</v>
      </c>
      <c r="AH33" s="58" t="s">
        <v>3296</v>
      </c>
      <c r="AI33" s="58"/>
      <c r="AJ33" s="58"/>
      <c r="AK33" s="58"/>
      <c r="AL33" s="58"/>
      <c r="AM33" s="58"/>
      <c r="AN33" s="58" t="s">
        <v>1870</v>
      </c>
      <c r="AO33" s="60" t="s">
        <v>928</v>
      </c>
      <c r="AP33" s="60" t="s">
        <v>929</v>
      </c>
      <c r="AQ33" s="58" t="s">
        <v>3449</v>
      </c>
      <c r="AR33" s="58" t="s">
        <v>288</v>
      </c>
      <c r="AS33" s="58" t="s">
        <v>3315</v>
      </c>
      <c r="AT33" s="58" t="s">
        <v>3450</v>
      </c>
      <c r="AU33" s="58" t="s">
        <v>3451</v>
      </c>
      <c r="AV33" s="58" t="s">
        <v>3340</v>
      </c>
      <c r="AW33" s="58"/>
      <c r="AX33" s="58"/>
      <c r="AY33" s="58"/>
      <c r="AZ33" s="58"/>
      <c r="BA33" s="58" t="s">
        <v>3324</v>
      </c>
      <c r="BB33" s="58" t="s">
        <v>3323</v>
      </c>
      <c r="BC33" s="58" t="s">
        <v>3304</v>
      </c>
      <c r="BD33" s="58"/>
      <c r="BE33" s="58"/>
      <c r="BF33" s="58"/>
      <c r="BG33" s="58"/>
      <c r="BH33" s="58"/>
      <c r="BI33" s="58"/>
      <c r="BJ33" s="58"/>
      <c r="BK33" s="58"/>
      <c r="BL33" s="58"/>
      <c r="BM33" s="58"/>
      <c r="BN33" s="58"/>
      <c r="BO33" s="58"/>
      <c r="BP33" s="58"/>
      <c r="BQ33" s="58"/>
      <c r="BR33" s="58" t="s">
        <v>2071</v>
      </c>
      <c r="BS33" s="58"/>
      <c r="BT33" s="58" t="s">
        <v>1870</v>
      </c>
      <c r="BU33" s="58" t="s">
        <v>926</v>
      </c>
      <c r="BV33" s="58" t="s">
        <v>1870</v>
      </c>
      <c r="BW33" s="58" t="s">
        <v>926</v>
      </c>
      <c r="BX33" s="58"/>
    </row>
    <row r="34" spans="1:76" ht="15" customHeight="1" x14ac:dyDescent="0.25">
      <c r="A34" s="61" t="str">
        <f t="shared" si="0"/>
        <v>092308001070</v>
      </c>
      <c r="B34" s="58">
        <v>32</v>
      </c>
      <c r="C34" s="58"/>
      <c r="D34" s="58"/>
      <c r="E34" s="58"/>
      <c r="F34" s="58" t="s">
        <v>942</v>
      </c>
      <c r="G34" s="58" t="s">
        <v>33</v>
      </c>
      <c r="H34" s="58" t="s">
        <v>937</v>
      </c>
      <c r="I34" s="58" t="s">
        <v>938</v>
      </c>
      <c r="J34" s="58" t="s">
        <v>2908</v>
      </c>
      <c r="K34" s="58" t="s">
        <v>278</v>
      </c>
      <c r="L34" s="58" t="s">
        <v>940</v>
      </c>
      <c r="M34" s="58" t="s">
        <v>939</v>
      </c>
      <c r="N34" s="58" t="s">
        <v>1851</v>
      </c>
      <c r="O34" s="58" t="s">
        <v>3417</v>
      </c>
      <c r="P34" s="58" t="s">
        <v>3295</v>
      </c>
      <c r="Q34" s="58"/>
      <c r="R34" s="58"/>
      <c r="S34" s="58"/>
      <c r="T34" s="58"/>
      <c r="U34" s="58"/>
      <c r="V34" s="58"/>
      <c r="W34" s="58"/>
      <c r="X34" s="59"/>
      <c r="Y34" s="59"/>
      <c r="Z34" s="58"/>
      <c r="AA34" s="58"/>
      <c r="AB34" s="58"/>
      <c r="AC34" s="58"/>
      <c r="AD34" s="58">
        <v>2026</v>
      </c>
      <c r="AE34" s="58"/>
      <c r="AF34" s="58"/>
      <c r="AG34" s="58" t="s">
        <v>3296</v>
      </c>
      <c r="AH34" s="58" t="s">
        <v>3296</v>
      </c>
      <c r="AI34" s="58"/>
      <c r="AJ34" s="58"/>
      <c r="AK34" s="58"/>
      <c r="AL34" s="58"/>
      <c r="AM34" s="58"/>
      <c r="AN34" s="58" t="s">
        <v>1851</v>
      </c>
      <c r="AO34" s="60" t="s">
        <v>422</v>
      </c>
      <c r="AP34" s="60" t="s">
        <v>423</v>
      </c>
      <c r="AQ34" s="58" t="s">
        <v>3452</v>
      </c>
      <c r="AR34" s="58" t="s">
        <v>288</v>
      </c>
      <c r="AS34" s="58" t="s">
        <v>3330</v>
      </c>
      <c r="AT34" s="58" t="s">
        <v>3419</v>
      </c>
      <c r="AU34" s="58" t="s">
        <v>3340</v>
      </c>
      <c r="AV34" s="58" t="s">
        <v>3453</v>
      </c>
      <c r="AW34" s="58"/>
      <c r="AX34" s="58"/>
      <c r="AY34" s="58"/>
      <c r="AZ34" s="58" t="s">
        <v>3301</v>
      </c>
      <c r="BA34" s="58"/>
      <c r="BB34" s="58" t="s">
        <v>3303</v>
      </c>
      <c r="BC34" s="58" t="s">
        <v>3304</v>
      </c>
      <c r="BD34" s="58"/>
      <c r="BE34" s="58"/>
      <c r="BF34" s="58"/>
      <c r="BG34" s="58"/>
      <c r="BH34" s="58"/>
      <c r="BI34" s="58"/>
      <c r="BJ34" s="58"/>
      <c r="BK34" s="58"/>
      <c r="BL34" s="58"/>
      <c r="BM34" s="58"/>
      <c r="BN34" s="58"/>
      <c r="BO34" s="58"/>
      <c r="BP34" s="58"/>
      <c r="BQ34" s="58"/>
      <c r="BR34" s="58" t="s">
        <v>756</v>
      </c>
      <c r="BS34" s="58"/>
      <c r="BT34" s="58" t="s">
        <v>1851</v>
      </c>
      <c r="BU34" s="58" t="s">
        <v>422</v>
      </c>
      <c r="BV34" s="58" t="s">
        <v>1851</v>
      </c>
      <c r="BW34" s="58" t="s">
        <v>422</v>
      </c>
      <c r="BX34" s="58"/>
    </row>
    <row r="35" spans="1:76" ht="15" customHeight="1" x14ac:dyDescent="0.25">
      <c r="A35" s="61" t="str">
        <f t="shared" si="0"/>
        <v>089308002708</v>
      </c>
      <c r="B35" s="58">
        <v>33</v>
      </c>
      <c r="C35" s="58"/>
      <c r="D35" s="58"/>
      <c r="E35" s="58"/>
      <c r="F35" s="58" t="s">
        <v>960</v>
      </c>
      <c r="G35" s="58" t="s">
        <v>45</v>
      </c>
      <c r="H35" s="58" t="s">
        <v>955</v>
      </c>
      <c r="I35" s="58" t="s">
        <v>956</v>
      </c>
      <c r="J35" s="58" t="s">
        <v>2908</v>
      </c>
      <c r="K35" s="58" t="s">
        <v>278</v>
      </c>
      <c r="L35" s="58" t="s">
        <v>958</v>
      </c>
      <c r="M35" s="58" t="s">
        <v>957</v>
      </c>
      <c r="N35" s="58" t="s">
        <v>1809</v>
      </c>
      <c r="O35" s="58" t="s">
        <v>3454</v>
      </c>
      <c r="P35" s="58" t="s">
        <v>278</v>
      </c>
      <c r="Q35" s="58"/>
      <c r="R35" s="58"/>
      <c r="S35" s="58"/>
      <c r="T35" s="58"/>
      <c r="U35" s="58"/>
      <c r="V35" s="58"/>
      <c r="W35" s="58"/>
      <c r="X35" s="59"/>
      <c r="Y35" s="59"/>
      <c r="Z35" s="58"/>
      <c r="AA35" s="58"/>
      <c r="AB35" s="58"/>
      <c r="AC35" s="58"/>
      <c r="AD35" s="58">
        <v>2026</v>
      </c>
      <c r="AE35" s="58"/>
      <c r="AF35" s="58"/>
      <c r="AG35" s="58" t="s">
        <v>3313</v>
      </c>
      <c r="AH35" s="58" t="s">
        <v>3296</v>
      </c>
      <c r="AI35" s="58"/>
      <c r="AJ35" s="58"/>
      <c r="AK35" s="58"/>
      <c r="AL35" s="58"/>
      <c r="AM35" s="58"/>
      <c r="AN35" s="58" t="s">
        <v>1809</v>
      </c>
      <c r="AO35" s="60" t="s">
        <v>967</v>
      </c>
      <c r="AP35" s="60" t="s">
        <v>968</v>
      </c>
      <c r="AQ35" s="58" t="s">
        <v>3455</v>
      </c>
      <c r="AR35" s="58" t="s">
        <v>288</v>
      </c>
      <c r="AS35" s="58" t="s">
        <v>3321</v>
      </c>
      <c r="AT35" s="58" t="s">
        <v>3456</v>
      </c>
      <c r="AU35" s="58" t="s">
        <v>3300</v>
      </c>
      <c r="AV35" s="58" t="s">
        <v>3300</v>
      </c>
      <c r="AW35" s="58" t="s">
        <v>3428</v>
      </c>
      <c r="AX35" s="58" t="s">
        <v>3338</v>
      </c>
      <c r="AY35" s="58"/>
      <c r="AZ35" s="58"/>
      <c r="BA35" s="58"/>
      <c r="BB35" s="58"/>
      <c r="BC35" s="58"/>
      <c r="BD35" s="58"/>
      <c r="BE35" s="58"/>
      <c r="BF35" s="58"/>
      <c r="BG35" s="58"/>
      <c r="BH35" s="58"/>
      <c r="BI35" s="58"/>
      <c r="BJ35" s="58"/>
      <c r="BK35" s="58"/>
      <c r="BL35" s="58"/>
      <c r="BM35" s="58"/>
      <c r="BN35" s="58"/>
      <c r="BO35" s="58"/>
      <c r="BP35" s="58"/>
      <c r="BQ35" s="58"/>
      <c r="BR35" s="58" t="s">
        <v>3457</v>
      </c>
      <c r="BS35" s="58"/>
      <c r="BT35" s="58" t="s">
        <v>1809</v>
      </c>
      <c r="BU35" s="58" t="s">
        <v>967</v>
      </c>
      <c r="BV35" s="58" t="s">
        <v>1809</v>
      </c>
      <c r="BW35" s="58" t="s">
        <v>967</v>
      </c>
      <c r="BX35" s="58"/>
    </row>
    <row r="36" spans="1:76" ht="15" customHeight="1" x14ac:dyDescent="0.25">
      <c r="A36" s="61" t="str">
        <f t="shared" si="0"/>
        <v>008308006425</v>
      </c>
      <c r="B36" s="58">
        <v>34</v>
      </c>
      <c r="C36" s="58"/>
      <c r="D36" s="58"/>
      <c r="E36" s="58"/>
      <c r="F36" s="58" t="s">
        <v>981</v>
      </c>
      <c r="G36" s="58" t="s">
        <v>120</v>
      </c>
      <c r="H36" s="58" t="s">
        <v>976</v>
      </c>
      <c r="I36" s="58" t="s">
        <v>977</v>
      </c>
      <c r="J36" s="58" t="s">
        <v>2908</v>
      </c>
      <c r="K36" s="58" t="s">
        <v>278</v>
      </c>
      <c r="L36" s="58" t="s">
        <v>979</v>
      </c>
      <c r="M36" s="58" t="s">
        <v>978</v>
      </c>
      <c r="N36" s="58" t="s">
        <v>3458</v>
      </c>
      <c r="O36" s="58" t="s">
        <v>3459</v>
      </c>
      <c r="P36" s="58" t="s">
        <v>278</v>
      </c>
      <c r="Q36" s="58"/>
      <c r="R36" s="58"/>
      <c r="S36" s="58"/>
      <c r="T36" s="58"/>
      <c r="U36" s="58"/>
      <c r="V36" s="58"/>
      <c r="W36" s="58"/>
      <c r="X36" s="59"/>
      <c r="Y36" s="59"/>
      <c r="Z36" s="58"/>
      <c r="AA36" s="58"/>
      <c r="AB36" s="58"/>
      <c r="AC36" s="58"/>
      <c r="AD36" s="58">
        <v>2026</v>
      </c>
      <c r="AE36" s="58"/>
      <c r="AF36" s="58"/>
      <c r="AG36" s="58" t="s">
        <v>3296</v>
      </c>
      <c r="AH36" s="58" t="s">
        <v>3296</v>
      </c>
      <c r="AI36" s="58"/>
      <c r="AJ36" s="58"/>
      <c r="AK36" s="58"/>
      <c r="AL36" s="58"/>
      <c r="AM36" s="58"/>
      <c r="AN36" s="58" t="s">
        <v>3458</v>
      </c>
      <c r="AO36" s="60" t="s">
        <v>984</v>
      </c>
      <c r="AP36" s="60" t="s">
        <v>985</v>
      </c>
      <c r="AQ36" s="58" t="s">
        <v>3460</v>
      </c>
      <c r="AR36" s="58" t="s">
        <v>288</v>
      </c>
      <c r="AS36" s="58" t="s">
        <v>3461</v>
      </c>
      <c r="AT36" s="58" t="s">
        <v>3462</v>
      </c>
      <c r="AU36" s="58" t="s">
        <v>3340</v>
      </c>
      <c r="AV36" s="58" t="s">
        <v>3324</v>
      </c>
      <c r="AW36" s="58" t="s">
        <v>3317</v>
      </c>
      <c r="AX36" s="58" t="s">
        <v>3325</v>
      </c>
      <c r="AY36" s="58"/>
      <c r="AZ36" s="58"/>
      <c r="BA36" s="58"/>
      <c r="BB36" s="58"/>
      <c r="BC36" s="58"/>
      <c r="BD36" s="58"/>
      <c r="BE36" s="58"/>
      <c r="BF36" s="58"/>
      <c r="BG36" s="58"/>
      <c r="BH36" s="58"/>
      <c r="BI36" s="58"/>
      <c r="BJ36" s="58"/>
      <c r="BK36" s="58"/>
      <c r="BL36" s="58"/>
      <c r="BM36" s="58"/>
      <c r="BN36" s="58"/>
      <c r="BO36" s="58"/>
      <c r="BP36" s="58"/>
      <c r="BQ36" s="58"/>
      <c r="BR36" s="58" t="s">
        <v>1614</v>
      </c>
      <c r="BS36" s="58"/>
      <c r="BT36" s="58" t="s">
        <v>3458</v>
      </c>
      <c r="BU36" s="58" t="s">
        <v>984</v>
      </c>
      <c r="BV36" s="58" t="s">
        <v>3458</v>
      </c>
      <c r="BW36" s="58" t="s">
        <v>984</v>
      </c>
      <c r="BX36" s="58"/>
    </row>
    <row r="37" spans="1:76" ht="15" customHeight="1" x14ac:dyDescent="0.25">
      <c r="A37" s="61" t="str">
        <f t="shared" si="0"/>
        <v>086308004540</v>
      </c>
      <c r="B37" s="58">
        <v>35</v>
      </c>
      <c r="C37" s="58"/>
      <c r="D37" s="58"/>
      <c r="E37" s="58"/>
      <c r="F37" s="58" t="s">
        <v>999</v>
      </c>
      <c r="G37" s="58" t="s">
        <v>61</v>
      </c>
      <c r="H37" s="58" t="s">
        <v>994</v>
      </c>
      <c r="I37" s="58" t="s">
        <v>995</v>
      </c>
      <c r="J37" s="58" t="s">
        <v>2908</v>
      </c>
      <c r="K37" s="58" t="s">
        <v>278</v>
      </c>
      <c r="L37" s="58" t="s">
        <v>997</v>
      </c>
      <c r="M37" s="58" t="s">
        <v>996</v>
      </c>
      <c r="N37" s="58" t="s">
        <v>1851</v>
      </c>
      <c r="O37" s="58" t="s">
        <v>3436</v>
      </c>
      <c r="P37" s="58" t="s">
        <v>376</v>
      </c>
      <c r="Q37" s="58"/>
      <c r="R37" s="58"/>
      <c r="S37" s="58"/>
      <c r="T37" s="58"/>
      <c r="U37" s="58"/>
      <c r="V37" s="58"/>
      <c r="W37" s="58"/>
      <c r="X37" s="59"/>
      <c r="Y37" s="59"/>
      <c r="Z37" s="58"/>
      <c r="AA37" s="58"/>
      <c r="AB37" s="58"/>
      <c r="AC37" s="58"/>
      <c r="AD37" s="58">
        <v>2026</v>
      </c>
      <c r="AE37" s="58"/>
      <c r="AF37" s="58"/>
      <c r="AG37" s="58" t="s">
        <v>3296</v>
      </c>
      <c r="AH37" s="58" t="s">
        <v>3296</v>
      </c>
      <c r="AI37" s="58"/>
      <c r="AJ37" s="58"/>
      <c r="AK37" s="58"/>
      <c r="AL37" s="58"/>
      <c r="AM37" s="58"/>
      <c r="AN37" s="58" t="s">
        <v>1851</v>
      </c>
      <c r="AO37" s="60" t="s">
        <v>750</v>
      </c>
      <c r="AP37" s="60" t="s">
        <v>751</v>
      </c>
      <c r="AQ37" s="58" t="s">
        <v>3463</v>
      </c>
      <c r="AR37" s="58" t="s">
        <v>288</v>
      </c>
      <c r="AS37" s="58" t="s">
        <v>3330</v>
      </c>
      <c r="AT37" s="58" t="s">
        <v>3438</v>
      </c>
      <c r="AU37" s="58" t="s">
        <v>3333</v>
      </c>
      <c r="AV37" s="58" t="s">
        <v>3300</v>
      </c>
      <c r="AW37" s="58"/>
      <c r="AX37" s="58"/>
      <c r="AY37" s="58"/>
      <c r="AZ37" s="58"/>
      <c r="BA37" s="58" t="s">
        <v>3451</v>
      </c>
      <c r="BB37" s="58" t="s">
        <v>3323</v>
      </c>
      <c r="BC37" s="58" t="s">
        <v>3304</v>
      </c>
      <c r="BD37" s="58"/>
      <c r="BE37" s="58"/>
      <c r="BF37" s="58"/>
      <c r="BG37" s="58"/>
      <c r="BH37" s="58"/>
      <c r="BI37" s="58"/>
      <c r="BJ37" s="58"/>
      <c r="BK37" s="58"/>
      <c r="BL37" s="58"/>
      <c r="BM37" s="58"/>
      <c r="BN37" s="58"/>
      <c r="BO37" s="58"/>
      <c r="BP37" s="58"/>
      <c r="BQ37" s="58"/>
      <c r="BR37" s="58" t="s">
        <v>1656</v>
      </c>
      <c r="BS37" s="58"/>
      <c r="BT37" s="58" t="s">
        <v>1851</v>
      </c>
      <c r="BU37" s="58" t="s">
        <v>750</v>
      </c>
      <c r="BV37" s="58" t="s">
        <v>1851</v>
      </c>
      <c r="BW37" s="58" t="s">
        <v>750</v>
      </c>
      <c r="BX37" s="58"/>
    </row>
    <row r="38" spans="1:76" ht="15" customHeight="1" x14ac:dyDescent="0.25">
      <c r="A38" s="61" t="str">
        <f t="shared" si="0"/>
        <v>025308012169</v>
      </c>
      <c r="B38" s="58">
        <v>36</v>
      </c>
      <c r="C38" s="58"/>
      <c r="D38" s="58"/>
      <c r="E38" s="58"/>
      <c r="F38" s="58" t="s">
        <v>1015</v>
      </c>
      <c r="G38" s="58" t="s">
        <v>119</v>
      </c>
      <c r="H38" s="58" t="s">
        <v>1010</v>
      </c>
      <c r="I38" s="58" t="s">
        <v>1011</v>
      </c>
      <c r="J38" s="58" t="s">
        <v>2908</v>
      </c>
      <c r="K38" s="58" t="s">
        <v>278</v>
      </c>
      <c r="L38" s="58" t="s">
        <v>3464</v>
      </c>
      <c r="M38" s="58" t="s">
        <v>1012</v>
      </c>
      <c r="N38" s="58" t="s">
        <v>878</v>
      </c>
      <c r="O38" s="58" t="s">
        <v>3465</v>
      </c>
      <c r="P38" s="58" t="s">
        <v>376</v>
      </c>
      <c r="Q38" s="58"/>
      <c r="R38" s="58"/>
      <c r="S38" s="58"/>
      <c r="T38" s="58"/>
      <c r="U38" s="58"/>
      <c r="V38" s="58"/>
      <c r="W38" s="58"/>
      <c r="X38" s="59"/>
      <c r="Y38" s="59"/>
      <c r="Z38" s="58"/>
      <c r="AA38" s="58"/>
      <c r="AB38" s="58"/>
      <c r="AC38" s="58"/>
      <c r="AD38" s="58">
        <v>2026</v>
      </c>
      <c r="AE38" s="58"/>
      <c r="AF38" s="58"/>
      <c r="AG38" s="58" t="s">
        <v>3296</v>
      </c>
      <c r="AH38" s="58" t="s">
        <v>3296</v>
      </c>
      <c r="AI38" s="58"/>
      <c r="AJ38" s="58"/>
      <c r="AK38" s="58"/>
      <c r="AL38" s="58"/>
      <c r="AM38" s="58"/>
      <c r="AN38" s="58" t="s">
        <v>878</v>
      </c>
      <c r="AO38" s="60" t="s">
        <v>1017</v>
      </c>
      <c r="AP38" s="60" t="s">
        <v>1018</v>
      </c>
      <c r="AQ38" s="58" t="s">
        <v>3466</v>
      </c>
      <c r="AR38" s="58" t="s">
        <v>288</v>
      </c>
      <c r="AS38" s="58" t="s">
        <v>3467</v>
      </c>
      <c r="AT38" s="58" t="s">
        <v>3468</v>
      </c>
      <c r="AU38" s="58" t="s">
        <v>3349</v>
      </c>
      <c r="AV38" s="58" t="s">
        <v>3451</v>
      </c>
      <c r="AW38" s="58"/>
      <c r="AX38" s="58"/>
      <c r="AY38" s="58"/>
      <c r="AZ38" s="58"/>
      <c r="BA38" s="58" t="s">
        <v>3317</v>
      </c>
      <c r="BB38" s="58" t="s">
        <v>3323</v>
      </c>
      <c r="BC38" s="58" t="s">
        <v>3304</v>
      </c>
      <c r="BD38" s="58"/>
      <c r="BE38" s="58"/>
      <c r="BF38" s="58"/>
      <c r="BG38" s="58"/>
      <c r="BH38" s="58"/>
      <c r="BI38" s="58"/>
      <c r="BJ38" s="58"/>
      <c r="BK38" s="58"/>
      <c r="BL38" s="58"/>
      <c r="BM38" s="58"/>
      <c r="BN38" s="58"/>
      <c r="BO38" s="58"/>
      <c r="BP38" s="58"/>
      <c r="BQ38" s="58"/>
      <c r="BR38" s="58" t="s">
        <v>3469</v>
      </c>
      <c r="BS38" s="58"/>
      <c r="BT38" s="58" t="s">
        <v>878</v>
      </c>
      <c r="BU38" s="58" t="s">
        <v>1017</v>
      </c>
      <c r="BV38" s="58" t="s">
        <v>878</v>
      </c>
      <c r="BW38" s="58" t="s">
        <v>1017</v>
      </c>
      <c r="BX38" s="58"/>
    </row>
    <row r="39" spans="1:76" ht="15" customHeight="1" x14ac:dyDescent="0.25">
      <c r="A39" s="61" t="str">
        <f t="shared" si="0"/>
        <v>092308009465</v>
      </c>
      <c r="B39" s="58">
        <v>37</v>
      </c>
      <c r="C39" s="58"/>
      <c r="D39" s="58"/>
      <c r="E39" s="58"/>
      <c r="F39" s="58" t="s">
        <v>1027</v>
      </c>
      <c r="G39" s="58" t="s">
        <v>32</v>
      </c>
      <c r="H39" s="58" t="s">
        <v>1023</v>
      </c>
      <c r="I39" s="58" t="s">
        <v>989</v>
      </c>
      <c r="J39" s="58" t="s">
        <v>2908</v>
      </c>
      <c r="K39" s="58" t="s">
        <v>278</v>
      </c>
      <c r="L39" s="58" t="s">
        <v>1025</v>
      </c>
      <c r="M39" s="58" t="s">
        <v>1024</v>
      </c>
      <c r="N39" s="58" t="s">
        <v>1870</v>
      </c>
      <c r="O39" s="58" t="s">
        <v>3470</v>
      </c>
      <c r="P39" s="58" t="s">
        <v>376</v>
      </c>
      <c r="Q39" s="58"/>
      <c r="R39" s="58"/>
      <c r="S39" s="58"/>
      <c r="T39" s="58"/>
      <c r="U39" s="58"/>
      <c r="V39" s="58"/>
      <c r="W39" s="58"/>
      <c r="X39" s="59"/>
      <c r="Y39" s="59"/>
      <c r="Z39" s="58"/>
      <c r="AA39" s="58"/>
      <c r="AB39" s="58"/>
      <c r="AC39" s="58"/>
      <c r="AD39" s="58">
        <v>2026</v>
      </c>
      <c r="AE39" s="58"/>
      <c r="AF39" s="58"/>
      <c r="AG39" s="58" t="s">
        <v>3296</v>
      </c>
      <c r="AH39" s="58" t="s">
        <v>3296</v>
      </c>
      <c r="AI39" s="58"/>
      <c r="AJ39" s="58"/>
      <c r="AK39" s="58"/>
      <c r="AL39" s="58"/>
      <c r="AM39" s="58"/>
      <c r="AN39" s="58" t="s">
        <v>1870</v>
      </c>
      <c r="AO39" s="60" t="s">
        <v>1028</v>
      </c>
      <c r="AP39" s="60" t="s">
        <v>1029</v>
      </c>
      <c r="AQ39" s="58" t="s">
        <v>3471</v>
      </c>
      <c r="AR39" s="58" t="s">
        <v>288</v>
      </c>
      <c r="AS39" s="58" t="s">
        <v>3315</v>
      </c>
      <c r="AT39" s="58" t="s">
        <v>3472</v>
      </c>
      <c r="AU39" s="58" t="s">
        <v>3349</v>
      </c>
      <c r="AV39" s="58" t="s">
        <v>3344</v>
      </c>
      <c r="AW39" s="58"/>
      <c r="AX39" s="58"/>
      <c r="AY39" s="58" t="s">
        <v>3473</v>
      </c>
      <c r="AZ39" s="58"/>
      <c r="BA39" s="58"/>
      <c r="BB39" s="58" t="s">
        <v>3303</v>
      </c>
      <c r="BC39" s="58" t="s">
        <v>3304</v>
      </c>
      <c r="BD39" s="58"/>
      <c r="BE39" s="58"/>
      <c r="BF39" s="58"/>
      <c r="BG39" s="58"/>
      <c r="BH39" s="58"/>
      <c r="BI39" s="58"/>
      <c r="BJ39" s="58"/>
      <c r="BK39" s="58"/>
      <c r="BL39" s="58"/>
      <c r="BM39" s="58"/>
      <c r="BN39" s="58"/>
      <c r="BO39" s="58"/>
      <c r="BP39" s="58"/>
      <c r="BQ39" s="58"/>
      <c r="BR39" s="58" t="s">
        <v>633</v>
      </c>
      <c r="BS39" s="58"/>
      <c r="BT39" s="58" t="s">
        <v>1870</v>
      </c>
      <c r="BU39" s="58" t="s">
        <v>1028</v>
      </c>
      <c r="BV39" s="58" t="s">
        <v>1870</v>
      </c>
      <c r="BW39" s="58" t="s">
        <v>1028</v>
      </c>
      <c r="BX39" s="58"/>
    </row>
    <row r="40" spans="1:76" ht="15" customHeight="1" x14ac:dyDescent="0.25">
      <c r="A40" s="61" t="str">
        <f t="shared" si="0"/>
        <v>079308035195</v>
      </c>
      <c r="B40" s="58">
        <v>38</v>
      </c>
      <c r="C40" s="58"/>
      <c r="D40" s="58"/>
      <c r="E40" s="58"/>
      <c r="F40" s="58" t="s">
        <v>1039</v>
      </c>
      <c r="G40" s="58" t="s">
        <v>95</v>
      </c>
      <c r="H40" s="58" t="s">
        <v>1034</v>
      </c>
      <c r="I40" s="58" t="s">
        <v>1035</v>
      </c>
      <c r="J40" s="58" t="s">
        <v>2908</v>
      </c>
      <c r="K40" s="58" t="s">
        <v>278</v>
      </c>
      <c r="L40" s="58" t="s">
        <v>1037</v>
      </c>
      <c r="M40" s="58" t="s">
        <v>1036</v>
      </c>
      <c r="N40" s="58" t="s">
        <v>1709</v>
      </c>
      <c r="O40" s="58" t="s">
        <v>3474</v>
      </c>
      <c r="P40" s="58" t="s">
        <v>376</v>
      </c>
      <c r="Q40" s="58"/>
      <c r="R40" s="58"/>
      <c r="S40" s="58"/>
      <c r="T40" s="58"/>
      <c r="U40" s="58"/>
      <c r="V40" s="58"/>
      <c r="W40" s="58"/>
      <c r="X40" s="59"/>
      <c r="Y40" s="59"/>
      <c r="Z40" s="58"/>
      <c r="AA40" s="58"/>
      <c r="AB40" s="58"/>
      <c r="AC40" s="58"/>
      <c r="AD40" s="58">
        <v>2026</v>
      </c>
      <c r="AE40" s="58"/>
      <c r="AF40" s="58"/>
      <c r="AG40" s="58" t="s">
        <v>3296</v>
      </c>
      <c r="AH40" s="58" t="s">
        <v>3296</v>
      </c>
      <c r="AI40" s="58"/>
      <c r="AJ40" s="58"/>
      <c r="AK40" s="58"/>
      <c r="AL40" s="58"/>
      <c r="AM40" s="58"/>
      <c r="AN40" s="58" t="s">
        <v>1709</v>
      </c>
      <c r="AO40" s="60" t="s">
        <v>439</v>
      </c>
      <c r="AP40" s="60" t="s">
        <v>1040</v>
      </c>
      <c r="AQ40" s="58" t="s">
        <v>3475</v>
      </c>
      <c r="AR40" s="58" t="s">
        <v>288</v>
      </c>
      <c r="AS40" s="58" t="s">
        <v>3400</v>
      </c>
      <c r="AT40" s="58" t="s">
        <v>3476</v>
      </c>
      <c r="AU40" s="58" t="s">
        <v>3333</v>
      </c>
      <c r="AV40" s="58" t="s">
        <v>3332</v>
      </c>
      <c r="AW40" s="58" t="s">
        <v>3428</v>
      </c>
      <c r="AX40" s="58"/>
      <c r="AY40" s="58"/>
      <c r="AZ40" s="58"/>
      <c r="BA40" s="58"/>
      <c r="BB40" s="58" t="s">
        <v>3303</v>
      </c>
      <c r="BC40" s="58" t="s">
        <v>3304</v>
      </c>
      <c r="BD40" s="58"/>
      <c r="BE40" s="58"/>
      <c r="BF40" s="58"/>
      <c r="BG40" s="58"/>
      <c r="BH40" s="58"/>
      <c r="BI40" s="58"/>
      <c r="BJ40" s="58"/>
      <c r="BK40" s="58"/>
      <c r="BL40" s="58"/>
      <c r="BM40" s="58"/>
      <c r="BN40" s="58"/>
      <c r="BO40" s="58"/>
      <c r="BP40" s="58"/>
      <c r="BQ40" s="58"/>
      <c r="BR40" s="58" t="s">
        <v>3477</v>
      </c>
      <c r="BS40" s="58"/>
      <c r="BT40" s="58" t="s">
        <v>1709</v>
      </c>
      <c r="BU40" s="58" t="s">
        <v>439</v>
      </c>
      <c r="BV40" s="58" t="s">
        <v>1709</v>
      </c>
      <c r="BW40" s="58" t="s">
        <v>439</v>
      </c>
      <c r="BX40" s="58"/>
    </row>
    <row r="41" spans="1:76" ht="15" customHeight="1" x14ac:dyDescent="0.25">
      <c r="A41" s="61" t="str">
        <f t="shared" si="0"/>
        <v>046206005798</v>
      </c>
      <c r="B41" s="58">
        <v>39</v>
      </c>
      <c r="C41" s="58"/>
      <c r="D41" s="58"/>
      <c r="E41" s="58"/>
      <c r="F41" s="58" t="s">
        <v>1050</v>
      </c>
      <c r="G41" s="58" t="s">
        <v>112</v>
      </c>
      <c r="H41" s="58" t="s">
        <v>1045</v>
      </c>
      <c r="I41" s="58" t="s">
        <v>1046</v>
      </c>
      <c r="J41" s="58" t="s">
        <v>2909</v>
      </c>
      <c r="K41" s="58" t="s">
        <v>278</v>
      </c>
      <c r="L41" s="58" t="s">
        <v>1048</v>
      </c>
      <c r="M41" s="58" t="s">
        <v>3478</v>
      </c>
      <c r="N41" s="58" t="s">
        <v>1238</v>
      </c>
      <c r="O41" s="58" t="s">
        <v>3479</v>
      </c>
      <c r="P41" s="58" t="s">
        <v>3295</v>
      </c>
      <c r="Q41" s="58"/>
      <c r="R41" s="58"/>
      <c r="S41" s="58"/>
      <c r="T41" s="58"/>
      <c r="U41" s="58"/>
      <c r="V41" s="58"/>
      <c r="W41" s="58"/>
      <c r="X41" s="59"/>
      <c r="Y41" s="59"/>
      <c r="Z41" s="58"/>
      <c r="AA41" s="58"/>
      <c r="AB41" s="58"/>
      <c r="AC41" s="58"/>
      <c r="AD41" s="58">
        <v>2026</v>
      </c>
      <c r="AE41" s="58"/>
      <c r="AF41" s="58"/>
      <c r="AG41" s="58" t="s">
        <v>3296</v>
      </c>
      <c r="AH41" s="58" t="s">
        <v>3296</v>
      </c>
      <c r="AI41" s="58"/>
      <c r="AJ41" s="58"/>
      <c r="AK41" s="58"/>
      <c r="AL41" s="58"/>
      <c r="AM41" s="58"/>
      <c r="AN41" s="58" t="s">
        <v>1238</v>
      </c>
      <c r="AO41" s="60" t="s">
        <v>1054</v>
      </c>
      <c r="AP41" s="60" t="s">
        <v>1053</v>
      </c>
      <c r="AQ41" s="58" t="s">
        <v>3480</v>
      </c>
      <c r="AR41" s="58" t="s">
        <v>288</v>
      </c>
      <c r="AS41" s="58" t="s">
        <v>3481</v>
      </c>
      <c r="AT41" s="58" t="s">
        <v>3482</v>
      </c>
      <c r="AU41" s="58" t="s">
        <v>3368</v>
      </c>
      <c r="AV41" s="58" t="s">
        <v>3317</v>
      </c>
      <c r="AW41" s="58" t="s">
        <v>3332</v>
      </c>
      <c r="AX41" s="58"/>
      <c r="AY41" s="58"/>
      <c r="AZ41" s="58"/>
      <c r="BA41" s="58"/>
      <c r="BB41" s="58" t="s">
        <v>3384</v>
      </c>
      <c r="BC41" s="58" t="s">
        <v>3304</v>
      </c>
      <c r="BD41" s="58"/>
      <c r="BE41" s="58"/>
      <c r="BF41" s="58"/>
      <c r="BG41" s="58"/>
      <c r="BH41" s="58"/>
      <c r="BI41" s="58"/>
      <c r="BJ41" s="58"/>
      <c r="BK41" s="58"/>
      <c r="BL41" s="58"/>
      <c r="BM41" s="58"/>
      <c r="BN41" s="58"/>
      <c r="BO41" s="58"/>
      <c r="BP41" s="58"/>
      <c r="BQ41" s="58"/>
      <c r="BR41" s="58" t="s">
        <v>1165</v>
      </c>
      <c r="BS41" s="58"/>
      <c r="BT41" s="58" t="s">
        <v>1238</v>
      </c>
      <c r="BU41" s="58" t="s">
        <v>1052</v>
      </c>
      <c r="BV41" s="58" t="s">
        <v>1238</v>
      </c>
      <c r="BW41" s="58" t="s">
        <v>1052</v>
      </c>
      <c r="BX41" s="58"/>
    </row>
    <row r="42" spans="1:76" ht="15" customHeight="1" x14ac:dyDescent="0.25">
      <c r="A42" s="61" t="str">
        <f t="shared" si="0"/>
        <v>083308010347</v>
      </c>
      <c r="B42" s="58">
        <v>40</v>
      </c>
      <c r="C42" s="58"/>
      <c r="D42" s="58"/>
      <c r="E42" s="58"/>
      <c r="F42" s="58" t="s">
        <v>1067</v>
      </c>
      <c r="G42" s="58" t="s">
        <v>77</v>
      </c>
      <c r="H42" s="58" t="s">
        <v>1062</v>
      </c>
      <c r="I42" s="58" t="s">
        <v>1063</v>
      </c>
      <c r="J42" s="58" t="s">
        <v>2908</v>
      </c>
      <c r="K42" s="58" t="s">
        <v>278</v>
      </c>
      <c r="L42" s="58" t="s">
        <v>1065</v>
      </c>
      <c r="M42" s="58" t="s">
        <v>1064</v>
      </c>
      <c r="N42" s="58" t="s">
        <v>1851</v>
      </c>
      <c r="O42" s="58" t="s">
        <v>3483</v>
      </c>
      <c r="P42" s="58" t="s">
        <v>3295</v>
      </c>
      <c r="Q42" s="58"/>
      <c r="R42" s="58"/>
      <c r="S42" s="58"/>
      <c r="T42" s="58"/>
      <c r="U42" s="58"/>
      <c r="V42" s="58"/>
      <c r="W42" s="58"/>
      <c r="X42" s="59"/>
      <c r="Y42" s="59"/>
      <c r="Z42" s="58"/>
      <c r="AA42" s="58"/>
      <c r="AB42" s="58"/>
      <c r="AC42" s="58"/>
      <c r="AD42" s="58">
        <v>2026</v>
      </c>
      <c r="AE42" s="58"/>
      <c r="AF42" s="58"/>
      <c r="AG42" s="58" t="s">
        <v>3296</v>
      </c>
      <c r="AH42" s="58" t="s">
        <v>3296</v>
      </c>
      <c r="AI42" s="58"/>
      <c r="AJ42" s="58"/>
      <c r="AK42" s="58"/>
      <c r="AL42" s="58"/>
      <c r="AM42" s="58"/>
      <c r="AN42" s="58" t="s">
        <v>1851</v>
      </c>
      <c r="AO42" s="60" t="s">
        <v>1068</v>
      </c>
      <c r="AP42" s="60" t="s">
        <v>1069</v>
      </c>
      <c r="AQ42" s="58" t="s">
        <v>3484</v>
      </c>
      <c r="AR42" s="58" t="s">
        <v>288</v>
      </c>
      <c r="AS42" s="58" t="s">
        <v>3330</v>
      </c>
      <c r="AT42" s="58" t="s">
        <v>3485</v>
      </c>
      <c r="AU42" s="58" t="s">
        <v>3340</v>
      </c>
      <c r="AV42" s="58" t="s">
        <v>3326</v>
      </c>
      <c r="AW42" s="58" t="s">
        <v>3325</v>
      </c>
      <c r="AX42" s="58"/>
      <c r="AY42" s="58"/>
      <c r="AZ42" s="58"/>
      <c r="BA42" s="58"/>
      <c r="BB42" s="58" t="s">
        <v>3384</v>
      </c>
      <c r="BC42" s="58" t="s">
        <v>3304</v>
      </c>
      <c r="BD42" s="58"/>
      <c r="BE42" s="58"/>
      <c r="BF42" s="58"/>
      <c r="BG42" s="58"/>
      <c r="BH42" s="58"/>
      <c r="BI42" s="58"/>
      <c r="BJ42" s="58"/>
      <c r="BK42" s="58"/>
      <c r="BL42" s="58"/>
      <c r="BM42" s="58"/>
      <c r="BN42" s="58"/>
      <c r="BO42" s="58"/>
      <c r="BP42" s="58"/>
      <c r="BQ42" s="58"/>
      <c r="BR42" s="58" t="s">
        <v>1908</v>
      </c>
      <c r="BS42" s="58"/>
      <c r="BT42" s="58" t="s">
        <v>1851</v>
      </c>
      <c r="BU42" s="58" t="s">
        <v>1068</v>
      </c>
      <c r="BV42" s="58" t="s">
        <v>1851</v>
      </c>
      <c r="BW42" s="58" t="s">
        <v>1068</v>
      </c>
      <c r="BX42" s="58"/>
    </row>
    <row r="43" spans="1:76" ht="15" customHeight="1" x14ac:dyDescent="0.25">
      <c r="A43" s="61" t="str">
        <f t="shared" si="0"/>
        <v>095208003828</v>
      </c>
      <c r="B43" s="58">
        <v>41</v>
      </c>
      <c r="C43" s="58"/>
      <c r="D43" s="58"/>
      <c r="E43" s="58"/>
      <c r="F43" s="58" t="s">
        <v>1078</v>
      </c>
      <c r="G43" s="58" t="s">
        <v>27</v>
      </c>
      <c r="H43" s="58" t="s">
        <v>1074</v>
      </c>
      <c r="I43" s="58" t="s">
        <v>493</v>
      </c>
      <c r="J43" s="58" t="s">
        <v>2909</v>
      </c>
      <c r="K43" s="58" t="s">
        <v>278</v>
      </c>
      <c r="L43" s="58" t="s">
        <v>1076</v>
      </c>
      <c r="M43" s="58" t="s">
        <v>1075</v>
      </c>
      <c r="N43" s="58" t="s">
        <v>799</v>
      </c>
      <c r="O43" s="58" t="s">
        <v>3486</v>
      </c>
      <c r="P43" s="58" t="s">
        <v>3295</v>
      </c>
      <c r="Q43" s="58"/>
      <c r="R43" s="58"/>
      <c r="S43" s="58"/>
      <c r="T43" s="58"/>
      <c r="U43" s="58"/>
      <c r="V43" s="58"/>
      <c r="W43" s="58"/>
      <c r="X43" s="59"/>
      <c r="Y43" s="59"/>
      <c r="Z43" s="58"/>
      <c r="AA43" s="58"/>
      <c r="AB43" s="58"/>
      <c r="AC43" s="58"/>
      <c r="AD43" s="58">
        <v>2026</v>
      </c>
      <c r="AE43" s="58"/>
      <c r="AF43" s="58"/>
      <c r="AG43" s="58" t="s">
        <v>3313</v>
      </c>
      <c r="AH43" s="58" t="s">
        <v>3296</v>
      </c>
      <c r="AI43" s="58"/>
      <c r="AJ43" s="58"/>
      <c r="AK43" s="58"/>
      <c r="AL43" s="58"/>
      <c r="AM43" s="58"/>
      <c r="AN43" s="58" t="s">
        <v>799</v>
      </c>
      <c r="AO43" s="60" t="s">
        <v>1028</v>
      </c>
      <c r="AP43" s="60" t="s">
        <v>1082</v>
      </c>
      <c r="AQ43" s="58" t="s">
        <v>3487</v>
      </c>
      <c r="AR43" s="58" t="s">
        <v>288</v>
      </c>
      <c r="AS43" s="58" t="s">
        <v>3371</v>
      </c>
      <c r="AT43" s="58" t="s">
        <v>3488</v>
      </c>
      <c r="AU43" s="58" t="s">
        <v>3311</v>
      </c>
      <c r="AV43" s="58" t="s">
        <v>3311</v>
      </c>
      <c r="AW43" s="58" t="s">
        <v>3361</v>
      </c>
      <c r="AX43" s="58" t="s">
        <v>3303</v>
      </c>
      <c r="AY43" s="58"/>
      <c r="AZ43" s="58"/>
      <c r="BA43" s="58"/>
      <c r="BB43" s="58"/>
      <c r="BC43" s="58"/>
      <c r="BD43" s="58"/>
      <c r="BE43" s="58"/>
      <c r="BF43" s="58"/>
      <c r="BG43" s="58"/>
      <c r="BH43" s="58"/>
      <c r="BI43" s="58"/>
      <c r="BJ43" s="58"/>
      <c r="BK43" s="58"/>
      <c r="BL43" s="58"/>
      <c r="BM43" s="58"/>
      <c r="BN43" s="58"/>
      <c r="BO43" s="58"/>
      <c r="BP43" s="58"/>
      <c r="BQ43" s="58"/>
      <c r="BR43" s="58" t="s">
        <v>3489</v>
      </c>
      <c r="BS43" s="58"/>
      <c r="BT43" s="58" t="s">
        <v>799</v>
      </c>
      <c r="BU43" s="58" t="s">
        <v>1028</v>
      </c>
      <c r="BV43" s="58" t="s">
        <v>799</v>
      </c>
      <c r="BW43" s="58" t="s">
        <v>1028</v>
      </c>
      <c r="BX43" s="58"/>
    </row>
    <row r="44" spans="1:76" ht="15" customHeight="1" x14ac:dyDescent="0.25">
      <c r="A44" s="61" t="str">
        <f t="shared" si="0"/>
        <v>082208016209</v>
      </c>
      <c r="B44" s="58">
        <v>42</v>
      </c>
      <c r="C44" s="58"/>
      <c r="D44" s="58"/>
      <c r="E44" s="58"/>
      <c r="F44" s="58" t="s">
        <v>3490</v>
      </c>
      <c r="G44" s="58" t="s">
        <v>87</v>
      </c>
      <c r="H44" s="58" t="s">
        <v>1090</v>
      </c>
      <c r="I44" s="58" t="s">
        <v>1091</v>
      </c>
      <c r="J44" s="58" t="s">
        <v>2909</v>
      </c>
      <c r="K44" s="58" t="s">
        <v>278</v>
      </c>
      <c r="L44" s="58" t="s">
        <v>3491</v>
      </c>
      <c r="M44" s="58" t="s">
        <v>3492</v>
      </c>
      <c r="N44" s="58" t="s">
        <v>1822</v>
      </c>
      <c r="O44" s="58" t="s">
        <v>3493</v>
      </c>
      <c r="P44" s="58" t="s">
        <v>376</v>
      </c>
      <c r="Q44" s="58"/>
      <c r="R44" s="58"/>
      <c r="S44" s="58"/>
      <c r="T44" s="58"/>
      <c r="U44" s="58"/>
      <c r="V44" s="58"/>
      <c r="W44" s="58"/>
      <c r="X44" s="59"/>
      <c r="Y44" s="59"/>
      <c r="Z44" s="58"/>
      <c r="AA44" s="58"/>
      <c r="AB44" s="58"/>
      <c r="AC44" s="58"/>
      <c r="AD44" s="58">
        <v>2026</v>
      </c>
      <c r="AE44" s="58"/>
      <c r="AF44" s="58"/>
      <c r="AG44" s="58" t="s">
        <v>3313</v>
      </c>
      <c r="AH44" s="58" t="s">
        <v>3296</v>
      </c>
      <c r="AI44" s="58"/>
      <c r="AJ44" s="58"/>
      <c r="AK44" s="58"/>
      <c r="AL44" s="58"/>
      <c r="AM44" s="58"/>
      <c r="AN44" s="58" t="s">
        <v>1822</v>
      </c>
      <c r="AO44" s="60" t="s">
        <v>1098</v>
      </c>
      <c r="AP44" s="60" t="s">
        <v>1099</v>
      </c>
      <c r="AQ44" s="58" t="s">
        <v>3494</v>
      </c>
      <c r="AR44" s="58" t="s">
        <v>288</v>
      </c>
      <c r="AS44" s="58" t="s">
        <v>3298</v>
      </c>
      <c r="AT44" s="58" t="s">
        <v>3495</v>
      </c>
      <c r="AU44" s="58" t="s">
        <v>3349</v>
      </c>
      <c r="AV44" s="58" t="s">
        <v>3301</v>
      </c>
      <c r="AW44" s="58"/>
      <c r="AX44" s="58" t="s">
        <v>3425</v>
      </c>
      <c r="AY44" s="58"/>
      <c r="AZ44" s="58"/>
      <c r="BA44" s="58"/>
      <c r="BB44" s="58" t="s">
        <v>3326</v>
      </c>
      <c r="BC44" s="58" t="s">
        <v>3304</v>
      </c>
      <c r="BD44" s="58"/>
      <c r="BE44" s="58"/>
      <c r="BF44" s="58"/>
      <c r="BG44" s="58"/>
      <c r="BH44" s="58"/>
      <c r="BI44" s="58"/>
      <c r="BJ44" s="58"/>
      <c r="BK44" s="58"/>
      <c r="BL44" s="58"/>
      <c r="BM44" s="58"/>
      <c r="BN44" s="58"/>
      <c r="BO44" s="58"/>
      <c r="BP44" s="58"/>
      <c r="BQ44" s="58"/>
      <c r="BR44" s="58" t="s">
        <v>1459</v>
      </c>
      <c r="BS44" s="58"/>
      <c r="BT44" s="58" t="s">
        <v>1822</v>
      </c>
      <c r="BU44" s="58" t="s">
        <v>1098</v>
      </c>
      <c r="BV44" s="58" t="s">
        <v>1822</v>
      </c>
      <c r="BW44" s="58" t="s">
        <v>1098</v>
      </c>
      <c r="BX44" s="58"/>
    </row>
    <row r="45" spans="1:76" ht="15" customHeight="1" x14ac:dyDescent="0.25">
      <c r="A45" s="61" t="str">
        <f t="shared" si="0"/>
        <v>082307008212</v>
      </c>
      <c r="B45" s="58">
        <v>43</v>
      </c>
      <c r="C45" s="58"/>
      <c r="D45" s="58"/>
      <c r="E45" s="58"/>
      <c r="F45" s="58" t="s">
        <v>1110</v>
      </c>
      <c r="G45" s="58" t="s">
        <v>86</v>
      </c>
      <c r="H45" s="58" t="s">
        <v>1105</v>
      </c>
      <c r="I45" s="58" t="s">
        <v>1106</v>
      </c>
      <c r="J45" s="58" t="s">
        <v>2908</v>
      </c>
      <c r="K45" s="58" t="s">
        <v>278</v>
      </c>
      <c r="L45" s="58" t="s">
        <v>1108</v>
      </c>
      <c r="M45" s="58" t="s">
        <v>1107</v>
      </c>
      <c r="N45" s="58" t="s">
        <v>1822</v>
      </c>
      <c r="O45" s="58" t="s">
        <v>3496</v>
      </c>
      <c r="P45" s="58" t="s">
        <v>376</v>
      </c>
      <c r="Q45" s="58"/>
      <c r="R45" s="58"/>
      <c r="S45" s="58"/>
      <c r="T45" s="58"/>
      <c r="U45" s="58"/>
      <c r="V45" s="58"/>
      <c r="W45" s="58"/>
      <c r="X45" s="59"/>
      <c r="Y45" s="59"/>
      <c r="Z45" s="58"/>
      <c r="AA45" s="58"/>
      <c r="AB45" s="58"/>
      <c r="AC45" s="58"/>
      <c r="AD45" s="58">
        <v>2025</v>
      </c>
      <c r="AE45" s="58"/>
      <c r="AF45" s="58"/>
      <c r="AG45" s="58" t="s">
        <v>3296</v>
      </c>
      <c r="AH45" s="58" t="s">
        <v>3296</v>
      </c>
      <c r="AI45" s="58"/>
      <c r="AJ45" s="58"/>
      <c r="AK45" s="58"/>
      <c r="AL45" s="58"/>
      <c r="AM45" s="58"/>
      <c r="AN45" s="58" t="s">
        <v>1822</v>
      </c>
      <c r="AO45" s="60" t="s">
        <v>1117</v>
      </c>
      <c r="AP45" s="60" t="s">
        <v>1118</v>
      </c>
      <c r="AQ45" s="58" t="s">
        <v>3497</v>
      </c>
      <c r="AR45" s="58" t="s">
        <v>288</v>
      </c>
      <c r="AS45" s="58" t="s">
        <v>3298</v>
      </c>
      <c r="AT45" s="58" t="s">
        <v>3498</v>
      </c>
      <c r="AU45" s="58" t="s">
        <v>3326</v>
      </c>
      <c r="AV45" s="58" t="s">
        <v>3324</v>
      </c>
      <c r="AW45" s="58"/>
      <c r="AX45" s="58"/>
      <c r="AY45" s="58"/>
      <c r="AZ45" s="58" t="s">
        <v>3368</v>
      </c>
      <c r="BA45" s="58"/>
      <c r="BB45" s="58" t="s">
        <v>3376</v>
      </c>
      <c r="BC45" s="58" t="s">
        <v>3304</v>
      </c>
      <c r="BD45" s="58"/>
      <c r="BE45" s="58"/>
      <c r="BF45" s="58"/>
      <c r="BG45" s="58"/>
      <c r="BH45" s="58"/>
      <c r="BI45" s="58"/>
      <c r="BJ45" s="58"/>
      <c r="BK45" s="58"/>
      <c r="BL45" s="58"/>
      <c r="BM45" s="58"/>
      <c r="BN45" s="58"/>
      <c r="BO45" s="58"/>
      <c r="BP45" s="58"/>
      <c r="BQ45" s="58"/>
      <c r="BR45" s="58"/>
      <c r="BS45" s="58"/>
      <c r="BT45" s="58" t="s">
        <v>1822</v>
      </c>
      <c r="BU45" s="58" t="s">
        <v>1117</v>
      </c>
      <c r="BV45" s="58" t="s">
        <v>1822</v>
      </c>
      <c r="BW45" s="58" t="s">
        <v>1117</v>
      </c>
      <c r="BX45" s="58"/>
    </row>
    <row r="46" spans="1:76" ht="15" customHeight="1" x14ac:dyDescent="0.25">
      <c r="A46" s="61" t="str">
        <f t="shared" si="0"/>
        <v>086208011841</v>
      </c>
      <c r="B46" s="58">
        <v>44</v>
      </c>
      <c r="C46" s="58"/>
      <c r="D46" s="58"/>
      <c r="E46" s="58"/>
      <c r="F46" s="58" t="s">
        <v>1130</v>
      </c>
      <c r="G46" s="58" t="s">
        <v>65</v>
      </c>
      <c r="H46" s="58" t="s">
        <v>1126</v>
      </c>
      <c r="I46" s="58" t="s">
        <v>338</v>
      </c>
      <c r="J46" s="58" t="s">
        <v>2909</v>
      </c>
      <c r="K46" s="58" t="s">
        <v>278</v>
      </c>
      <c r="L46" s="58" t="s">
        <v>3499</v>
      </c>
      <c r="M46" s="58" t="s">
        <v>3500</v>
      </c>
      <c r="N46" s="58" t="s">
        <v>1851</v>
      </c>
      <c r="O46" s="58" t="s">
        <v>3501</v>
      </c>
      <c r="P46" s="58" t="s">
        <v>278</v>
      </c>
      <c r="Q46" s="58"/>
      <c r="R46" s="58"/>
      <c r="S46" s="58"/>
      <c r="T46" s="58"/>
      <c r="U46" s="58"/>
      <c r="V46" s="58"/>
      <c r="W46" s="58"/>
      <c r="X46" s="59"/>
      <c r="Y46" s="59"/>
      <c r="Z46" s="58"/>
      <c r="AA46" s="58"/>
      <c r="AB46" s="58"/>
      <c r="AC46" s="58"/>
      <c r="AD46" s="58">
        <v>2026</v>
      </c>
      <c r="AE46" s="58"/>
      <c r="AF46" s="58"/>
      <c r="AG46" s="58" t="s">
        <v>3296</v>
      </c>
      <c r="AH46" s="58" t="s">
        <v>3296</v>
      </c>
      <c r="AI46" s="58"/>
      <c r="AJ46" s="58"/>
      <c r="AK46" s="58"/>
      <c r="AL46" s="58"/>
      <c r="AM46" s="58"/>
      <c r="AN46" s="58" t="s">
        <v>1851</v>
      </c>
      <c r="AO46" s="60" t="s">
        <v>1131</v>
      </c>
      <c r="AP46" s="60" t="s">
        <v>1132</v>
      </c>
      <c r="AQ46" s="58" t="s">
        <v>3502</v>
      </c>
      <c r="AR46" s="58" t="s">
        <v>288</v>
      </c>
      <c r="AS46" s="58" t="s">
        <v>3330</v>
      </c>
      <c r="AT46" s="58" t="s">
        <v>3503</v>
      </c>
      <c r="AU46" s="58" t="s">
        <v>3368</v>
      </c>
      <c r="AV46" s="58" t="s">
        <v>3395</v>
      </c>
      <c r="AW46" s="58" t="s">
        <v>3300</v>
      </c>
      <c r="AX46" s="58" t="s">
        <v>3504</v>
      </c>
      <c r="AY46" s="58"/>
      <c r="AZ46" s="58"/>
      <c r="BA46" s="58"/>
      <c r="BB46" s="58"/>
      <c r="BC46" s="58"/>
      <c r="BD46" s="58"/>
      <c r="BE46" s="58"/>
      <c r="BF46" s="58"/>
      <c r="BG46" s="58"/>
      <c r="BH46" s="58"/>
      <c r="BI46" s="58"/>
      <c r="BJ46" s="58"/>
      <c r="BK46" s="58"/>
      <c r="BL46" s="58"/>
      <c r="BM46" s="58"/>
      <c r="BN46" s="58"/>
      <c r="BO46" s="58"/>
      <c r="BP46" s="58"/>
      <c r="BQ46" s="58"/>
      <c r="BR46" s="58" t="s">
        <v>3505</v>
      </c>
      <c r="BS46" s="58"/>
      <c r="BT46" s="58" t="s">
        <v>1851</v>
      </c>
      <c r="BU46" s="58" t="s">
        <v>1131</v>
      </c>
      <c r="BV46" s="58" t="s">
        <v>1851</v>
      </c>
      <c r="BW46" s="58" t="s">
        <v>1131</v>
      </c>
      <c r="BX46" s="58"/>
    </row>
    <row r="47" spans="1:76" ht="15" customHeight="1" x14ac:dyDescent="0.25">
      <c r="A47" s="61" t="str">
        <f t="shared" si="0"/>
        <v>095208002435</v>
      </c>
      <c r="B47" s="58">
        <v>45</v>
      </c>
      <c r="C47" s="58"/>
      <c r="D47" s="58"/>
      <c r="E47" s="58"/>
      <c r="F47" s="58" t="s">
        <v>1142</v>
      </c>
      <c r="G47" s="58" t="s">
        <v>28</v>
      </c>
      <c r="H47" s="58" t="s">
        <v>1137</v>
      </c>
      <c r="I47" s="58" t="s">
        <v>1138</v>
      </c>
      <c r="J47" s="58" t="s">
        <v>2909</v>
      </c>
      <c r="K47" s="58" t="s">
        <v>278</v>
      </c>
      <c r="L47" s="58" t="s">
        <v>1140</v>
      </c>
      <c r="M47" s="58" t="s">
        <v>1139</v>
      </c>
      <c r="N47" s="58" t="s">
        <v>1933</v>
      </c>
      <c r="O47" s="58" t="s">
        <v>3404</v>
      </c>
      <c r="P47" s="58" t="s">
        <v>376</v>
      </c>
      <c r="Q47" s="58"/>
      <c r="R47" s="58"/>
      <c r="S47" s="58"/>
      <c r="T47" s="58"/>
      <c r="U47" s="58"/>
      <c r="V47" s="58"/>
      <c r="W47" s="58"/>
      <c r="X47" s="59"/>
      <c r="Y47" s="59"/>
      <c r="Z47" s="58"/>
      <c r="AA47" s="58"/>
      <c r="AB47" s="58"/>
      <c r="AC47" s="58"/>
      <c r="AD47" s="58">
        <v>2026</v>
      </c>
      <c r="AE47" s="58"/>
      <c r="AF47" s="58"/>
      <c r="AG47" s="58" t="s">
        <v>3296</v>
      </c>
      <c r="AH47" s="58" t="s">
        <v>3296</v>
      </c>
      <c r="AI47" s="58"/>
      <c r="AJ47" s="58"/>
      <c r="AK47" s="58"/>
      <c r="AL47" s="58"/>
      <c r="AM47" s="58"/>
      <c r="AN47" s="58" t="s">
        <v>1933</v>
      </c>
      <c r="AO47" s="60" t="s">
        <v>1146</v>
      </c>
      <c r="AP47" s="60" t="s">
        <v>3506</v>
      </c>
      <c r="AQ47" s="58" t="s">
        <v>3507</v>
      </c>
      <c r="AR47" s="58" t="s">
        <v>288</v>
      </c>
      <c r="AS47" s="58" t="s">
        <v>3389</v>
      </c>
      <c r="AT47" s="58" t="s">
        <v>3407</v>
      </c>
      <c r="AU47" s="58" t="s">
        <v>3349</v>
      </c>
      <c r="AV47" s="58" t="s">
        <v>3333</v>
      </c>
      <c r="AW47" s="58" t="s">
        <v>3508</v>
      </c>
      <c r="AX47" s="58"/>
      <c r="AY47" s="58"/>
      <c r="AZ47" s="58"/>
      <c r="BA47" s="58"/>
      <c r="BB47" s="58" t="s">
        <v>3361</v>
      </c>
      <c r="BC47" s="58" t="s">
        <v>3304</v>
      </c>
      <c r="BD47" s="58"/>
      <c r="BE47" s="58"/>
      <c r="BF47" s="58"/>
      <c r="BG47" s="58"/>
      <c r="BH47" s="58"/>
      <c r="BI47" s="58"/>
      <c r="BJ47" s="58"/>
      <c r="BK47" s="58"/>
      <c r="BL47" s="58"/>
      <c r="BM47" s="58"/>
      <c r="BN47" s="58"/>
      <c r="BO47" s="58"/>
      <c r="BP47" s="58"/>
      <c r="BQ47" s="58"/>
      <c r="BR47" s="58" t="s">
        <v>3509</v>
      </c>
      <c r="BS47" s="58"/>
      <c r="BT47" s="58" t="s">
        <v>1933</v>
      </c>
      <c r="BU47" s="58" t="s">
        <v>3510</v>
      </c>
      <c r="BV47" s="58" t="s">
        <v>1933</v>
      </c>
      <c r="BW47" s="58" t="s">
        <v>3510</v>
      </c>
      <c r="BX47" s="58"/>
    </row>
    <row r="48" spans="1:76" ht="15" customHeight="1" x14ac:dyDescent="0.25">
      <c r="A48" s="61" t="str">
        <f t="shared" si="0"/>
        <v>042307010416</v>
      </c>
      <c r="B48" s="58">
        <v>46</v>
      </c>
      <c r="C48" s="58"/>
      <c r="D48" s="58"/>
      <c r="E48" s="58"/>
      <c r="F48" s="58" t="s">
        <v>1160</v>
      </c>
      <c r="G48" s="58" t="s">
        <v>113</v>
      </c>
      <c r="H48" s="58" t="s">
        <v>1155</v>
      </c>
      <c r="I48" s="58" t="s">
        <v>1156</v>
      </c>
      <c r="J48" s="58" t="s">
        <v>2908</v>
      </c>
      <c r="K48" s="58" t="s">
        <v>278</v>
      </c>
      <c r="L48" s="58" t="s">
        <v>1158</v>
      </c>
      <c r="M48" s="58" t="s">
        <v>1157</v>
      </c>
      <c r="N48" s="58" t="s">
        <v>1290</v>
      </c>
      <c r="O48" s="58" t="s">
        <v>3511</v>
      </c>
      <c r="P48" s="58" t="s">
        <v>3295</v>
      </c>
      <c r="Q48" s="58"/>
      <c r="R48" s="58"/>
      <c r="S48" s="58"/>
      <c r="T48" s="58"/>
      <c r="U48" s="58"/>
      <c r="V48" s="58"/>
      <c r="W48" s="58"/>
      <c r="X48" s="59"/>
      <c r="Y48" s="59"/>
      <c r="Z48" s="58"/>
      <c r="AA48" s="58"/>
      <c r="AB48" s="58"/>
      <c r="AC48" s="58"/>
      <c r="AD48" s="58">
        <v>2025</v>
      </c>
      <c r="AE48" s="58"/>
      <c r="AF48" s="58"/>
      <c r="AG48" s="58" t="s">
        <v>3296</v>
      </c>
      <c r="AH48" s="58" t="s">
        <v>3296</v>
      </c>
      <c r="AI48" s="58"/>
      <c r="AJ48" s="58"/>
      <c r="AK48" s="58"/>
      <c r="AL48" s="58"/>
      <c r="AM48" s="58"/>
      <c r="AN48" s="58" t="s">
        <v>1290</v>
      </c>
      <c r="AO48" s="60" t="s">
        <v>1162</v>
      </c>
      <c r="AP48" s="60" t="s">
        <v>1163</v>
      </c>
      <c r="AQ48" s="58" t="s">
        <v>3512</v>
      </c>
      <c r="AR48" s="58" t="s">
        <v>288</v>
      </c>
      <c r="AS48" s="58" t="s">
        <v>3513</v>
      </c>
      <c r="AT48" s="58" t="s">
        <v>3514</v>
      </c>
      <c r="AU48" s="58" t="s">
        <v>3325</v>
      </c>
      <c r="AV48" s="58" t="s">
        <v>3368</v>
      </c>
      <c r="AW48" s="58"/>
      <c r="AX48" s="58"/>
      <c r="AY48" s="58"/>
      <c r="AZ48" s="58"/>
      <c r="BA48" s="58"/>
      <c r="BB48" s="58" t="s">
        <v>3395</v>
      </c>
      <c r="BC48" s="58" t="s">
        <v>3304</v>
      </c>
      <c r="BD48" s="58"/>
      <c r="BE48" s="58"/>
      <c r="BF48" s="58"/>
      <c r="BG48" s="58"/>
      <c r="BH48" s="58"/>
      <c r="BI48" s="58"/>
      <c r="BJ48" s="58"/>
      <c r="BK48" s="58"/>
      <c r="BL48" s="58"/>
      <c r="BM48" s="58"/>
      <c r="BN48" s="58"/>
      <c r="BO48" s="58"/>
      <c r="BP48" s="58"/>
      <c r="BQ48" s="58"/>
      <c r="BR48" s="58"/>
      <c r="BS48" s="58"/>
      <c r="BT48" s="58" t="s">
        <v>1290</v>
      </c>
      <c r="BU48" s="58" t="s">
        <v>1162</v>
      </c>
      <c r="BV48" s="58" t="s">
        <v>1290</v>
      </c>
      <c r="BW48" s="58" t="s">
        <v>1162</v>
      </c>
      <c r="BX48" s="58"/>
    </row>
    <row r="49" spans="1:76" ht="15" customHeight="1" x14ac:dyDescent="0.25">
      <c r="A49" s="61" t="str">
        <f t="shared" si="0"/>
        <v>083308001521</v>
      </c>
      <c r="B49" s="58">
        <v>47</v>
      </c>
      <c r="C49" s="58"/>
      <c r="D49" s="58"/>
      <c r="E49" s="58"/>
      <c r="F49" s="58" t="s">
        <v>1176</v>
      </c>
      <c r="G49" s="58" t="s">
        <v>1174</v>
      </c>
      <c r="H49" s="58" t="s">
        <v>1170</v>
      </c>
      <c r="I49" s="58" t="s">
        <v>1171</v>
      </c>
      <c r="J49" s="58" t="s">
        <v>2908</v>
      </c>
      <c r="K49" s="58" t="s">
        <v>278</v>
      </c>
      <c r="L49" s="58" t="s">
        <v>1173</v>
      </c>
      <c r="M49" s="58" t="s">
        <v>1172</v>
      </c>
      <c r="N49" s="58" t="s">
        <v>1851</v>
      </c>
      <c r="O49" s="58" t="s">
        <v>3335</v>
      </c>
      <c r="P49" s="58" t="s">
        <v>3295</v>
      </c>
      <c r="Q49" s="58"/>
      <c r="R49" s="58"/>
      <c r="S49" s="58"/>
      <c r="T49" s="58"/>
      <c r="U49" s="58"/>
      <c r="V49" s="58"/>
      <c r="W49" s="58"/>
      <c r="X49" s="59"/>
      <c r="Y49" s="59"/>
      <c r="Z49" s="58"/>
      <c r="AA49" s="58"/>
      <c r="AB49" s="58"/>
      <c r="AC49" s="58"/>
      <c r="AD49" s="58">
        <v>2026</v>
      </c>
      <c r="AE49" s="58"/>
      <c r="AF49" s="58"/>
      <c r="AG49" s="58" t="s">
        <v>3296</v>
      </c>
      <c r="AH49" s="58" t="s">
        <v>3296</v>
      </c>
      <c r="AI49" s="58"/>
      <c r="AJ49" s="58"/>
      <c r="AK49" s="58"/>
      <c r="AL49" s="58"/>
      <c r="AM49" s="58"/>
      <c r="AN49" s="58" t="s">
        <v>1851</v>
      </c>
      <c r="AO49" s="60" t="s">
        <v>1177</v>
      </c>
      <c r="AP49" s="60" t="s">
        <v>1178</v>
      </c>
      <c r="AQ49" s="58" t="s">
        <v>3515</v>
      </c>
      <c r="AR49" s="58" t="s">
        <v>288</v>
      </c>
      <c r="AS49" s="58" t="s">
        <v>3330</v>
      </c>
      <c r="AT49" s="58" t="s">
        <v>3337</v>
      </c>
      <c r="AU49" s="58" t="s">
        <v>3323</v>
      </c>
      <c r="AV49" s="58" t="s">
        <v>3333</v>
      </c>
      <c r="AW49" s="58" t="s">
        <v>3516</v>
      </c>
      <c r="AX49" s="58" t="s">
        <v>3339</v>
      </c>
      <c r="AY49" s="58"/>
      <c r="AZ49" s="58"/>
      <c r="BA49" s="58"/>
      <c r="BB49" s="58"/>
      <c r="BC49" s="58"/>
      <c r="BD49" s="58"/>
      <c r="BE49" s="58"/>
      <c r="BF49" s="58"/>
      <c r="BG49" s="58"/>
      <c r="BH49" s="58"/>
      <c r="BI49" s="58"/>
      <c r="BJ49" s="58"/>
      <c r="BK49" s="58"/>
      <c r="BL49" s="58"/>
      <c r="BM49" s="58"/>
      <c r="BN49" s="58"/>
      <c r="BO49" s="58"/>
      <c r="BP49" s="58"/>
      <c r="BQ49" s="58"/>
      <c r="BR49" s="58" t="s">
        <v>1165</v>
      </c>
      <c r="BS49" s="58"/>
      <c r="BT49" s="58" t="s">
        <v>1851</v>
      </c>
      <c r="BU49" s="58" t="s">
        <v>1177</v>
      </c>
      <c r="BV49" s="58" t="s">
        <v>1851</v>
      </c>
      <c r="BW49" s="58" t="s">
        <v>1177</v>
      </c>
      <c r="BX49" s="58"/>
    </row>
    <row r="50" spans="1:76" ht="15" customHeight="1" x14ac:dyDescent="0.25">
      <c r="A50" s="61" t="str">
        <f t="shared" si="0"/>
        <v>083308001940</v>
      </c>
      <c r="B50" s="58">
        <v>48</v>
      </c>
      <c r="C50" s="58"/>
      <c r="D50" s="58"/>
      <c r="E50" s="58"/>
      <c r="F50" s="58" t="s">
        <v>1190</v>
      </c>
      <c r="G50" s="58" t="s">
        <v>80</v>
      </c>
      <c r="H50" s="58" t="s">
        <v>1185</v>
      </c>
      <c r="I50" s="58" t="s">
        <v>1186</v>
      </c>
      <c r="J50" s="58" t="s">
        <v>2908</v>
      </c>
      <c r="K50" s="58" t="s">
        <v>278</v>
      </c>
      <c r="L50" s="58" t="s">
        <v>1188</v>
      </c>
      <c r="M50" s="58" t="s">
        <v>1187</v>
      </c>
      <c r="N50" s="58" t="s">
        <v>1851</v>
      </c>
      <c r="O50" s="58" t="s">
        <v>3517</v>
      </c>
      <c r="P50" s="58" t="s">
        <v>3295</v>
      </c>
      <c r="Q50" s="58"/>
      <c r="R50" s="58"/>
      <c r="S50" s="58"/>
      <c r="T50" s="58"/>
      <c r="U50" s="58"/>
      <c r="V50" s="58"/>
      <c r="W50" s="58"/>
      <c r="X50" s="59"/>
      <c r="Y50" s="59"/>
      <c r="Z50" s="58"/>
      <c r="AA50" s="58"/>
      <c r="AB50" s="58"/>
      <c r="AC50" s="58"/>
      <c r="AD50" s="58">
        <v>2026</v>
      </c>
      <c r="AE50" s="58"/>
      <c r="AF50" s="58"/>
      <c r="AG50" s="58" t="s">
        <v>3296</v>
      </c>
      <c r="AH50" s="58" t="s">
        <v>3296</v>
      </c>
      <c r="AI50" s="58"/>
      <c r="AJ50" s="58"/>
      <c r="AK50" s="58"/>
      <c r="AL50" s="58"/>
      <c r="AM50" s="58"/>
      <c r="AN50" s="58" t="s">
        <v>1851</v>
      </c>
      <c r="AO50" s="60" t="s">
        <v>687</v>
      </c>
      <c r="AP50" s="60" t="s">
        <v>688</v>
      </c>
      <c r="AQ50" s="58" t="s">
        <v>3518</v>
      </c>
      <c r="AR50" s="58" t="s">
        <v>288</v>
      </c>
      <c r="AS50" s="58" t="s">
        <v>3330</v>
      </c>
      <c r="AT50" s="58" t="s">
        <v>3519</v>
      </c>
      <c r="AU50" s="58" t="s">
        <v>3368</v>
      </c>
      <c r="AV50" s="58" t="s">
        <v>3361</v>
      </c>
      <c r="AW50" s="58" t="s">
        <v>3332</v>
      </c>
      <c r="AX50" s="58"/>
      <c r="AY50" s="58"/>
      <c r="AZ50" s="58"/>
      <c r="BA50" s="58"/>
      <c r="BB50" s="58" t="s">
        <v>3428</v>
      </c>
      <c r="BC50" s="58" t="s">
        <v>3304</v>
      </c>
      <c r="BD50" s="58"/>
      <c r="BE50" s="58"/>
      <c r="BF50" s="58"/>
      <c r="BG50" s="58"/>
      <c r="BH50" s="58"/>
      <c r="BI50" s="58"/>
      <c r="BJ50" s="58"/>
      <c r="BK50" s="58"/>
      <c r="BL50" s="58"/>
      <c r="BM50" s="58"/>
      <c r="BN50" s="58"/>
      <c r="BO50" s="58"/>
      <c r="BP50" s="58"/>
      <c r="BQ50" s="58"/>
      <c r="BR50" s="58" t="s">
        <v>3520</v>
      </c>
      <c r="BS50" s="58"/>
      <c r="BT50" s="58" t="s">
        <v>1851</v>
      </c>
      <c r="BU50" s="58" t="s">
        <v>687</v>
      </c>
      <c r="BV50" s="58" t="s">
        <v>1851</v>
      </c>
      <c r="BW50" s="58" t="s">
        <v>687</v>
      </c>
      <c r="BX50" s="58"/>
    </row>
    <row r="51" spans="1:76" ht="15" customHeight="1" x14ac:dyDescent="0.25">
      <c r="A51" s="61" t="str">
        <f t="shared" si="0"/>
        <v>038308013704</v>
      </c>
      <c r="B51" s="58">
        <v>49</v>
      </c>
      <c r="C51" s="58"/>
      <c r="D51" s="58"/>
      <c r="E51" s="58"/>
      <c r="F51" s="58" t="s">
        <v>1201</v>
      </c>
      <c r="G51" s="58" t="s">
        <v>114</v>
      </c>
      <c r="H51" s="58" t="s">
        <v>1196</v>
      </c>
      <c r="I51" s="58" t="s">
        <v>1197</v>
      </c>
      <c r="J51" s="58" t="s">
        <v>2908</v>
      </c>
      <c r="K51" s="58" t="s">
        <v>278</v>
      </c>
      <c r="L51" s="58" t="s">
        <v>1199</v>
      </c>
      <c r="M51" s="58" t="s">
        <v>1198</v>
      </c>
      <c r="N51" s="58" t="s">
        <v>1061</v>
      </c>
      <c r="O51" s="58" t="s">
        <v>3521</v>
      </c>
      <c r="P51" s="58" t="s">
        <v>376</v>
      </c>
      <c r="Q51" s="58"/>
      <c r="R51" s="58"/>
      <c r="S51" s="58"/>
      <c r="T51" s="58"/>
      <c r="U51" s="58"/>
      <c r="V51" s="58"/>
      <c r="W51" s="58"/>
      <c r="X51" s="59"/>
      <c r="Y51" s="59"/>
      <c r="Z51" s="58"/>
      <c r="AA51" s="58"/>
      <c r="AB51" s="58"/>
      <c r="AC51" s="58"/>
      <c r="AD51" s="58">
        <v>2026</v>
      </c>
      <c r="AE51" s="58"/>
      <c r="AF51" s="58"/>
      <c r="AG51" s="58" t="s">
        <v>3296</v>
      </c>
      <c r="AH51" s="58" t="s">
        <v>3296</v>
      </c>
      <c r="AI51" s="58"/>
      <c r="AJ51" s="58"/>
      <c r="AK51" s="58"/>
      <c r="AL51" s="58"/>
      <c r="AM51" s="58"/>
      <c r="AN51" s="58" t="s">
        <v>1709</v>
      </c>
      <c r="AO51" s="60" t="s">
        <v>1202</v>
      </c>
      <c r="AP51" s="60" t="s">
        <v>1203</v>
      </c>
      <c r="AQ51" s="58" t="s">
        <v>3522</v>
      </c>
      <c r="AR51" s="58" t="s">
        <v>288</v>
      </c>
      <c r="AS51" s="58" t="s">
        <v>3523</v>
      </c>
      <c r="AT51" s="58" t="s">
        <v>3524</v>
      </c>
      <c r="AU51" s="58" t="s">
        <v>3311</v>
      </c>
      <c r="AV51" s="58" t="s">
        <v>3317</v>
      </c>
      <c r="AW51" s="58"/>
      <c r="AX51" s="58"/>
      <c r="AY51" s="58"/>
      <c r="AZ51" s="58" t="s">
        <v>3362</v>
      </c>
      <c r="BA51" s="58"/>
      <c r="BB51" s="58" t="s">
        <v>3395</v>
      </c>
      <c r="BC51" s="58" t="s">
        <v>3304</v>
      </c>
      <c r="BD51" s="58"/>
      <c r="BE51" s="58"/>
      <c r="BF51" s="58"/>
      <c r="BG51" s="58"/>
      <c r="BH51" s="58"/>
      <c r="BI51" s="58"/>
      <c r="BJ51" s="58"/>
      <c r="BK51" s="58"/>
      <c r="BL51" s="58"/>
      <c r="BM51" s="58"/>
      <c r="BN51" s="58"/>
      <c r="BO51" s="58"/>
      <c r="BP51" s="58"/>
      <c r="BQ51" s="58"/>
      <c r="BR51" s="58" t="s">
        <v>3525</v>
      </c>
      <c r="BS51" s="58"/>
      <c r="BT51" s="58" t="s">
        <v>1709</v>
      </c>
      <c r="BU51" s="58" t="s">
        <v>3526</v>
      </c>
      <c r="BV51" s="58" t="s">
        <v>1709</v>
      </c>
      <c r="BW51" s="58" t="s">
        <v>3526</v>
      </c>
      <c r="BX51" s="58"/>
    </row>
    <row r="52" spans="1:76" ht="15" customHeight="1" x14ac:dyDescent="0.25">
      <c r="A52" s="61" t="str">
        <f t="shared" si="0"/>
        <v>089308011621</v>
      </c>
      <c r="B52" s="58">
        <v>50</v>
      </c>
      <c r="C52" s="58"/>
      <c r="D52" s="58"/>
      <c r="E52" s="58"/>
      <c r="F52" s="58" t="s">
        <v>1214</v>
      </c>
      <c r="G52" s="58" t="s">
        <v>43</v>
      </c>
      <c r="H52" s="58" t="s">
        <v>1209</v>
      </c>
      <c r="I52" s="58" t="s">
        <v>1210</v>
      </c>
      <c r="J52" s="58" t="s">
        <v>2908</v>
      </c>
      <c r="K52" s="58" t="s">
        <v>278</v>
      </c>
      <c r="L52" s="58" t="s">
        <v>1212</v>
      </c>
      <c r="M52" s="58" t="s">
        <v>1211</v>
      </c>
      <c r="N52" s="58" t="s">
        <v>1809</v>
      </c>
      <c r="O52" s="58" t="s">
        <v>3527</v>
      </c>
      <c r="P52" s="58" t="s">
        <v>3295</v>
      </c>
      <c r="Q52" s="58"/>
      <c r="R52" s="58"/>
      <c r="S52" s="58"/>
      <c r="T52" s="58"/>
      <c r="U52" s="58"/>
      <c r="V52" s="58"/>
      <c r="W52" s="58"/>
      <c r="X52" s="59"/>
      <c r="Y52" s="59"/>
      <c r="Z52" s="58"/>
      <c r="AA52" s="58"/>
      <c r="AB52" s="58"/>
      <c r="AC52" s="58"/>
      <c r="AD52" s="58">
        <v>2026</v>
      </c>
      <c r="AE52" s="58"/>
      <c r="AF52" s="58"/>
      <c r="AG52" s="58" t="s">
        <v>3296</v>
      </c>
      <c r="AH52" s="58" t="s">
        <v>3296</v>
      </c>
      <c r="AI52" s="58"/>
      <c r="AJ52" s="58"/>
      <c r="AK52" s="58"/>
      <c r="AL52" s="58"/>
      <c r="AM52" s="58"/>
      <c r="AN52" s="58" t="s">
        <v>1809</v>
      </c>
      <c r="AO52" s="60" t="s">
        <v>1215</v>
      </c>
      <c r="AP52" s="60" t="s">
        <v>1216</v>
      </c>
      <c r="AQ52" s="58" t="s">
        <v>3528</v>
      </c>
      <c r="AR52" s="58" t="s">
        <v>288</v>
      </c>
      <c r="AS52" s="58" t="s">
        <v>3321</v>
      </c>
      <c r="AT52" s="58" t="s">
        <v>3529</v>
      </c>
      <c r="AU52" s="58" t="s">
        <v>3333</v>
      </c>
      <c r="AV52" s="58" t="s">
        <v>3301</v>
      </c>
      <c r="AW52" s="58"/>
      <c r="AX52" s="58"/>
      <c r="AY52" s="58"/>
      <c r="AZ52" s="58"/>
      <c r="BA52" s="58" t="s">
        <v>3530</v>
      </c>
      <c r="BB52" s="58" t="s">
        <v>3361</v>
      </c>
      <c r="BC52" s="58" t="s">
        <v>3304</v>
      </c>
      <c r="BD52" s="58"/>
      <c r="BE52" s="58"/>
      <c r="BF52" s="58"/>
      <c r="BG52" s="58"/>
      <c r="BH52" s="58"/>
      <c r="BI52" s="58"/>
      <c r="BJ52" s="58"/>
      <c r="BK52" s="58"/>
      <c r="BL52" s="58"/>
      <c r="BM52" s="58"/>
      <c r="BN52" s="58"/>
      <c r="BO52" s="58"/>
      <c r="BP52" s="58"/>
      <c r="BQ52" s="58"/>
      <c r="BR52" s="58" t="s">
        <v>1217</v>
      </c>
      <c r="BS52" s="58"/>
      <c r="BT52" s="58" t="s">
        <v>1809</v>
      </c>
      <c r="BU52" s="58" t="s">
        <v>1215</v>
      </c>
      <c r="BV52" s="58" t="s">
        <v>1809</v>
      </c>
      <c r="BW52" s="58" t="s">
        <v>1215</v>
      </c>
      <c r="BX52" s="58"/>
    </row>
    <row r="53" spans="1:76" ht="15" customHeight="1" x14ac:dyDescent="0.25">
      <c r="A53" s="61" t="str">
        <f t="shared" si="0"/>
        <v>092208001825</v>
      </c>
      <c r="B53" s="58">
        <v>51</v>
      </c>
      <c r="C53" s="58"/>
      <c r="D53" s="58"/>
      <c r="E53" s="58"/>
      <c r="F53" s="58" t="s">
        <v>1228</v>
      </c>
      <c r="G53" s="58" t="s">
        <v>36</v>
      </c>
      <c r="H53" s="58" t="s">
        <v>1223</v>
      </c>
      <c r="I53" s="58" t="s">
        <v>1224</v>
      </c>
      <c r="J53" s="58" t="s">
        <v>2909</v>
      </c>
      <c r="K53" s="58" t="s">
        <v>278</v>
      </c>
      <c r="L53" s="58" t="s">
        <v>1226</v>
      </c>
      <c r="M53" s="58" t="s">
        <v>1225</v>
      </c>
      <c r="N53" s="58" t="s">
        <v>1870</v>
      </c>
      <c r="O53" s="58" t="s">
        <v>3531</v>
      </c>
      <c r="P53" s="58" t="s">
        <v>314</v>
      </c>
      <c r="Q53" s="58"/>
      <c r="R53" s="58"/>
      <c r="S53" s="58"/>
      <c r="T53" s="58"/>
      <c r="U53" s="58"/>
      <c r="V53" s="58"/>
      <c r="W53" s="58"/>
      <c r="X53" s="59"/>
      <c r="Y53" s="59"/>
      <c r="Z53" s="58"/>
      <c r="AA53" s="58"/>
      <c r="AB53" s="58"/>
      <c r="AC53" s="58"/>
      <c r="AD53" s="58">
        <v>2026</v>
      </c>
      <c r="AE53" s="58"/>
      <c r="AF53" s="58"/>
      <c r="AG53" s="58" t="s">
        <v>3313</v>
      </c>
      <c r="AH53" s="58" t="s">
        <v>3296</v>
      </c>
      <c r="AI53" s="58"/>
      <c r="AJ53" s="58"/>
      <c r="AK53" s="58"/>
      <c r="AL53" s="58"/>
      <c r="AM53" s="58"/>
      <c r="AN53" s="58" t="s">
        <v>1870</v>
      </c>
      <c r="AO53" s="60" t="s">
        <v>1231</v>
      </c>
      <c r="AP53" s="60" t="s">
        <v>1232</v>
      </c>
      <c r="AQ53" s="58" t="s">
        <v>3532</v>
      </c>
      <c r="AR53" s="58" t="s">
        <v>288</v>
      </c>
      <c r="AS53" s="58" t="s">
        <v>3315</v>
      </c>
      <c r="AT53" s="58" t="s">
        <v>3533</v>
      </c>
      <c r="AU53" s="58" t="s">
        <v>3303</v>
      </c>
      <c r="AV53" s="58" t="s">
        <v>3368</v>
      </c>
      <c r="AW53" s="58" t="s">
        <v>3534</v>
      </c>
      <c r="AX53" s="58"/>
      <c r="AY53" s="58"/>
      <c r="AZ53" s="58"/>
      <c r="BA53" s="58"/>
      <c r="BB53" s="58" t="s">
        <v>3384</v>
      </c>
      <c r="BC53" s="58" t="s">
        <v>3304</v>
      </c>
      <c r="BD53" s="58"/>
      <c r="BE53" s="58"/>
      <c r="BF53" s="58"/>
      <c r="BG53" s="58"/>
      <c r="BH53" s="58"/>
      <c r="BI53" s="58"/>
      <c r="BJ53" s="58"/>
      <c r="BK53" s="58"/>
      <c r="BL53" s="58"/>
      <c r="BM53" s="58"/>
      <c r="BN53" s="58"/>
      <c r="BO53" s="58"/>
      <c r="BP53" s="58"/>
      <c r="BQ53" s="58"/>
      <c r="BR53" s="58" t="s">
        <v>1233</v>
      </c>
      <c r="BS53" s="58"/>
      <c r="BT53" s="58" t="s">
        <v>1870</v>
      </c>
      <c r="BU53" s="58" t="s">
        <v>1229</v>
      </c>
      <c r="BV53" s="58" t="s">
        <v>1870</v>
      </c>
      <c r="BW53" s="58" t="s">
        <v>1229</v>
      </c>
      <c r="BX53" s="58"/>
    </row>
    <row r="54" spans="1:76" ht="15" customHeight="1" x14ac:dyDescent="0.25">
      <c r="A54" s="61" t="str">
        <f t="shared" si="0"/>
        <v>068208002791</v>
      </c>
      <c r="B54" s="58">
        <v>52</v>
      </c>
      <c r="C54" s="58"/>
      <c r="D54" s="58"/>
      <c r="E54" s="58"/>
      <c r="F54" s="58" t="s">
        <v>1243</v>
      </c>
      <c r="G54" s="58" t="s">
        <v>105</v>
      </c>
      <c r="H54" s="58" t="s">
        <v>1239</v>
      </c>
      <c r="I54" s="58" t="s">
        <v>472</v>
      </c>
      <c r="J54" s="58" t="s">
        <v>2909</v>
      </c>
      <c r="K54" s="58" t="s">
        <v>278</v>
      </c>
      <c r="L54" s="58" t="s">
        <v>1241</v>
      </c>
      <c r="M54" s="58" t="s">
        <v>1240</v>
      </c>
      <c r="N54" s="58" t="s">
        <v>1576</v>
      </c>
      <c r="O54" s="58" t="s">
        <v>3535</v>
      </c>
      <c r="P54" s="58" t="s">
        <v>3295</v>
      </c>
      <c r="Q54" s="58"/>
      <c r="R54" s="58"/>
      <c r="S54" s="58"/>
      <c r="T54" s="58"/>
      <c r="U54" s="58"/>
      <c r="V54" s="58"/>
      <c r="W54" s="58"/>
      <c r="X54" s="59"/>
      <c r="Y54" s="59"/>
      <c r="Z54" s="58"/>
      <c r="AA54" s="58"/>
      <c r="AB54" s="58"/>
      <c r="AC54" s="58"/>
      <c r="AD54" s="58">
        <v>2026</v>
      </c>
      <c r="AE54" s="58"/>
      <c r="AF54" s="58"/>
      <c r="AG54" s="58" t="s">
        <v>3296</v>
      </c>
      <c r="AH54" s="58" t="s">
        <v>3296</v>
      </c>
      <c r="AI54" s="58"/>
      <c r="AJ54" s="58"/>
      <c r="AK54" s="58"/>
      <c r="AL54" s="58"/>
      <c r="AM54" s="58"/>
      <c r="AN54" s="58" t="s">
        <v>1576</v>
      </c>
      <c r="AO54" s="60" t="s">
        <v>1249</v>
      </c>
      <c r="AP54" s="60" t="s">
        <v>1250</v>
      </c>
      <c r="AQ54" s="58" t="s">
        <v>3536</v>
      </c>
      <c r="AR54" s="58" t="s">
        <v>288</v>
      </c>
      <c r="AS54" s="58" t="s">
        <v>3308</v>
      </c>
      <c r="AT54" s="58" t="s">
        <v>3537</v>
      </c>
      <c r="AU54" s="58" t="s">
        <v>3324</v>
      </c>
      <c r="AV54" s="58" t="s">
        <v>3368</v>
      </c>
      <c r="AW54" s="58" t="s">
        <v>3301</v>
      </c>
      <c r="AX54" s="58"/>
      <c r="AY54" s="58"/>
      <c r="AZ54" s="58"/>
      <c r="BA54" s="58"/>
      <c r="BB54" s="58" t="s">
        <v>3338</v>
      </c>
      <c r="BC54" s="58" t="s">
        <v>3304</v>
      </c>
      <c r="BD54" s="58"/>
      <c r="BE54" s="58"/>
      <c r="BF54" s="58"/>
      <c r="BG54" s="58"/>
      <c r="BH54" s="58"/>
      <c r="BI54" s="58"/>
      <c r="BJ54" s="58"/>
      <c r="BK54" s="58"/>
      <c r="BL54" s="58"/>
      <c r="BM54" s="58"/>
      <c r="BN54" s="58"/>
      <c r="BO54" s="58"/>
      <c r="BP54" s="58"/>
      <c r="BQ54" s="58"/>
      <c r="BR54" s="58" t="s">
        <v>643</v>
      </c>
      <c r="BS54" s="58"/>
      <c r="BT54" s="58" t="s">
        <v>1576</v>
      </c>
      <c r="BU54" s="58" t="s">
        <v>1249</v>
      </c>
      <c r="BV54" s="58" t="s">
        <v>1576</v>
      </c>
      <c r="BW54" s="58" t="s">
        <v>1249</v>
      </c>
      <c r="BX54" s="58"/>
    </row>
    <row r="55" spans="1:76" ht="15" customHeight="1" x14ac:dyDescent="0.25">
      <c r="A55" s="61" t="str">
        <f t="shared" si="0"/>
        <v>086208000490</v>
      </c>
      <c r="B55" s="58">
        <v>53</v>
      </c>
      <c r="C55" s="58"/>
      <c r="D55" s="58"/>
      <c r="E55" s="58"/>
      <c r="F55" s="58" t="s">
        <v>1261</v>
      </c>
      <c r="G55" s="58" t="s">
        <v>72</v>
      </c>
      <c r="H55" s="58" t="s">
        <v>1256</v>
      </c>
      <c r="I55" s="58" t="s">
        <v>1257</v>
      </c>
      <c r="J55" s="58" t="s">
        <v>2909</v>
      </c>
      <c r="K55" s="58" t="s">
        <v>278</v>
      </c>
      <c r="L55" s="58" t="s">
        <v>1259</v>
      </c>
      <c r="M55" s="58" t="s">
        <v>1258</v>
      </c>
      <c r="N55" s="58" t="s">
        <v>1851</v>
      </c>
      <c r="O55" s="58" t="s">
        <v>3501</v>
      </c>
      <c r="P55" s="58" t="s">
        <v>278</v>
      </c>
      <c r="Q55" s="58"/>
      <c r="R55" s="58"/>
      <c r="S55" s="58"/>
      <c r="T55" s="58"/>
      <c r="U55" s="58"/>
      <c r="V55" s="58"/>
      <c r="W55" s="58"/>
      <c r="X55" s="59"/>
      <c r="Y55" s="59"/>
      <c r="Z55" s="58"/>
      <c r="AA55" s="58"/>
      <c r="AB55" s="58"/>
      <c r="AC55" s="58"/>
      <c r="AD55" s="58">
        <v>2026</v>
      </c>
      <c r="AE55" s="58"/>
      <c r="AF55" s="58"/>
      <c r="AG55" s="58" t="s">
        <v>3296</v>
      </c>
      <c r="AH55" s="58" t="s">
        <v>3296</v>
      </c>
      <c r="AI55" s="58"/>
      <c r="AJ55" s="58"/>
      <c r="AK55" s="58"/>
      <c r="AL55" s="58"/>
      <c r="AM55" s="58"/>
      <c r="AN55" s="58" t="s">
        <v>1851</v>
      </c>
      <c r="AO55" s="60" t="s">
        <v>1131</v>
      </c>
      <c r="AP55" s="60" t="s">
        <v>1132</v>
      </c>
      <c r="AQ55" s="58" t="s">
        <v>3538</v>
      </c>
      <c r="AR55" s="58" t="s">
        <v>288</v>
      </c>
      <c r="AS55" s="58" t="s">
        <v>3330</v>
      </c>
      <c r="AT55" s="58" t="s">
        <v>3503</v>
      </c>
      <c r="AU55" s="58" t="s">
        <v>3311</v>
      </c>
      <c r="AV55" s="58" t="s">
        <v>3303</v>
      </c>
      <c r="AW55" s="58"/>
      <c r="AX55" s="58"/>
      <c r="AY55" s="58"/>
      <c r="AZ55" s="58" t="s">
        <v>3301</v>
      </c>
      <c r="BA55" s="58"/>
      <c r="BB55" s="58" t="s">
        <v>3303</v>
      </c>
      <c r="BC55" s="58" t="s">
        <v>3304</v>
      </c>
      <c r="BD55" s="58"/>
      <c r="BE55" s="58"/>
      <c r="BF55" s="58"/>
      <c r="BG55" s="58"/>
      <c r="BH55" s="58"/>
      <c r="BI55" s="58"/>
      <c r="BJ55" s="58"/>
      <c r="BK55" s="58"/>
      <c r="BL55" s="58"/>
      <c r="BM55" s="58"/>
      <c r="BN55" s="58"/>
      <c r="BO55" s="58"/>
      <c r="BP55" s="58"/>
      <c r="BQ55" s="58"/>
      <c r="BR55" s="58" t="s">
        <v>3539</v>
      </c>
      <c r="BS55" s="58"/>
      <c r="BT55" s="58" t="s">
        <v>1851</v>
      </c>
      <c r="BU55" s="58" t="s">
        <v>1131</v>
      </c>
      <c r="BV55" s="58" t="s">
        <v>1851</v>
      </c>
      <c r="BW55" s="58" t="s">
        <v>1131</v>
      </c>
      <c r="BX55" s="58"/>
    </row>
    <row r="56" spans="1:76" ht="15" customHeight="1" x14ac:dyDescent="0.25">
      <c r="A56" s="61" t="str">
        <f t="shared" si="0"/>
        <v>079308009276</v>
      </c>
      <c r="B56" s="58">
        <v>54</v>
      </c>
      <c r="C56" s="58"/>
      <c r="D56" s="58"/>
      <c r="E56" s="58"/>
      <c r="F56" s="58" t="s">
        <v>1273</v>
      </c>
      <c r="G56" s="58" t="s">
        <v>97</v>
      </c>
      <c r="H56" s="58" t="s">
        <v>1268</v>
      </c>
      <c r="I56" s="58" t="s">
        <v>1269</v>
      </c>
      <c r="J56" s="58" t="s">
        <v>2908</v>
      </c>
      <c r="K56" s="58" t="s">
        <v>278</v>
      </c>
      <c r="L56" s="58" t="s">
        <v>1271</v>
      </c>
      <c r="M56" s="58" t="s">
        <v>1270</v>
      </c>
      <c r="N56" s="58" t="s">
        <v>1709</v>
      </c>
      <c r="O56" s="58" t="s">
        <v>3540</v>
      </c>
      <c r="P56" s="58" t="s">
        <v>314</v>
      </c>
      <c r="Q56" s="58"/>
      <c r="R56" s="58"/>
      <c r="S56" s="58"/>
      <c r="T56" s="58"/>
      <c r="U56" s="58"/>
      <c r="V56" s="58"/>
      <c r="W56" s="58"/>
      <c r="X56" s="59"/>
      <c r="Y56" s="59"/>
      <c r="Z56" s="58"/>
      <c r="AA56" s="58"/>
      <c r="AB56" s="58"/>
      <c r="AC56" s="58"/>
      <c r="AD56" s="58">
        <v>2026</v>
      </c>
      <c r="AE56" s="58"/>
      <c r="AF56" s="58"/>
      <c r="AG56" s="58" t="s">
        <v>3296</v>
      </c>
      <c r="AH56" s="58" t="s">
        <v>3296</v>
      </c>
      <c r="AI56" s="58"/>
      <c r="AJ56" s="58"/>
      <c r="AK56" s="58"/>
      <c r="AL56" s="58"/>
      <c r="AM56" s="58"/>
      <c r="AN56" s="58" t="s">
        <v>1709</v>
      </c>
      <c r="AO56" s="60" t="s">
        <v>1281</v>
      </c>
      <c r="AP56" s="60" t="s">
        <v>1282</v>
      </c>
      <c r="AQ56" s="58" t="s">
        <v>3541</v>
      </c>
      <c r="AR56" s="58" t="s">
        <v>288</v>
      </c>
      <c r="AS56" s="58" t="s">
        <v>3400</v>
      </c>
      <c r="AT56" s="58" t="s">
        <v>3542</v>
      </c>
      <c r="AU56" s="58" t="s">
        <v>3368</v>
      </c>
      <c r="AV56" s="58" t="s">
        <v>3324</v>
      </c>
      <c r="AW56" s="58"/>
      <c r="AX56" s="58"/>
      <c r="AY56" s="58"/>
      <c r="AZ56" s="58"/>
      <c r="BA56" s="58"/>
      <c r="BB56" s="58" t="s">
        <v>3311</v>
      </c>
      <c r="BC56" s="58" t="s">
        <v>3304</v>
      </c>
      <c r="BD56" s="58" t="s">
        <v>3504</v>
      </c>
      <c r="BE56" s="58"/>
      <c r="BF56" s="58"/>
      <c r="BG56" s="58"/>
      <c r="BH56" s="58"/>
      <c r="BI56" s="58"/>
      <c r="BJ56" s="58"/>
      <c r="BK56" s="58"/>
      <c r="BL56" s="58"/>
      <c r="BM56" s="58"/>
      <c r="BN56" s="58"/>
      <c r="BO56" s="58"/>
      <c r="BP56" s="58"/>
      <c r="BQ56" s="58"/>
      <c r="BR56" s="58" t="s">
        <v>1283</v>
      </c>
      <c r="BS56" s="58"/>
      <c r="BT56" s="58" t="s">
        <v>1709</v>
      </c>
      <c r="BU56" s="58" t="s">
        <v>1281</v>
      </c>
      <c r="BV56" s="58" t="s">
        <v>1709</v>
      </c>
      <c r="BW56" s="58" t="s">
        <v>1281</v>
      </c>
      <c r="BX56" s="58"/>
    </row>
    <row r="57" spans="1:76" ht="15" customHeight="1" x14ac:dyDescent="0.25">
      <c r="A57" s="61" t="str">
        <f t="shared" si="0"/>
        <v>066208003927</v>
      </c>
      <c r="B57" s="58">
        <v>55</v>
      </c>
      <c r="C57" s="58"/>
      <c r="D57" s="58"/>
      <c r="E57" s="58"/>
      <c r="F57" s="58" t="s">
        <v>1296</v>
      </c>
      <c r="G57" s="58" t="s">
        <v>108</v>
      </c>
      <c r="H57" s="58" t="s">
        <v>1291</v>
      </c>
      <c r="I57" s="58" t="s">
        <v>1292</v>
      </c>
      <c r="J57" s="58" t="s">
        <v>2909</v>
      </c>
      <c r="K57" s="58" t="s">
        <v>278</v>
      </c>
      <c r="L57" s="58" t="s">
        <v>1294</v>
      </c>
      <c r="M57" s="58" t="s">
        <v>1293</v>
      </c>
      <c r="N57" s="58" t="s">
        <v>1486</v>
      </c>
      <c r="O57" s="58" t="s">
        <v>3543</v>
      </c>
      <c r="P57" s="58" t="s">
        <v>278</v>
      </c>
      <c r="Q57" s="58"/>
      <c r="R57" s="58"/>
      <c r="S57" s="58"/>
      <c r="T57" s="58"/>
      <c r="U57" s="58"/>
      <c r="V57" s="58"/>
      <c r="W57" s="58"/>
      <c r="X57" s="59"/>
      <c r="Y57" s="59"/>
      <c r="Z57" s="58"/>
      <c r="AA57" s="58"/>
      <c r="AB57" s="58"/>
      <c r="AC57" s="58"/>
      <c r="AD57" s="58">
        <v>2026</v>
      </c>
      <c r="AE57" s="58"/>
      <c r="AF57" s="58"/>
      <c r="AG57" s="58" t="s">
        <v>3296</v>
      </c>
      <c r="AH57" s="58" t="s">
        <v>3296</v>
      </c>
      <c r="AI57" s="58"/>
      <c r="AJ57" s="58"/>
      <c r="AK57" s="58"/>
      <c r="AL57" s="58"/>
      <c r="AM57" s="58"/>
      <c r="AN57" s="58" t="s">
        <v>1486</v>
      </c>
      <c r="AO57" s="60" t="s">
        <v>557</v>
      </c>
      <c r="AP57" s="60" t="s">
        <v>1304</v>
      </c>
      <c r="AQ57" s="58" t="s">
        <v>3544</v>
      </c>
      <c r="AR57" s="58" t="s">
        <v>288</v>
      </c>
      <c r="AS57" s="58" t="s">
        <v>3545</v>
      </c>
      <c r="AT57" s="58" t="s">
        <v>3546</v>
      </c>
      <c r="AU57" s="58" t="s">
        <v>3349</v>
      </c>
      <c r="AV57" s="58" t="s">
        <v>3311</v>
      </c>
      <c r="AW57" s="58" t="s">
        <v>3340</v>
      </c>
      <c r="AX57" s="58"/>
      <c r="AY57" s="58"/>
      <c r="AZ57" s="58"/>
      <c r="BA57" s="58"/>
      <c r="BB57" s="58" t="s">
        <v>3547</v>
      </c>
      <c r="BC57" s="58" t="s">
        <v>3304</v>
      </c>
      <c r="BD57" s="58"/>
      <c r="BE57" s="58"/>
      <c r="BF57" s="58"/>
      <c r="BG57" s="58"/>
      <c r="BH57" s="58"/>
      <c r="BI57" s="58"/>
      <c r="BJ57" s="58"/>
      <c r="BK57" s="58"/>
      <c r="BL57" s="58"/>
      <c r="BM57" s="58"/>
      <c r="BN57" s="58"/>
      <c r="BO57" s="58"/>
      <c r="BP57" s="58"/>
      <c r="BQ57" s="58"/>
      <c r="BR57" s="58" t="s">
        <v>730</v>
      </c>
      <c r="BS57" s="58"/>
      <c r="BT57" s="58" t="s">
        <v>1486</v>
      </c>
      <c r="BU57" s="58" t="s">
        <v>557</v>
      </c>
      <c r="BV57" s="58" t="s">
        <v>1486</v>
      </c>
      <c r="BW57" s="58" t="s">
        <v>557</v>
      </c>
      <c r="BX57" s="58"/>
    </row>
    <row r="58" spans="1:76" ht="15" customHeight="1" x14ac:dyDescent="0.25">
      <c r="A58" s="61" t="str">
        <f t="shared" si="0"/>
        <v>086208007331</v>
      </c>
      <c r="B58" s="58">
        <v>56</v>
      </c>
      <c r="C58" s="58"/>
      <c r="D58" s="58"/>
      <c r="E58" s="58"/>
      <c r="F58" s="58" t="s">
        <v>1317</v>
      </c>
      <c r="G58" s="58" t="s">
        <v>67</v>
      </c>
      <c r="H58" s="58" t="s">
        <v>1312</v>
      </c>
      <c r="I58" s="58" t="s">
        <v>1313</v>
      </c>
      <c r="J58" s="58" t="s">
        <v>2909</v>
      </c>
      <c r="K58" s="58" t="s">
        <v>278</v>
      </c>
      <c r="L58" s="58" t="s">
        <v>1315</v>
      </c>
      <c r="M58" s="58" t="s">
        <v>1314</v>
      </c>
      <c r="N58" s="58" t="s">
        <v>1851</v>
      </c>
      <c r="O58" s="58" t="s">
        <v>3548</v>
      </c>
      <c r="P58" s="58" t="s">
        <v>376</v>
      </c>
      <c r="Q58" s="58"/>
      <c r="R58" s="58"/>
      <c r="S58" s="58"/>
      <c r="T58" s="58"/>
      <c r="U58" s="58"/>
      <c r="V58" s="58"/>
      <c r="W58" s="58"/>
      <c r="X58" s="59"/>
      <c r="Y58" s="59"/>
      <c r="Z58" s="58"/>
      <c r="AA58" s="58"/>
      <c r="AB58" s="58"/>
      <c r="AC58" s="58"/>
      <c r="AD58" s="58">
        <v>2026</v>
      </c>
      <c r="AE58" s="58"/>
      <c r="AF58" s="58"/>
      <c r="AG58" s="58" t="s">
        <v>3296</v>
      </c>
      <c r="AH58" s="58" t="s">
        <v>3296</v>
      </c>
      <c r="AI58" s="58"/>
      <c r="AJ58" s="58"/>
      <c r="AK58" s="58"/>
      <c r="AL58" s="58"/>
      <c r="AM58" s="58"/>
      <c r="AN58" s="58" t="s">
        <v>1851</v>
      </c>
      <c r="AO58" s="60" t="s">
        <v>1321</v>
      </c>
      <c r="AP58" s="60" t="s">
        <v>1322</v>
      </c>
      <c r="AQ58" s="58" t="s">
        <v>3549</v>
      </c>
      <c r="AR58" s="58" t="s">
        <v>288</v>
      </c>
      <c r="AS58" s="58" t="s">
        <v>3330</v>
      </c>
      <c r="AT58" s="58" t="s">
        <v>3550</v>
      </c>
      <c r="AU58" s="58" t="s">
        <v>3551</v>
      </c>
      <c r="AV58" s="58" t="s">
        <v>3311</v>
      </c>
      <c r="AW58" s="58" t="s">
        <v>3338</v>
      </c>
      <c r="AX58" s="58"/>
      <c r="AY58" s="58"/>
      <c r="AZ58" s="58"/>
      <c r="BA58" s="58"/>
      <c r="BB58" s="58" t="s">
        <v>3326</v>
      </c>
      <c r="BC58" s="58" t="s">
        <v>3304</v>
      </c>
      <c r="BD58" s="58"/>
      <c r="BE58" s="58"/>
      <c r="BF58" s="58"/>
      <c r="BG58" s="58"/>
      <c r="BH58" s="58"/>
      <c r="BI58" s="58"/>
      <c r="BJ58" s="58"/>
      <c r="BK58" s="58"/>
      <c r="BL58" s="58"/>
      <c r="BM58" s="58"/>
      <c r="BN58" s="58"/>
      <c r="BO58" s="58"/>
      <c r="BP58" s="58"/>
      <c r="BQ58" s="58"/>
      <c r="BR58" s="58" t="s">
        <v>1458</v>
      </c>
      <c r="BS58" s="58"/>
      <c r="BT58" s="58" t="s">
        <v>1851</v>
      </c>
      <c r="BU58" s="58" t="s">
        <v>1321</v>
      </c>
      <c r="BV58" s="58" t="s">
        <v>1851</v>
      </c>
      <c r="BW58" s="58" t="s">
        <v>1321</v>
      </c>
      <c r="BX58" s="58"/>
    </row>
    <row r="59" spans="1:76" ht="15" customHeight="1" x14ac:dyDescent="0.25">
      <c r="A59" s="61">
        <f t="shared" si="0"/>
        <v>0</v>
      </c>
      <c r="B59" s="58">
        <v>57</v>
      </c>
      <c r="C59" s="58"/>
      <c r="D59" s="58"/>
      <c r="E59" s="58"/>
      <c r="F59" s="58" t="s">
        <v>1332</v>
      </c>
      <c r="G59" s="58"/>
      <c r="H59" s="58"/>
      <c r="I59" s="58"/>
      <c r="J59" s="58" t="s">
        <v>3552</v>
      </c>
      <c r="K59" s="58"/>
      <c r="L59" s="58"/>
      <c r="M59" s="58"/>
      <c r="N59" s="58"/>
      <c r="O59" s="58"/>
      <c r="P59" s="58"/>
      <c r="Q59" s="58"/>
      <c r="R59" s="58"/>
      <c r="S59" s="58"/>
      <c r="T59" s="58"/>
      <c r="U59" s="58"/>
      <c r="V59" s="58"/>
      <c r="W59" s="58"/>
      <c r="X59" s="59"/>
      <c r="Y59" s="59"/>
      <c r="Z59" s="58"/>
      <c r="AA59" s="58"/>
      <c r="AB59" s="58"/>
      <c r="AC59" s="58"/>
      <c r="AD59" s="58"/>
      <c r="AE59" s="58"/>
      <c r="AF59" s="58"/>
      <c r="AG59" s="58"/>
      <c r="AH59" s="58"/>
      <c r="AI59" s="58"/>
      <c r="AJ59" s="58"/>
      <c r="AK59" s="58"/>
      <c r="AL59" s="58"/>
      <c r="AM59" s="58"/>
      <c r="AN59" s="58"/>
      <c r="AO59" s="60"/>
      <c r="AP59" s="60"/>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row>
    <row r="60" spans="1:76" ht="15" customHeight="1" x14ac:dyDescent="0.25">
      <c r="A60" s="61" t="str">
        <f t="shared" si="0"/>
        <v>080308001683</v>
      </c>
      <c r="B60" s="58">
        <v>58</v>
      </c>
      <c r="C60" s="58"/>
      <c r="D60" s="58"/>
      <c r="E60" s="58"/>
      <c r="F60" s="58" t="s">
        <v>1348</v>
      </c>
      <c r="G60" s="58" t="s">
        <v>93</v>
      </c>
      <c r="H60" s="58" t="s">
        <v>1343</v>
      </c>
      <c r="I60" s="58" t="s">
        <v>1344</v>
      </c>
      <c r="J60" s="58" t="s">
        <v>2908</v>
      </c>
      <c r="K60" s="58" t="s">
        <v>278</v>
      </c>
      <c r="L60" s="58" t="s">
        <v>1346</v>
      </c>
      <c r="M60" s="58" t="s">
        <v>1345</v>
      </c>
      <c r="N60" s="58" t="s">
        <v>799</v>
      </c>
      <c r="O60" s="58" t="s">
        <v>3553</v>
      </c>
      <c r="P60" s="58" t="s">
        <v>3295</v>
      </c>
      <c r="Q60" s="58"/>
      <c r="R60" s="58"/>
      <c r="S60" s="58"/>
      <c r="T60" s="58"/>
      <c r="U60" s="58"/>
      <c r="V60" s="58"/>
      <c r="W60" s="58"/>
      <c r="X60" s="59"/>
      <c r="Y60" s="59"/>
      <c r="Z60" s="58"/>
      <c r="AA60" s="58"/>
      <c r="AB60" s="58"/>
      <c r="AC60" s="58"/>
      <c r="AD60" s="58">
        <v>2026</v>
      </c>
      <c r="AE60" s="58"/>
      <c r="AF60" s="58"/>
      <c r="AG60" s="58" t="s">
        <v>3296</v>
      </c>
      <c r="AH60" s="58" t="s">
        <v>3296</v>
      </c>
      <c r="AI60" s="58"/>
      <c r="AJ60" s="58"/>
      <c r="AK60" s="58"/>
      <c r="AL60" s="58"/>
      <c r="AM60" s="58"/>
      <c r="AN60" s="58" t="s">
        <v>799</v>
      </c>
      <c r="AO60" s="60" t="s">
        <v>1355</v>
      </c>
      <c r="AP60" s="60" t="s">
        <v>1356</v>
      </c>
      <c r="AQ60" s="58" t="s">
        <v>3554</v>
      </c>
      <c r="AR60" s="58" t="s">
        <v>288</v>
      </c>
      <c r="AS60" s="58" t="s">
        <v>3371</v>
      </c>
      <c r="AT60" s="58" t="s">
        <v>3555</v>
      </c>
      <c r="AU60" s="58" t="s">
        <v>3368</v>
      </c>
      <c r="AV60" s="58" t="s">
        <v>3301</v>
      </c>
      <c r="AW60" s="58"/>
      <c r="AX60" s="58" t="s">
        <v>3300</v>
      </c>
      <c r="AY60" s="58"/>
      <c r="AZ60" s="58"/>
      <c r="BA60" s="58"/>
      <c r="BB60" s="58" t="s">
        <v>3311</v>
      </c>
      <c r="BC60" s="58" t="s">
        <v>3304</v>
      </c>
      <c r="BD60" s="58"/>
      <c r="BE60" s="58"/>
      <c r="BF60" s="58"/>
      <c r="BG60" s="58"/>
      <c r="BH60" s="58"/>
      <c r="BI60" s="58"/>
      <c r="BJ60" s="58"/>
      <c r="BK60" s="58"/>
      <c r="BL60" s="58"/>
      <c r="BM60" s="58"/>
      <c r="BN60" s="58"/>
      <c r="BO60" s="58"/>
      <c r="BP60" s="58"/>
      <c r="BQ60" s="58"/>
      <c r="BR60" s="58" t="s">
        <v>668</v>
      </c>
      <c r="BS60" s="58"/>
      <c r="BT60" s="58" t="s">
        <v>799</v>
      </c>
      <c r="BU60" s="58" t="s">
        <v>1355</v>
      </c>
      <c r="BV60" s="58" t="s">
        <v>799</v>
      </c>
      <c r="BW60" s="58" t="s">
        <v>1355</v>
      </c>
      <c r="BX60" s="58"/>
    </row>
    <row r="61" spans="1:76" ht="15" customHeight="1" x14ac:dyDescent="0.25">
      <c r="A61" s="61" t="str">
        <f t="shared" si="0"/>
        <v>080308013680</v>
      </c>
      <c r="B61" s="58">
        <v>59</v>
      </c>
      <c r="C61" s="58"/>
      <c r="D61" s="58"/>
      <c r="E61" s="58"/>
      <c r="F61" s="58" t="s">
        <v>1368</v>
      </c>
      <c r="G61" s="58" t="s">
        <v>90</v>
      </c>
      <c r="H61" s="58" t="s">
        <v>1363</v>
      </c>
      <c r="I61" s="58" t="s">
        <v>1364</v>
      </c>
      <c r="J61" s="58" t="s">
        <v>2908</v>
      </c>
      <c r="K61" s="58" t="s">
        <v>278</v>
      </c>
      <c r="L61" s="58" t="s">
        <v>1366</v>
      </c>
      <c r="M61" s="58" t="s">
        <v>3556</v>
      </c>
      <c r="N61" s="58" t="s">
        <v>799</v>
      </c>
      <c r="O61" s="58" t="s">
        <v>3553</v>
      </c>
      <c r="P61" s="58" t="s">
        <v>3295</v>
      </c>
      <c r="Q61" s="58"/>
      <c r="R61" s="58"/>
      <c r="S61" s="58"/>
      <c r="T61" s="58"/>
      <c r="U61" s="58"/>
      <c r="V61" s="58"/>
      <c r="W61" s="58"/>
      <c r="X61" s="59"/>
      <c r="Y61" s="59"/>
      <c r="Z61" s="58"/>
      <c r="AA61" s="58"/>
      <c r="AB61" s="58"/>
      <c r="AC61" s="58"/>
      <c r="AD61" s="58">
        <v>2026</v>
      </c>
      <c r="AE61" s="58"/>
      <c r="AF61" s="58"/>
      <c r="AG61" s="58" t="s">
        <v>3296</v>
      </c>
      <c r="AH61" s="58" t="s">
        <v>3296</v>
      </c>
      <c r="AI61" s="58"/>
      <c r="AJ61" s="58"/>
      <c r="AK61" s="58"/>
      <c r="AL61" s="58"/>
      <c r="AM61" s="58"/>
      <c r="AN61" s="58" t="s">
        <v>799</v>
      </c>
      <c r="AO61" s="60" t="s">
        <v>1355</v>
      </c>
      <c r="AP61" s="60" t="s">
        <v>1356</v>
      </c>
      <c r="AQ61" s="58" t="s">
        <v>3557</v>
      </c>
      <c r="AR61" s="58" t="s">
        <v>288</v>
      </c>
      <c r="AS61" s="58" t="s">
        <v>3371</v>
      </c>
      <c r="AT61" s="58" t="s">
        <v>3555</v>
      </c>
      <c r="AU61" s="58" t="s">
        <v>3324</v>
      </c>
      <c r="AV61" s="58" t="s">
        <v>3317</v>
      </c>
      <c r="AW61" s="58"/>
      <c r="AX61" s="58" t="s">
        <v>3300</v>
      </c>
      <c r="AY61" s="58"/>
      <c r="AZ61" s="58"/>
      <c r="BA61" s="58"/>
      <c r="BB61" s="58" t="s">
        <v>3325</v>
      </c>
      <c r="BC61" s="58" t="s">
        <v>3304</v>
      </c>
      <c r="BD61" s="58"/>
      <c r="BE61" s="58"/>
      <c r="BF61" s="58"/>
      <c r="BG61" s="58"/>
      <c r="BH61" s="58"/>
      <c r="BI61" s="58"/>
      <c r="BJ61" s="58"/>
      <c r="BK61" s="58"/>
      <c r="BL61" s="58"/>
      <c r="BM61" s="58"/>
      <c r="BN61" s="58"/>
      <c r="BO61" s="58"/>
      <c r="BP61" s="58"/>
      <c r="BQ61" s="58"/>
      <c r="BR61" s="58" t="s">
        <v>1217</v>
      </c>
      <c r="BS61" s="58"/>
      <c r="BT61" s="58" t="s">
        <v>799</v>
      </c>
      <c r="BU61" s="58" t="s">
        <v>1355</v>
      </c>
      <c r="BV61" s="58" t="s">
        <v>799</v>
      </c>
      <c r="BW61" s="58" t="s">
        <v>1355</v>
      </c>
      <c r="BX61" s="58"/>
    </row>
    <row r="62" spans="1:76" ht="15" customHeight="1" x14ac:dyDescent="0.25">
      <c r="A62" s="61" t="str">
        <f t="shared" si="0"/>
        <v>086308000805</v>
      </c>
      <c r="B62" s="58">
        <v>60</v>
      </c>
      <c r="C62" s="58"/>
      <c r="D62" s="58"/>
      <c r="E62" s="58"/>
      <c r="F62" s="58" t="s">
        <v>1384</v>
      </c>
      <c r="G62" s="58" t="s">
        <v>1382</v>
      </c>
      <c r="H62" s="58" t="s">
        <v>1378</v>
      </c>
      <c r="I62" s="58" t="s">
        <v>1379</v>
      </c>
      <c r="J62" s="58" t="s">
        <v>2908</v>
      </c>
      <c r="K62" s="58" t="s">
        <v>278</v>
      </c>
      <c r="L62" s="58" t="s">
        <v>1381</v>
      </c>
      <c r="M62" s="58" t="s">
        <v>1380</v>
      </c>
      <c r="N62" s="58" t="s">
        <v>1851</v>
      </c>
      <c r="O62" s="58" t="s">
        <v>3439</v>
      </c>
      <c r="P62" s="58" t="s">
        <v>3295</v>
      </c>
      <c r="Q62" s="58"/>
      <c r="R62" s="58"/>
      <c r="S62" s="58"/>
      <c r="T62" s="58"/>
      <c r="U62" s="58"/>
      <c r="V62" s="58"/>
      <c r="W62" s="58"/>
      <c r="X62" s="59"/>
      <c r="Y62" s="59"/>
      <c r="Z62" s="58"/>
      <c r="AA62" s="58"/>
      <c r="AB62" s="58"/>
      <c r="AC62" s="58"/>
      <c r="AD62" s="58">
        <v>2026</v>
      </c>
      <c r="AE62" s="58"/>
      <c r="AF62" s="58"/>
      <c r="AG62" s="58" t="s">
        <v>3296</v>
      </c>
      <c r="AH62" s="58" t="s">
        <v>3296</v>
      </c>
      <c r="AI62" s="58"/>
      <c r="AJ62" s="58"/>
      <c r="AK62" s="58"/>
      <c r="AL62" s="58"/>
      <c r="AM62" s="58"/>
      <c r="AN62" s="58" t="s">
        <v>1851</v>
      </c>
      <c r="AO62" s="60" t="s">
        <v>1385</v>
      </c>
      <c r="AP62" s="60" t="s">
        <v>1386</v>
      </c>
      <c r="AQ62" s="58" t="s">
        <v>3558</v>
      </c>
      <c r="AR62" s="58" t="s">
        <v>288</v>
      </c>
      <c r="AS62" s="58" t="s">
        <v>3330</v>
      </c>
      <c r="AT62" s="58" t="s">
        <v>3441</v>
      </c>
      <c r="AU62" s="58" t="s">
        <v>3352</v>
      </c>
      <c r="AV62" s="58" t="s">
        <v>3311</v>
      </c>
      <c r="AW62" s="58" t="s">
        <v>3352</v>
      </c>
      <c r="AX62" s="58"/>
      <c r="AY62" s="58"/>
      <c r="AZ62" s="58" t="s">
        <v>3317</v>
      </c>
      <c r="BA62" s="58"/>
      <c r="BB62" s="58"/>
      <c r="BC62" s="58"/>
      <c r="BD62" s="58"/>
      <c r="BE62" s="58"/>
      <c r="BF62" s="58"/>
      <c r="BG62" s="58"/>
      <c r="BH62" s="58"/>
      <c r="BI62" s="58"/>
      <c r="BJ62" s="58"/>
      <c r="BK62" s="58"/>
      <c r="BL62" s="58"/>
      <c r="BM62" s="58"/>
      <c r="BN62" s="58"/>
      <c r="BO62" s="58"/>
      <c r="BP62" s="58"/>
      <c r="BQ62" s="58"/>
      <c r="BR62" s="58" t="s">
        <v>2066</v>
      </c>
      <c r="BS62" s="58"/>
      <c r="BT62" s="58" t="s">
        <v>1851</v>
      </c>
      <c r="BU62" s="58" t="s">
        <v>1385</v>
      </c>
      <c r="BV62" s="58" t="s">
        <v>1851</v>
      </c>
      <c r="BW62" s="58" t="s">
        <v>1385</v>
      </c>
      <c r="BX62" s="58"/>
    </row>
    <row r="63" spans="1:76" ht="15" customHeight="1" x14ac:dyDescent="0.25">
      <c r="A63" s="61" t="str">
        <f t="shared" si="0"/>
        <v>083208000690</v>
      </c>
      <c r="B63" s="58">
        <v>61</v>
      </c>
      <c r="C63" s="58"/>
      <c r="D63" s="58"/>
      <c r="E63" s="58"/>
      <c r="F63" s="58" t="s">
        <v>1397</v>
      </c>
      <c r="G63" s="58" t="s">
        <v>82</v>
      </c>
      <c r="H63" s="58" t="s">
        <v>1392</v>
      </c>
      <c r="I63" s="58" t="s">
        <v>1393</v>
      </c>
      <c r="J63" s="58" t="s">
        <v>2909</v>
      </c>
      <c r="K63" s="58" t="s">
        <v>278</v>
      </c>
      <c r="L63" s="58" t="s">
        <v>1395</v>
      </c>
      <c r="M63" s="58" t="s">
        <v>1394</v>
      </c>
      <c r="N63" s="58" t="s">
        <v>1851</v>
      </c>
      <c r="O63" s="58" t="s">
        <v>3559</v>
      </c>
      <c r="P63" s="58" t="s">
        <v>3295</v>
      </c>
      <c r="Q63" s="58"/>
      <c r="R63" s="58"/>
      <c r="S63" s="58"/>
      <c r="T63" s="58"/>
      <c r="U63" s="58"/>
      <c r="V63" s="58"/>
      <c r="W63" s="58"/>
      <c r="X63" s="59"/>
      <c r="Y63" s="59"/>
      <c r="Z63" s="58"/>
      <c r="AA63" s="58"/>
      <c r="AB63" s="58"/>
      <c r="AC63" s="58"/>
      <c r="AD63" s="58">
        <v>2026</v>
      </c>
      <c r="AE63" s="58"/>
      <c r="AF63" s="58"/>
      <c r="AG63" s="58" t="s">
        <v>3296</v>
      </c>
      <c r="AH63" s="58" t="s">
        <v>3296</v>
      </c>
      <c r="AI63" s="58"/>
      <c r="AJ63" s="58"/>
      <c r="AK63" s="58"/>
      <c r="AL63" s="58"/>
      <c r="AM63" s="58"/>
      <c r="AN63" s="58" t="s">
        <v>1851</v>
      </c>
      <c r="AO63" s="60" t="s">
        <v>1405</v>
      </c>
      <c r="AP63" s="60" t="s">
        <v>1406</v>
      </c>
      <c r="AQ63" s="58" t="s">
        <v>3560</v>
      </c>
      <c r="AR63" s="58" t="s">
        <v>288</v>
      </c>
      <c r="AS63" s="58" t="s">
        <v>3330</v>
      </c>
      <c r="AT63" s="58" t="s">
        <v>3561</v>
      </c>
      <c r="AU63" s="58" t="s">
        <v>3551</v>
      </c>
      <c r="AV63" s="58" t="s">
        <v>3338</v>
      </c>
      <c r="AW63" s="58"/>
      <c r="AX63" s="58"/>
      <c r="AY63" s="58"/>
      <c r="AZ63" s="58"/>
      <c r="BA63" s="58" t="s">
        <v>3325</v>
      </c>
      <c r="BB63" s="58" t="s">
        <v>3352</v>
      </c>
      <c r="BC63" s="58" t="s">
        <v>3304</v>
      </c>
      <c r="BD63" s="58"/>
      <c r="BE63" s="58"/>
      <c r="BF63" s="58"/>
      <c r="BG63" s="58"/>
      <c r="BH63" s="58"/>
      <c r="BI63" s="58"/>
      <c r="BJ63" s="58"/>
      <c r="BK63" s="58"/>
      <c r="BL63" s="58"/>
      <c r="BM63" s="58"/>
      <c r="BN63" s="58"/>
      <c r="BO63" s="58"/>
      <c r="BP63" s="58"/>
      <c r="BQ63" s="58"/>
      <c r="BR63" s="58" t="s">
        <v>1164</v>
      </c>
      <c r="BS63" s="58"/>
      <c r="BT63" s="58" t="s">
        <v>1851</v>
      </c>
      <c r="BU63" s="58" t="s">
        <v>1403</v>
      </c>
      <c r="BV63" s="58" t="s">
        <v>1851</v>
      </c>
      <c r="BW63" s="58" t="s">
        <v>1403</v>
      </c>
      <c r="BX63" s="58"/>
    </row>
    <row r="64" spans="1:76" ht="15" customHeight="1" x14ac:dyDescent="0.25">
      <c r="A64" s="61" t="str">
        <f t="shared" si="0"/>
        <v>077208001964</v>
      </c>
      <c r="B64" s="58">
        <v>62</v>
      </c>
      <c r="C64" s="58"/>
      <c r="D64" s="58"/>
      <c r="E64" s="58"/>
      <c r="F64" s="58" t="s">
        <v>1418</v>
      </c>
      <c r="G64" s="58" t="s">
        <v>99</v>
      </c>
      <c r="H64" s="58" t="s">
        <v>1413</v>
      </c>
      <c r="I64" s="58" t="s">
        <v>1414</v>
      </c>
      <c r="J64" s="58" t="s">
        <v>2909</v>
      </c>
      <c r="K64" s="58" t="s">
        <v>278</v>
      </c>
      <c r="L64" s="58" t="s">
        <v>1416</v>
      </c>
      <c r="M64" s="58" t="s">
        <v>1415</v>
      </c>
      <c r="N64" s="58" t="s">
        <v>1709</v>
      </c>
      <c r="O64" s="58" t="s">
        <v>3398</v>
      </c>
      <c r="P64" s="58" t="s">
        <v>3295</v>
      </c>
      <c r="Q64" s="58"/>
      <c r="R64" s="58"/>
      <c r="S64" s="58"/>
      <c r="T64" s="58"/>
      <c r="U64" s="58"/>
      <c r="V64" s="58"/>
      <c r="W64" s="58"/>
      <c r="X64" s="59"/>
      <c r="Y64" s="59"/>
      <c r="Z64" s="58"/>
      <c r="AA64" s="58"/>
      <c r="AB64" s="58"/>
      <c r="AC64" s="58"/>
      <c r="AD64" s="58">
        <v>2026</v>
      </c>
      <c r="AE64" s="58"/>
      <c r="AF64" s="58"/>
      <c r="AG64" s="58" t="s">
        <v>3296</v>
      </c>
      <c r="AH64" s="58" t="s">
        <v>3296</v>
      </c>
      <c r="AI64" s="58"/>
      <c r="AJ64" s="58"/>
      <c r="AK64" s="58"/>
      <c r="AL64" s="58"/>
      <c r="AM64" s="58"/>
      <c r="AN64" s="58" t="s">
        <v>1709</v>
      </c>
      <c r="AO64" s="60" t="s">
        <v>707</v>
      </c>
      <c r="AP64" s="60" t="s">
        <v>708</v>
      </c>
      <c r="AQ64" s="58" t="s">
        <v>3562</v>
      </c>
      <c r="AR64" s="58" t="s">
        <v>288</v>
      </c>
      <c r="AS64" s="58" t="s">
        <v>3400</v>
      </c>
      <c r="AT64" s="58" t="s">
        <v>3401</v>
      </c>
      <c r="AU64" s="58" t="s">
        <v>3349</v>
      </c>
      <c r="AV64" s="58" t="s">
        <v>3338</v>
      </c>
      <c r="AW64" s="58" t="s">
        <v>3451</v>
      </c>
      <c r="AX64" s="58"/>
      <c r="AY64" s="58"/>
      <c r="AZ64" s="58"/>
      <c r="BA64" s="58"/>
      <c r="BB64" s="58" t="s">
        <v>3344</v>
      </c>
      <c r="BC64" s="58" t="s">
        <v>3304</v>
      </c>
      <c r="BD64" s="58"/>
      <c r="BE64" s="58"/>
      <c r="BF64" s="58"/>
      <c r="BG64" s="58"/>
      <c r="BH64" s="58"/>
      <c r="BI64" s="58"/>
      <c r="BJ64" s="58"/>
      <c r="BK64" s="58"/>
      <c r="BL64" s="58"/>
      <c r="BM64" s="58"/>
      <c r="BN64" s="58"/>
      <c r="BO64" s="58"/>
      <c r="BP64" s="58"/>
      <c r="BQ64" s="58"/>
      <c r="BR64" s="58" t="s">
        <v>3563</v>
      </c>
      <c r="BS64" s="58"/>
      <c r="BT64" s="58" t="s">
        <v>1709</v>
      </c>
      <c r="BU64" s="58" t="s">
        <v>3403</v>
      </c>
      <c r="BV64" s="58" t="s">
        <v>1709</v>
      </c>
      <c r="BW64" s="58" t="s">
        <v>3403</v>
      </c>
      <c r="BX64" s="58"/>
    </row>
    <row r="65" spans="1:76" ht="15" customHeight="1" x14ac:dyDescent="0.25">
      <c r="A65" s="61" t="str">
        <f t="shared" si="0"/>
        <v>086208009865</v>
      </c>
      <c r="B65" s="58">
        <v>63</v>
      </c>
      <c r="C65" s="58"/>
      <c r="D65" s="58"/>
      <c r="E65" s="58"/>
      <c r="F65" s="58" t="s">
        <v>1434</v>
      </c>
      <c r="G65" s="58" t="s">
        <v>66</v>
      </c>
      <c r="H65" s="58" t="s">
        <v>1429</v>
      </c>
      <c r="I65" s="58" t="s">
        <v>1430</v>
      </c>
      <c r="J65" s="58" t="s">
        <v>2909</v>
      </c>
      <c r="K65" s="58" t="s">
        <v>278</v>
      </c>
      <c r="L65" s="58" t="s">
        <v>1432</v>
      </c>
      <c r="M65" s="58" t="s">
        <v>1431</v>
      </c>
      <c r="N65" s="58" t="s">
        <v>1709</v>
      </c>
      <c r="O65" s="58" t="s">
        <v>3474</v>
      </c>
      <c r="P65" s="58" t="s">
        <v>314</v>
      </c>
      <c r="Q65" s="58"/>
      <c r="R65" s="58"/>
      <c r="S65" s="58"/>
      <c r="T65" s="58"/>
      <c r="U65" s="58"/>
      <c r="V65" s="58"/>
      <c r="W65" s="58"/>
      <c r="X65" s="59"/>
      <c r="Y65" s="59"/>
      <c r="Z65" s="58"/>
      <c r="AA65" s="58"/>
      <c r="AB65" s="58"/>
      <c r="AC65" s="58"/>
      <c r="AD65" s="58">
        <v>2026</v>
      </c>
      <c r="AE65" s="58"/>
      <c r="AF65" s="58"/>
      <c r="AG65" s="58" t="s">
        <v>3313</v>
      </c>
      <c r="AH65" s="58" t="s">
        <v>3296</v>
      </c>
      <c r="AI65" s="58"/>
      <c r="AJ65" s="58"/>
      <c r="AK65" s="58"/>
      <c r="AL65" s="58"/>
      <c r="AM65" s="58"/>
      <c r="AN65" s="58" t="s">
        <v>1709</v>
      </c>
      <c r="AO65" s="60" t="s">
        <v>1441</v>
      </c>
      <c r="AP65" s="60" t="s">
        <v>1442</v>
      </c>
      <c r="AQ65" s="58" t="s">
        <v>3564</v>
      </c>
      <c r="AR65" s="58" t="s">
        <v>288</v>
      </c>
      <c r="AS65" s="58" t="s">
        <v>3400</v>
      </c>
      <c r="AT65" s="58" t="s">
        <v>3476</v>
      </c>
      <c r="AU65" s="58" t="s">
        <v>3344</v>
      </c>
      <c r="AV65" s="58" t="s">
        <v>3325</v>
      </c>
      <c r="AW65" s="58" t="s">
        <v>3332</v>
      </c>
      <c r="AX65" s="58"/>
      <c r="AY65" s="58"/>
      <c r="AZ65" s="58"/>
      <c r="BA65" s="58"/>
      <c r="BB65" s="58" t="s">
        <v>3442</v>
      </c>
      <c r="BC65" s="58" t="s">
        <v>3304</v>
      </c>
      <c r="BD65" s="58"/>
      <c r="BE65" s="58"/>
      <c r="BF65" s="58"/>
      <c r="BG65" s="58"/>
      <c r="BH65" s="58"/>
      <c r="BI65" s="58"/>
      <c r="BJ65" s="58"/>
      <c r="BK65" s="58"/>
      <c r="BL65" s="58"/>
      <c r="BM65" s="58"/>
      <c r="BN65" s="58"/>
      <c r="BO65" s="58"/>
      <c r="BP65" s="58"/>
      <c r="BQ65" s="58"/>
      <c r="BR65" s="58" t="s">
        <v>969</v>
      </c>
      <c r="BS65" s="58"/>
      <c r="BT65" s="58" t="s">
        <v>1709</v>
      </c>
      <c r="BU65" s="58" t="s">
        <v>1441</v>
      </c>
      <c r="BV65" s="58" t="s">
        <v>1709</v>
      </c>
      <c r="BW65" s="58" t="s">
        <v>1441</v>
      </c>
      <c r="BX65" s="58"/>
    </row>
    <row r="66" spans="1:76" ht="15" customHeight="1" x14ac:dyDescent="0.25">
      <c r="A66" s="61" t="str">
        <f t="shared" si="0"/>
        <v>096205010696</v>
      </c>
      <c r="B66" s="58">
        <v>64</v>
      </c>
      <c r="C66" s="58"/>
      <c r="D66" s="58"/>
      <c r="E66" s="58"/>
      <c r="F66" s="58" t="s">
        <v>1454</v>
      </c>
      <c r="G66" s="58" t="s">
        <v>23</v>
      </c>
      <c r="H66" s="58" t="s">
        <v>1447</v>
      </c>
      <c r="I66" s="58" t="s">
        <v>1448</v>
      </c>
      <c r="J66" s="58" t="s">
        <v>2909</v>
      </c>
      <c r="K66" s="58" t="s">
        <v>278</v>
      </c>
      <c r="L66" s="58" t="s">
        <v>1450</v>
      </c>
      <c r="M66" s="58" t="s">
        <v>1449</v>
      </c>
      <c r="N66" s="58" t="s">
        <v>1933</v>
      </c>
      <c r="O66" s="58" t="s">
        <v>3565</v>
      </c>
      <c r="P66" s="58" t="s">
        <v>314</v>
      </c>
      <c r="Q66" s="58" t="s">
        <v>1452</v>
      </c>
      <c r="R66" s="58"/>
      <c r="S66" s="58"/>
      <c r="T66" s="58"/>
      <c r="U66" s="58"/>
      <c r="V66" s="58"/>
      <c r="W66" s="58"/>
      <c r="X66" s="59"/>
      <c r="Y66" s="59"/>
      <c r="Z66" s="58"/>
      <c r="AA66" s="58"/>
      <c r="AB66" s="58"/>
      <c r="AC66" s="58"/>
      <c r="AD66" s="58">
        <v>2023</v>
      </c>
      <c r="AE66" s="58"/>
      <c r="AF66" s="58"/>
      <c r="AG66" s="58" t="s">
        <v>3566</v>
      </c>
      <c r="AH66" s="58" t="s">
        <v>3296</v>
      </c>
      <c r="AI66" s="58"/>
      <c r="AJ66" s="58"/>
      <c r="AK66" s="58"/>
      <c r="AL66" s="58"/>
      <c r="AM66" s="58"/>
      <c r="AN66" s="58" t="s">
        <v>1933</v>
      </c>
      <c r="AO66" s="60" t="s">
        <v>1455</v>
      </c>
      <c r="AP66" s="60" t="s">
        <v>3567</v>
      </c>
      <c r="AQ66" s="58" t="s">
        <v>3568</v>
      </c>
      <c r="AR66" s="58" t="s">
        <v>288</v>
      </c>
      <c r="AS66" s="58" t="s">
        <v>3389</v>
      </c>
      <c r="AT66" s="58" t="s">
        <v>3569</v>
      </c>
      <c r="AU66" s="58" t="s">
        <v>3300</v>
      </c>
      <c r="AV66" s="58"/>
      <c r="AW66" s="58" t="s">
        <v>3332</v>
      </c>
      <c r="AX66" s="58" t="s">
        <v>3317</v>
      </c>
      <c r="AY66" s="58"/>
      <c r="AZ66" s="58"/>
      <c r="BA66" s="58"/>
      <c r="BB66" s="58"/>
      <c r="BC66" s="58"/>
      <c r="BD66" s="58"/>
      <c r="BE66" s="58"/>
      <c r="BF66" s="58"/>
      <c r="BG66" s="58"/>
      <c r="BH66" s="58"/>
      <c r="BI66" s="58"/>
      <c r="BJ66" s="58"/>
      <c r="BK66" s="58"/>
      <c r="BL66" s="58"/>
      <c r="BM66" s="58"/>
      <c r="BN66" s="58"/>
      <c r="BO66" s="58"/>
      <c r="BP66" s="58"/>
      <c r="BQ66" s="58"/>
      <c r="BR66" s="58"/>
      <c r="BS66" s="58"/>
      <c r="BT66" s="58" t="s">
        <v>1933</v>
      </c>
      <c r="BU66" s="58" t="s">
        <v>1455</v>
      </c>
      <c r="BV66" s="58" t="s">
        <v>1933</v>
      </c>
      <c r="BW66" s="58" t="s">
        <v>1455</v>
      </c>
      <c r="BX66" s="58"/>
    </row>
    <row r="67" spans="1:76" ht="15" customHeight="1" x14ac:dyDescent="0.25">
      <c r="A67" s="61" t="str">
        <f t="shared" si="0"/>
        <v>083308010613</v>
      </c>
      <c r="B67" s="58">
        <v>65</v>
      </c>
      <c r="C67" s="58"/>
      <c r="D67" s="58"/>
      <c r="E67" s="58"/>
      <c r="F67" s="58" t="s">
        <v>1470</v>
      </c>
      <c r="G67" s="58" t="s">
        <v>76</v>
      </c>
      <c r="H67" s="58" t="s">
        <v>1465</v>
      </c>
      <c r="I67" s="58" t="s">
        <v>1466</v>
      </c>
      <c r="J67" s="58" t="s">
        <v>2908</v>
      </c>
      <c r="K67" s="58" t="s">
        <v>278</v>
      </c>
      <c r="L67" s="58" t="s">
        <v>1468</v>
      </c>
      <c r="M67" s="58" t="s">
        <v>1467</v>
      </c>
      <c r="N67" s="58" t="s">
        <v>1851</v>
      </c>
      <c r="O67" s="58" t="s">
        <v>3335</v>
      </c>
      <c r="P67" s="58" t="s">
        <v>3295</v>
      </c>
      <c r="Q67" s="58"/>
      <c r="R67" s="58"/>
      <c r="S67" s="58"/>
      <c r="T67" s="58"/>
      <c r="U67" s="58"/>
      <c r="V67" s="58"/>
      <c r="W67" s="58"/>
      <c r="X67" s="59"/>
      <c r="Y67" s="59"/>
      <c r="Z67" s="58"/>
      <c r="AA67" s="58"/>
      <c r="AB67" s="58"/>
      <c r="AC67" s="58"/>
      <c r="AD67" s="58">
        <v>2026</v>
      </c>
      <c r="AE67" s="58"/>
      <c r="AF67" s="58"/>
      <c r="AG67" s="58" t="s">
        <v>3296</v>
      </c>
      <c r="AH67" s="58" t="s">
        <v>3296</v>
      </c>
      <c r="AI67" s="58"/>
      <c r="AJ67" s="58"/>
      <c r="AK67" s="58"/>
      <c r="AL67" s="58"/>
      <c r="AM67" s="58"/>
      <c r="AN67" s="58" t="s">
        <v>1851</v>
      </c>
      <c r="AO67" s="60" t="s">
        <v>1177</v>
      </c>
      <c r="AP67" s="60" t="s">
        <v>1178</v>
      </c>
      <c r="AQ67" s="58" t="s">
        <v>3570</v>
      </c>
      <c r="AR67" s="58" t="s">
        <v>288</v>
      </c>
      <c r="AS67" s="58" t="s">
        <v>3330</v>
      </c>
      <c r="AT67" s="58" t="s">
        <v>3337</v>
      </c>
      <c r="AU67" s="58" t="s">
        <v>3338</v>
      </c>
      <c r="AV67" s="58" t="s">
        <v>3303</v>
      </c>
      <c r="AW67" s="58" t="s">
        <v>3326</v>
      </c>
      <c r="AX67" s="58" t="s">
        <v>3571</v>
      </c>
      <c r="AY67" s="58"/>
      <c r="AZ67" s="58"/>
      <c r="BA67" s="58"/>
      <c r="BB67" s="58"/>
      <c r="BC67" s="58"/>
      <c r="BD67" s="58"/>
      <c r="BE67" s="58"/>
      <c r="BF67" s="58"/>
      <c r="BG67" s="58"/>
      <c r="BH67" s="58"/>
      <c r="BI67" s="58"/>
      <c r="BJ67" s="58"/>
      <c r="BK67" s="58"/>
      <c r="BL67" s="58"/>
      <c r="BM67" s="58"/>
      <c r="BN67" s="58"/>
      <c r="BO67" s="58"/>
      <c r="BP67" s="58"/>
      <c r="BQ67" s="58"/>
      <c r="BR67" s="58" t="s">
        <v>3063</v>
      </c>
      <c r="BS67" s="58"/>
      <c r="BT67" s="58" t="s">
        <v>1851</v>
      </c>
      <c r="BU67" s="58" t="s">
        <v>1177</v>
      </c>
      <c r="BV67" s="58" t="s">
        <v>1851</v>
      </c>
      <c r="BW67" s="58" t="s">
        <v>1177</v>
      </c>
      <c r="BX67" s="58"/>
    </row>
    <row r="68" spans="1:76" ht="15" customHeight="1" x14ac:dyDescent="0.25">
      <c r="A68" s="61" t="str">
        <f t="shared" ref="A68:A131" si="1">G68</f>
        <v>079308028343</v>
      </c>
      <c r="B68" s="58">
        <v>66</v>
      </c>
      <c r="C68" s="58"/>
      <c r="D68" s="58"/>
      <c r="E68" s="58"/>
      <c r="F68" s="58" t="s">
        <v>1480</v>
      </c>
      <c r="G68" s="58" t="s">
        <v>96</v>
      </c>
      <c r="H68" s="58" t="s">
        <v>1476</v>
      </c>
      <c r="I68" s="58" t="s">
        <v>512</v>
      </c>
      <c r="J68" s="58" t="s">
        <v>2908</v>
      </c>
      <c r="K68" s="58" t="s">
        <v>278</v>
      </c>
      <c r="L68" s="58" t="s">
        <v>3572</v>
      </c>
      <c r="M68" s="58" t="s">
        <v>3573</v>
      </c>
      <c r="N68" s="58" t="s">
        <v>1709</v>
      </c>
      <c r="O68" s="58" t="s">
        <v>3574</v>
      </c>
      <c r="P68" s="58" t="s">
        <v>314</v>
      </c>
      <c r="Q68" s="58"/>
      <c r="R68" s="58"/>
      <c r="S68" s="58"/>
      <c r="T68" s="58"/>
      <c r="U68" s="58"/>
      <c r="V68" s="58"/>
      <c r="W68" s="58"/>
      <c r="X68" s="59"/>
      <c r="Y68" s="59"/>
      <c r="Z68" s="58"/>
      <c r="AA68" s="58"/>
      <c r="AB68" s="58"/>
      <c r="AC68" s="58"/>
      <c r="AD68" s="58">
        <v>2026</v>
      </c>
      <c r="AE68" s="58"/>
      <c r="AF68" s="58"/>
      <c r="AG68" s="58" t="s">
        <v>3313</v>
      </c>
      <c r="AH68" s="58" t="s">
        <v>3296</v>
      </c>
      <c r="AI68" s="58"/>
      <c r="AJ68" s="58"/>
      <c r="AK68" s="58"/>
      <c r="AL68" s="58"/>
      <c r="AM68" s="58"/>
      <c r="AN68" s="58" t="s">
        <v>1709</v>
      </c>
      <c r="AO68" s="60" t="s">
        <v>1481</v>
      </c>
      <c r="AP68" s="60" t="s">
        <v>1482</v>
      </c>
      <c r="AQ68" s="58" t="s">
        <v>3575</v>
      </c>
      <c r="AR68" s="58" t="s">
        <v>288</v>
      </c>
      <c r="AS68" s="58" t="s">
        <v>3400</v>
      </c>
      <c r="AT68" s="58" t="s">
        <v>3576</v>
      </c>
      <c r="AU68" s="58" t="s">
        <v>3311</v>
      </c>
      <c r="AV68" s="58" t="s">
        <v>3333</v>
      </c>
      <c r="AW68" s="58"/>
      <c r="AX68" s="58"/>
      <c r="AY68" s="58"/>
      <c r="AZ68" s="58"/>
      <c r="BA68" s="58"/>
      <c r="BB68" s="58" t="s">
        <v>3303</v>
      </c>
      <c r="BC68" s="58" t="s">
        <v>3304</v>
      </c>
      <c r="BD68" s="58" t="s">
        <v>3473</v>
      </c>
      <c r="BE68" s="58"/>
      <c r="BF68" s="58"/>
      <c r="BG68" s="58"/>
      <c r="BH68" s="58"/>
      <c r="BI68" s="58"/>
      <c r="BJ68" s="58"/>
      <c r="BK68" s="58"/>
      <c r="BL68" s="58"/>
      <c r="BM68" s="58"/>
      <c r="BN68" s="58"/>
      <c r="BO68" s="58"/>
      <c r="BP68" s="58"/>
      <c r="BQ68" s="58"/>
      <c r="BR68" s="58" t="s">
        <v>3577</v>
      </c>
      <c r="BS68" s="58"/>
      <c r="BT68" s="58" t="s">
        <v>1709</v>
      </c>
      <c r="BU68" s="58" t="s">
        <v>1481</v>
      </c>
      <c r="BV68" s="58" t="s">
        <v>1709</v>
      </c>
      <c r="BW68" s="58" t="s">
        <v>1481</v>
      </c>
      <c r="BX68" s="58"/>
    </row>
    <row r="69" spans="1:76" ht="15" customHeight="1" x14ac:dyDescent="0.25">
      <c r="A69" s="61" t="str">
        <f t="shared" si="1"/>
        <v>087208000775</v>
      </c>
      <c r="B69" s="58">
        <v>67</v>
      </c>
      <c r="C69" s="58"/>
      <c r="D69" s="58"/>
      <c r="E69" s="58"/>
      <c r="F69" s="58" t="s">
        <v>3578</v>
      </c>
      <c r="G69" s="58" t="s">
        <v>54</v>
      </c>
      <c r="H69" s="58" t="s">
        <v>1487</v>
      </c>
      <c r="I69" s="58" t="s">
        <v>1488</v>
      </c>
      <c r="J69" s="58" t="s">
        <v>2909</v>
      </c>
      <c r="K69" s="58" t="s">
        <v>278</v>
      </c>
      <c r="L69" s="58" t="s">
        <v>1490</v>
      </c>
      <c r="M69" s="58" t="s">
        <v>3579</v>
      </c>
      <c r="N69" s="58" t="s">
        <v>1822</v>
      </c>
      <c r="O69" s="58" t="s">
        <v>3580</v>
      </c>
      <c r="P69" s="58" t="s">
        <v>3295</v>
      </c>
      <c r="Q69" s="58"/>
      <c r="R69" s="58"/>
      <c r="S69" s="58"/>
      <c r="T69" s="58"/>
      <c r="U69" s="58"/>
      <c r="V69" s="58"/>
      <c r="W69" s="58"/>
      <c r="X69" s="59"/>
      <c r="Y69" s="59"/>
      <c r="Z69" s="58"/>
      <c r="AA69" s="58"/>
      <c r="AB69" s="58"/>
      <c r="AC69" s="58"/>
      <c r="AD69" s="58">
        <v>2026</v>
      </c>
      <c r="AE69" s="58"/>
      <c r="AF69" s="58"/>
      <c r="AG69" s="58" t="s">
        <v>3296</v>
      </c>
      <c r="AH69" s="58" t="s">
        <v>3296</v>
      </c>
      <c r="AI69" s="58"/>
      <c r="AJ69" s="58"/>
      <c r="AK69" s="58"/>
      <c r="AL69" s="58"/>
      <c r="AM69" s="58"/>
      <c r="AN69" s="58" t="s">
        <v>1822</v>
      </c>
      <c r="AO69" s="60" t="s">
        <v>1493</v>
      </c>
      <c r="AP69" s="60" t="s">
        <v>1494</v>
      </c>
      <c r="AQ69" s="58" t="s">
        <v>3581</v>
      </c>
      <c r="AR69" s="58" t="s">
        <v>288</v>
      </c>
      <c r="AS69" s="58" t="s">
        <v>3298</v>
      </c>
      <c r="AT69" s="58" t="s">
        <v>3582</v>
      </c>
      <c r="AU69" s="58" t="s">
        <v>3376</v>
      </c>
      <c r="AV69" s="58" t="s">
        <v>3338</v>
      </c>
      <c r="AW69" s="58"/>
      <c r="AX69" s="58"/>
      <c r="AY69" s="58"/>
      <c r="AZ69" s="58" t="s">
        <v>3451</v>
      </c>
      <c r="BA69" s="58"/>
      <c r="BB69" s="58" t="s">
        <v>3323</v>
      </c>
      <c r="BC69" s="58" t="s">
        <v>3304</v>
      </c>
      <c r="BD69" s="58"/>
      <c r="BE69" s="58"/>
      <c r="BF69" s="58"/>
      <c r="BG69" s="58"/>
      <c r="BH69" s="58"/>
      <c r="BI69" s="58"/>
      <c r="BJ69" s="58"/>
      <c r="BK69" s="58"/>
      <c r="BL69" s="58"/>
      <c r="BM69" s="58"/>
      <c r="BN69" s="58"/>
      <c r="BO69" s="58"/>
      <c r="BP69" s="58"/>
      <c r="BQ69" s="58"/>
      <c r="BR69" s="58" t="s">
        <v>561</v>
      </c>
      <c r="BS69" s="58"/>
      <c r="BT69" s="58" t="s">
        <v>1822</v>
      </c>
      <c r="BU69" s="58" t="s">
        <v>1493</v>
      </c>
      <c r="BV69" s="58" t="s">
        <v>1822</v>
      </c>
      <c r="BW69" s="58" t="s">
        <v>1493</v>
      </c>
      <c r="BX69" s="58"/>
    </row>
    <row r="70" spans="1:76" ht="15" customHeight="1" x14ac:dyDescent="0.25">
      <c r="A70" s="61" t="str">
        <f t="shared" si="1"/>
        <v>086308007620</v>
      </c>
      <c r="B70" s="58">
        <v>68</v>
      </c>
      <c r="C70" s="58"/>
      <c r="D70" s="58"/>
      <c r="E70" s="58"/>
      <c r="F70" s="58" t="s">
        <v>1506</v>
      </c>
      <c r="G70" s="58" t="s">
        <v>57</v>
      </c>
      <c r="H70" s="58" t="s">
        <v>1501</v>
      </c>
      <c r="I70" s="58" t="s">
        <v>1502</v>
      </c>
      <c r="J70" s="58" t="s">
        <v>2908</v>
      </c>
      <c r="K70" s="58" t="s">
        <v>278</v>
      </c>
      <c r="L70" s="58" t="s">
        <v>1504</v>
      </c>
      <c r="M70" s="58" t="s">
        <v>1503</v>
      </c>
      <c r="N70" s="58" t="s">
        <v>1851</v>
      </c>
      <c r="O70" s="58" t="s">
        <v>3583</v>
      </c>
      <c r="P70" s="58" t="s">
        <v>3295</v>
      </c>
      <c r="Q70" s="58"/>
      <c r="R70" s="58"/>
      <c r="S70" s="58"/>
      <c r="T70" s="58"/>
      <c r="U70" s="58"/>
      <c r="V70" s="58"/>
      <c r="W70" s="58"/>
      <c r="X70" s="59"/>
      <c r="Y70" s="59"/>
      <c r="Z70" s="58"/>
      <c r="AA70" s="58"/>
      <c r="AB70" s="58"/>
      <c r="AC70" s="58"/>
      <c r="AD70" s="58">
        <v>2026</v>
      </c>
      <c r="AE70" s="58"/>
      <c r="AF70" s="58"/>
      <c r="AG70" s="58" t="s">
        <v>3296</v>
      </c>
      <c r="AH70" s="58" t="s">
        <v>3296</v>
      </c>
      <c r="AI70" s="58"/>
      <c r="AJ70" s="58"/>
      <c r="AK70" s="58"/>
      <c r="AL70" s="58"/>
      <c r="AM70" s="58"/>
      <c r="AN70" s="58" t="s">
        <v>1851</v>
      </c>
      <c r="AO70" s="60" t="s">
        <v>1507</v>
      </c>
      <c r="AP70" s="60" t="s">
        <v>1508</v>
      </c>
      <c r="AQ70" s="58" t="s">
        <v>3584</v>
      </c>
      <c r="AR70" s="58" t="s">
        <v>288</v>
      </c>
      <c r="AS70" s="58" t="s">
        <v>3330</v>
      </c>
      <c r="AT70" s="58" t="s">
        <v>3585</v>
      </c>
      <c r="AU70" s="58" t="s">
        <v>3534</v>
      </c>
      <c r="AV70" s="58" t="s">
        <v>3325</v>
      </c>
      <c r="AW70" s="58"/>
      <c r="AX70" s="58"/>
      <c r="AY70" s="58"/>
      <c r="AZ70" s="58" t="s">
        <v>3334</v>
      </c>
      <c r="BA70" s="58"/>
      <c r="BB70" s="58" t="s">
        <v>3428</v>
      </c>
      <c r="BC70" s="58" t="s">
        <v>3304</v>
      </c>
      <c r="BD70" s="58"/>
      <c r="BE70" s="58"/>
      <c r="BF70" s="58"/>
      <c r="BG70" s="58"/>
      <c r="BH70" s="58"/>
      <c r="BI70" s="58"/>
      <c r="BJ70" s="58"/>
      <c r="BK70" s="58"/>
      <c r="BL70" s="58"/>
      <c r="BM70" s="58"/>
      <c r="BN70" s="58"/>
      <c r="BO70" s="58"/>
      <c r="BP70" s="58"/>
      <c r="BQ70" s="58"/>
      <c r="BR70" s="58" t="s">
        <v>3586</v>
      </c>
      <c r="BS70" s="58"/>
      <c r="BT70" s="58" t="s">
        <v>1851</v>
      </c>
      <c r="BU70" s="58" t="s">
        <v>1507</v>
      </c>
      <c r="BV70" s="58" t="s">
        <v>1851</v>
      </c>
      <c r="BW70" s="58" t="s">
        <v>1507</v>
      </c>
      <c r="BX70" s="58"/>
    </row>
    <row r="71" spans="1:76" ht="15" customHeight="1" x14ac:dyDescent="0.25">
      <c r="A71" s="61" t="str">
        <f t="shared" si="1"/>
        <v>096307008480</v>
      </c>
      <c r="B71" s="58">
        <v>69</v>
      </c>
      <c r="C71" s="58"/>
      <c r="D71" s="58"/>
      <c r="E71" s="58"/>
      <c r="F71" s="58"/>
      <c r="G71" s="58" t="s">
        <v>21</v>
      </c>
      <c r="H71" s="58" t="s">
        <v>1513</v>
      </c>
      <c r="I71" s="58" t="s">
        <v>1514</v>
      </c>
      <c r="J71" s="58" t="s">
        <v>2908</v>
      </c>
      <c r="K71" s="58" t="s">
        <v>278</v>
      </c>
      <c r="L71" s="58" t="s">
        <v>1516</v>
      </c>
      <c r="M71" s="58" t="s">
        <v>1515</v>
      </c>
      <c r="N71" s="58" t="s">
        <v>1933</v>
      </c>
      <c r="O71" s="58" t="s">
        <v>3587</v>
      </c>
      <c r="P71" s="58" t="s">
        <v>278</v>
      </c>
      <c r="Q71" s="58"/>
      <c r="R71" s="58"/>
      <c r="S71" s="58"/>
      <c r="T71" s="58"/>
      <c r="U71" s="58"/>
      <c r="V71" s="58"/>
      <c r="W71" s="58"/>
      <c r="X71" s="59"/>
      <c r="Y71" s="59"/>
      <c r="Z71" s="58"/>
      <c r="AA71" s="58"/>
      <c r="AB71" s="58"/>
      <c r="AC71" s="58"/>
      <c r="AD71" s="58">
        <v>2025</v>
      </c>
      <c r="AE71" s="58"/>
      <c r="AF71" s="58"/>
      <c r="AG71" s="58" t="s">
        <v>3296</v>
      </c>
      <c r="AH71" s="58" t="s">
        <v>3296</v>
      </c>
      <c r="AI71" s="58"/>
      <c r="AJ71" s="58"/>
      <c r="AK71" s="58"/>
      <c r="AL71" s="58"/>
      <c r="AM71" s="58"/>
      <c r="AN71" s="58" t="s">
        <v>1933</v>
      </c>
      <c r="AO71" s="60" t="s">
        <v>1518</v>
      </c>
      <c r="AP71" s="60" t="s">
        <v>1519</v>
      </c>
      <c r="AQ71" s="58" t="s">
        <v>3588</v>
      </c>
      <c r="AR71" s="58" t="s">
        <v>288</v>
      </c>
      <c r="AS71" s="58" t="s">
        <v>3389</v>
      </c>
      <c r="AT71" s="58" t="s">
        <v>3589</v>
      </c>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t="s">
        <v>1933</v>
      </c>
      <c r="BU71" s="58" t="s">
        <v>1518</v>
      </c>
      <c r="BV71" s="58" t="s">
        <v>1933</v>
      </c>
      <c r="BW71" s="58" t="s">
        <v>1518</v>
      </c>
      <c r="BX71" s="58"/>
    </row>
    <row r="72" spans="1:76" ht="15" customHeight="1" x14ac:dyDescent="0.25">
      <c r="A72" s="61" t="str">
        <f t="shared" si="1"/>
        <v>082308013726</v>
      </c>
      <c r="B72" s="58">
        <v>70</v>
      </c>
      <c r="C72" s="58"/>
      <c r="D72" s="58"/>
      <c r="E72" s="58"/>
      <c r="F72" s="58" t="s">
        <v>1531</v>
      </c>
      <c r="G72" s="58" t="s">
        <v>83</v>
      </c>
      <c r="H72" s="58" t="s">
        <v>3590</v>
      </c>
      <c r="I72" s="58" t="s">
        <v>1527</v>
      </c>
      <c r="J72" s="58" t="s">
        <v>2908</v>
      </c>
      <c r="K72" s="58" t="s">
        <v>278</v>
      </c>
      <c r="L72" s="58" t="s">
        <v>1529</v>
      </c>
      <c r="M72" s="58" t="s">
        <v>1528</v>
      </c>
      <c r="N72" s="58" t="s">
        <v>1822</v>
      </c>
      <c r="O72" s="58" t="s">
        <v>3591</v>
      </c>
      <c r="P72" s="58" t="s">
        <v>3295</v>
      </c>
      <c r="Q72" s="58"/>
      <c r="R72" s="58"/>
      <c r="S72" s="58"/>
      <c r="T72" s="58"/>
      <c r="U72" s="58"/>
      <c r="V72" s="58"/>
      <c r="W72" s="58"/>
      <c r="X72" s="59"/>
      <c r="Y72" s="59"/>
      <c r="Z72" s="58"/>
      <c r="AA72" s="58"/>
      <c r="AB72" s="58"/>
      <c r="AC72" s="58"/>
      <c r="AD72" s="58">
        <v>2026</v>
      </c>
      <c r="AE72" s="58"/>
      <c r="AF72" s="58"/>
      <c r="AG72" s="58" t="s">
        <v>3296</v>
      </c>
      <c r="AH72" s="58" t="s">
        <v>3296</v>
      </c>
      <c r="AI72" s="58"/>
      <c r="AJ72" s="58"/>
      <c r="AK72" s="58"/>
      <c r="AL72" s="58"/>
      <c r="AM72" s="58"/>
      <c r="AN72" s="58" t="s">
        <v>1822</v>
      </c>
      <c r="AO72" s="60" t="s">
        <v>1532</v>
      </c>
      <c r="AP72" s="60" t="s">
        <v>1533</v>
      </c>
      <c r="AQ72" s="58" t="s">
        <v>3592</v>
      </c>
      <c r="AR72" s="58" t="s">
        <v>288</v>
      </c>
      <c r="AS72" s="58" t="s">
        <v>3298</v>
      </c>
      <c r="AT72" s="58" t="s">
        <v>3593</v>
      </c>
      <c r="AU72" s="58" t="s">
        <v>3332</v>
      </c>
      <c r="AV72" s="58" t="s">
        <v>3340</v>
      </c>
      <c r="AW72" s="58" t="s">
        <v>3395</v>
      </c>
      <c r="AX72" s="58"/>
      <c r="AY72" s="58"/>
      <c r="AZ72" s="58"/>
      <c r="BA72" s="58"/>
      <c r="BB72" s="58" t="s">
        <v>3594</v>
      </c>
      <c r="BC72" s="58" t="s">
        <v>3304</v>
      </c>
      <c r="BD72" s="58"/>
      <c r="BE72" s="58"/>
      <c r="BF72" s="58"/>
      <c r="BG72" s="58"/>
      <c r="BH72" s="58"/>
      <c r="BI72" s="58"/>
      <c r="BJ72" s="58"/>
      <c r="BK72" s="58"/>
      <c r="BL72" s="58"/>
      <c r="BM72" s="58"/>
      <c r="BN72" s="58"/>
      <c r="BO72" s="58"/>
      <c r="BP72" s="58"/>
      <c r="BQ72" s="58"/>
      <c r="BR72" s="58" t="s">
        <v>3595</v>
      </c>
      <c r="BS72" s="58"/>
      <c r="BT72" s="58" t="s">
        <v>1822</v>
      </c>
      <c r="BU72" s="58" t="s">
        <v>1532</v>
      </c>
      <c r="BV72" s="58" t="s">
        <v>1822</v>
      </c>
      <c r="BW72" s="58" t="s">
        <v>1532</v>
      </c>
      <c r="BX72" s="58"/>
    </row>
    <row r="73" spans="1:76" ht="15" customHeight="1" x14ac:dyDescent="0.25">
      <c r="A73" s="61" t="str">
        <f t="shared" si="1"/>
        <v>086208001876</v>
      </c>
      <c r="B73" s="58">
        <v>71</v>
      </c>
      <c r="C73" s="58"/>
      <c r="D73" s="58"/>
      <c r="E73" s="58"/>
      <c r="F73" s="58" t="s">
        <v>1545</v>
      </c>
      <c r="G73" s="58" t="s">
        <v>70</v>
      </c>
      <c r="H73" s="58" t="s">
        <v>1540</v>
      </c>
      <c r="I73" s="58" t="s">
        <v>1541</v>
      </c>
      <c r="J73" s="58" t="s">
        <v>2909</v>
      </c>
      <c r="K73" s="58" t="s">
        <v>278</v>
      </c>
      <c r="L73" s="58" t="s">
        <v>1543</v>
      </c>
      <c r="M73" s="58" t="s">
        <v>1542</v>
      </c>
      <c r="N73" s="58" t="s">
        <v>1851</v>
      </c>
      <c r="O73" s="58" t="s">
        <v>3596</v>
      </c>
      <c r="P73" s="58" t="s">
        <v>3295</v>
      </c>
      <c r="Q73" s="58"/>
      <c r="R73" s="58"/>
      <c r="S73" s="58"/>
      <c r="T73" s="58"/>
      <c r="U73" s="58"/>
      <c r="V73" s="58"/>
      <c r="W73" s="58"/>
      <c r="X73" s="59"/>
      <c r="Y73" s="59"/>
      <c r="Z73" s="58"/>
      <c r="AA73" s="58"/>
      <c r="AB73" s="58"/>
      <c r="AC73" s="58"/>
      <c r="AD73" s="58">
        <v>2026</v>
      </c>
      <c r="AE73" s="58"/>
      <c r="AF73" s="58"/>
      <c r="AG73" s="58" t="s">
        <v>3296</v>
      </c>
      <c r="AH73" s="58" t="s">
        <v>3296</v>
      </c>
      <c r="AI73" s="58"/>
      <c r="AJ73" s="58"/>
      <c r="AK73" s="58"/>
      <c r="AL73" s="58"/>
      <c r="AM73" s="58"/>
      <c r="AN73" s="58" t="s">
        <v>1851</v>
      </c>
      <c r="AO73" s="60" t="s">
        <v>1546</v>
      </c>
      <c r="AP73" s="60" t="s">
        <v>1547</v>
      </c>
      <c r="AQ73" s="58" t="s">
        <v>3597</v>
      </c>
      <c r="AR73" s="58" t="s">
        <v>288</v>
      </c>
      <c r="AS73" s="58" t="s">
        <v>3330</v>
      </c>
      <c r="AT73" s="58" t="s">
        <v>3598</v>
      </c>
      <c r="AU73" s="58" t="s">
        <v>3338</v>
      </c>
      <c r="AV73" s="58" t="s">
        <v>3361</v>
      </c>
      <c r="AW73" s="58" t="s">
        <v>3352</v>
      </c>
      <c r="AX73" s="58" t="s">
        <v>3332</v>
      </c>
      <c r="AY73" s="58"/>
      <c r="AZ73" s="58"/>
      <c r="BA73" s="58"/>
      <c r="BB73" s="58"/>
      <c r="BC73" s="58"/>
      <c r="BD73" s="58"/>
      <c r="BE73" s="58"/>
      <c r="BF73" s="58"/>
      <c r="BG73" s="58"/>
      <c r="BH73" s="58"/>
      <c r="BI73" s="58"/>
      <c r="BJ73" s="58"/>
      <c r="BK73" s="58"/>
      <c r="BL73" s="58"/>
      <c r="BM73" s="58"/>
      <c r="BN73" s="58"/>
      <c r="BO73" s="58"/>
      <c r="BP73" s="58"/>
      <c r="BQ73" s="58"/>
      <c r="BR73" s="58" t="s">
        <v>1548</v>
      </c>
      <c r="BS73" s="58"/>
      <c r="BT73" s="58" t="s">
        <v>1851</v>
      </c>
      <c r="BU73" s="58" t="s">
        <v>1546</v>
      </c>
      <c r="BV73" s="58" t="s">
        <v>1851</v>
      </c>
      <c r="BW73" s="58" t="s">
        <v>1546</v>
      </c>
      <c r="BX73" s="58"/>
    </row>
    <row r="74" spans="1:76" ht="15" customHeight="1" x14ac:dyDescent="0.25">
      <c r="A74" s="61" t="str">
        <f t="shared" si="1"/>
        <v>092308000202</v>
      </c>
      <c r="B74" s="58">
        <v>72</v>
      </c>
      <c r="C74" s="58"/>
      <c r="D74" s="58"/>
      <c r="E74" s="58"/>
      <c r="F74" s="58" t="s">
        <v>1558</v>
      </c>
      <c r="G74" s="58" t="s">
        <v>34</v>
      </c>
      <c r="H74" s="58" t="s">
        <v>1553</v>
      </c>
      <c r="I74" s="58" t="s">
        <v>1554</v>
      </c>
      <c r="J74" s="58" t="s">
        <v>2908</v>
      </c>
      <c r="K74" s="58" t="s">
        <v>278</v>
      </c>
      <c r="L74" s="58" t="s">
        <v>1556</v>
      </c>
      <c r="M74" s="58" t="s">
        <v>1555</v>
      </c>
      <c r="N74" s="58" t="s">
        <v>1870</v>
      </c>
      <c r="O74" s="58" t="s">
        <v>3599</v>
      </c>
      <c r="P74" s="58" t="s">
        <v>278</v>
      </c>
      <c r="Q74" s="58"/>
      <c r="R74" s="58"/>
      <c r="S74" s="58"/>
      <c r="T74" s="58"/>
      <c r="U74" s="58"/>
      <c r="V74" s="58"/>
      <c r="W74" s="58"/>
      <c r="X74" s="59"/>
      <c r="Y74" s="59"/>
      <c r="Z74" s="58"/>
      <c r="AA74" s="58"/>
      <c r="AB74" s="58"/>
      <c r="AC74" s="58"/>
      <c r="AD74" s="58">
        <v>2026</v>
      </c>
      <c r="AE74" s="58"/>
      <c r="AF74" s="58"/>
      <c r="AG74" s="58" t="s">
        <v>3296</v>
      </c>
      <c r="AH74" s="58" t="s">
        <v>3296</v>
      </c>
      <c r="AI74" s="58"/>
      <c r="AJ74" s="58"/>
      <c r="AK74" s="58"/>
      <c r="AL74" s="58"/>
      <c r="AM74" s="58"/>
      <c r="AN74" s="58" t="s">
        <v>1870</v>
      </c>
      <c r="AO74" s="60" t="s">
        <v>1559</v>
      </c>
      <c r="AP74" s="60" t="s">
        <v>1560</v>
      </c>
      <c r="AQ74" s="58" t="s">
        <v>3600</v>
      </c>
      <c r="AR74" s="58" t="s">
        <v>288</v>
      </c>
      <c r="AS74" s="58" t="s">
        <v>3315</v>
      </c>
      <c r="AT74" s="58" t="s">
        <v>3601</v>
      </c>
      <c r="AU74" s="58" t="s">
        <v>3317</v>
      </c>
      <c r="AV74" s="58" t="s">
        <v>3368</v>
      </c>
      <c r="AW74" s="58" t="s">
        <v>3323</v>
      </c>
      <c r="AX74" s="58"/>
      <c r="AY74" s="58"/>
      <c r="AZ74" s="58"/>
      <c r="BA74" s="58"/>
      <c r="BB74" s="58" t="s">
        <v>3384</v>
      </c>
      <c r="BC74" s="58" t="s">
        <v>3304</v>
      </c>
      <c r="BD74" s="58"/>
      <c r="BE74" s="58"/>
      <c r="BF74" s="58"/>
      <c r="BG74" s="58"/>
      <c r="BH74" s="58"/>
      <c r="BI74" s="58"/>
      <c r="BJ74" s="58"/>
      <c r="BK74" s="58"/>
      <c r="BL74" s="58"/>
      <c r="BM74" s="58"/>
      <c r="BN74" s="58"/>
      <c r="BO74" s="58"/>
      <c r="BP74" s="58"/>
      <c r="BQ74" s="58"/>
      <c r="BR74" s="58" t="s">
        <v>3602</v>
      </c>
      <c r="BS74" s="58"/>
      <c r="BT74" s="58" t="s">
        <v>1870</v>
      </c>
      <c r="BU74" s="58" t="s">
        <v>1559</v>
      </c>
      <c r="BV74" s="58" t="s">
        <v>1870</v>
      </c>
      <c r="BW74" s="58" t="s">
        <v>1559</v>
      </c>
      <c r="BX74" s="58"/>
    </row>
    <row r="75" spans="1:76" ht="15" customHeight="1" x14ac:dyDescent="0.25">
      <c r="A75" s="61" t="str">
        <f t="shared" si="1"/>
        <v>086307005884</v>
      </c>
      <c r="B75" s="58">
        <v>73</v>
      </c>
      <c r="C75" s="58"/>
      <c r="D75" s="58"/>
      <c r="E75" s="58"/>
      <c r="F75" s="58"/>
      <c r="G75" s="58" t="s">
        <v>64</v>
      </c>
      <c r="H75" s="58" t="s">
        <v>1567</v>
      </c>
      <c r="I75" s="58" t="s">
        <v>1568</v>
      </c>
      <c r="J75" s="58" t="s">
        <v>2908</v>
      </c>
      <c r="K75" s="58" t="s">
        <v>278</v>
      </c>
      <c r="L75" s="58" t="s">
        <v>1570</v>
      </c>
      <c r="M75" s="58" t="s">
        <v>1569</v>
      </c>
      <c r="N75" s="58" t="s">
        <v>1851</v>
      </c>
      <c r="O75" s="58" t="s">
        <v>3603</v>
      </c>
      <c r="P75" s="58" t="s">
        <v>376</v>
      </c>
      <c r="Q75" s="58"/>
      <c r="R75" s="58"/>
      <c r="S75" s="58"/>
      <c r="T75" s="58"/>
      <c r="U75" s="58"/>
      <c r="V75" s="58"/>
      <c r="W75" s="58"/>
      <c r="X75" s="59"/>
      <c r="Y75" s="59"/>
      <c r="Z75" s="58"/>
      <c r="AA75" s="58"/>
      <c r="AB75" s="58"/>
      <c r="AC75" s="58"/>
      <c r="AD75" s="58">
        <v>2025</v>
      </c>
      <c r="AE75" s="58"/>
      <c r="AF75" s="58"/>
      <c r="AG75" s="58" t="s">
        <v>3313</v>
      </c>
      <c r="AH75" s="58" t="s">
        <v>3296</v>
      </c>
      <c r="AI75" s="58"/>
      <c r="AJ75" s="58"/>
      <c r="AK75" s="58"/>
      <c r="AL75" s="58"/>
      <c r="AM75" s="58"/>
      <c r="AN75" s="58" t="s">
        <v>1851</v>
      </c>
      <c r="AO75" s="60" t="s">
        <v>1572</v>
      </c>
      <c r="AP75" s="60" t="s">
        <v>1573</v>
      </c>
      <c r="AQ75" s="58" t="s">
        <v>3604</v>
      </c>
      <c r="AR75" s="58" t="s">
        <v>288</v>
      </c>
      <c r="AS75" s="58" t="s">
        <v>3330</v>
      </c>
      <c r="AT75" s="58" t="s">
        <v>3605</v>
      </c>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t="s">
        <v>1851</v>
      </c>
      <c r="BU75" s="58" t="s">
        <v>1572</v>
      </c>
      <c r="BV75" s="58" t="s">
        <v>1851</v>
      </c>
      <c r="BW75" s="58" t="s">
        <v>1572</v>
      </c>
      <c r="BX75" s="58"/>
    </row>
    <row r="76" spans="1:76" ht="15" customHeight="1" x14ac:dyDescent="0.25">
      <c r="A76" s="61" t="str">
        <f t="shared" si="1"/>
        <v>083308004568</v>
      </c>
      <c r="B76" s="58">
        <v>74</v>
      </c>
      <c r="C76" s="58"/>
      <c r="D76" s="58"/>
      <c r="E76" s="58"/>
      <c r="F76" s="58" t="s">
        <v>1582</v>
      </c>
      <c r="G76" s="58" t="s">
        <v>78</v>
      </c>
      <c r="H76" s="58" t="s">
        <v>1577</v>
      </c>
      <c r="I76" s="58" t="s">
        <v>1578</v>
      </c>
      <c r="J76" s="58" t="s">
        <v>2908</v>
      </c>
      <c r="K76" s="58" t="s">
        <v>278</v>
      </c>
      <c r="L76" s="58" t="s">
        <v>1580</v>
      </c>
      <c r="M76" s="58" t="s">
        <v>1579</v>
      </c>
      <c r="N76" s="58" t="s">
        <v>1851</v>
      </c>
      <c r="O76" s="58" t="s">
        <v>3412</v>
      </c>
      <c r="P76" s="58" t="s">
        <v>376</v>
      </c>
      <c r="Q76" s="58"/>
      <c r="R76" s="58"/>
      <c r="S76" s="58"/>
      <c r="T76" s="58"/>
      <c r="U76" s="58"/>
      <c r="V76" s="58"/>
      <c r="W76" s="58"/>
      <c r="X76" s="59"/>
      <c r="Y76" s="59"/>
      <c r="Z76" s="58"/>
      <c r="AA76" s="58"/>
      <c r="AB76" s="58"/>
      <c r="AC76" s="58"/>
      <c r="AD76" s="58">
        <v>2026</v>
      </c>
      <c r="AE76" s="58"/>
      <c r="AF76" s="58"/>
      <c r="AG76" s="58" t="s">
        <v>3296</v>
      </c>
      <c r="AH76" s="58" t="s">
        <v>3296</v>
      </c>
      <c r="AI76" s="58"/>
      <c r="AJ76" s="58"/>
      <c r="AK76" s="58"/>
      <c r="AL76" s="58"/>
      <c r="AM76" s="58"/>
      <c r="AN76" s="58" t="s">
        <v>1851</v>
      </c>
      <c r="AO76" s="60" t="s">
        <v>777</v>
      </c>
      <c r="AP76" s="60" t="s">
        <v>778</v>
      </c>
      <c r="AQ76" s="58" t="s">
        <v>3606</v>
      </c>
      <c r="AR76" s="58" t="s">
        <v>288</v>
      </c>
      <c r="AS76" s="58" t="s">
        <v>3330</v>
      </c>
      <c r="AT76" s="58" t="s">
        <v>3414</v>
      </c>
      <c r="AU76" s="58" t="s">
        <v>3368</v>
      </c>
      <c r="AV76" s="58" t="s">
        <v>3332</v>
      </c>
      <c r="AW76" s="58" t="s">
        <v>3317</v>
      </c>
      <c r="AX76" s="58"/>
      <c r="AY76" s="58"/>
      <c r="AZ76" s="58"/>
      <c r="BA76" s="58"/>
      <c r="BB76" s="58" t="s">
        <v>3376</v>
      </c>
      <c r="BC76" s="58" t="s">
        <v>3304</v>
      </c>
      <c r="BD76" s="58"/>
      <c r="BE76" s="58"/>
      <c r="BF76" s="58"/>
      <c r="BG76" s="58"/>
      <c r="BH76" s="58"/>
      <c r="BI76" s="58"/>
      <c r="BJ76" s="58"/>
      <c r="BK76" s="58"/>
      <c r="BL76" s="58"/>
      <c r="BM76" s="58"/>
      <c r="BN76" s="58"/>
      <c r="BO76" s="58"/>
      <c r="BP76" s="58"/>
      <c r="BQ76" s="58"/>
      <c r="BR76" s="58" t="s">
        <v>3607</v>
      </c>
      <c r="BS76" s="58"/>
      <c r="BT76" s="58" t="s">
        <v>1851</v>
      </c>
      <c r="BU76" s="58" t="s">
        <v>777</v>
      </c>
      <c r="BV76" s="58" t="s">
        <v>1851</v>
      </c>
      <c r="BW76" s="58" t="s">
        <v>777</v>
      </c>
      <c r="BX76" s="58"/>
    </row>
    <row r="77" spans="1:76" ht="15" customHeight="1" x14ac:dyDescent="0.25">
      <c r="A77" s="61" t="str">
        <f t="shared" si="1"/>
        <v>087308009654</v>
      </c>
      <c r="B77" s="58">
        <v>75</v>
      </c>
      <c r="C77" s="58"/>
      <c r="D77" s="58"/>
      <c r="E77" s="58"/>
      <c r="F77" s="58" t="s">
        <v>1595</v>
      </c>
      <c r="G77" s="58" t="s">
        <v>50</v>
      </c>
      <c r="H77" s="58" t="s">
        <v>1590</v>
      </c>
      <c r="I77" s="58" t="s">
        <v>1591</v>
      </c>
      <c r="J77" s="58" t="s">
        <v>2908</v>
      </c>
      <c r="K77" s="58" t="s">
        <v>278</v>
      </c>
      <c r="L77" s="58" t="s">
        <v>1593</v>
      </c>
      <c r="M77" s="58" t="s">
        <v>1592</v>
      </c>
      <c r="N77" s="58" t="s">
        <v>1822</v>
      </c>
      <c r="O77" s="58" t="s">
        <v>3608</v>
      </c>
      <c r="P77" s="58" t="s">
        <v>376</v>
      </c>
      <c r="Q77" s="58"/>
      <c r="R77" s="58"/>
      <c r="S77" s="58"/>
      <c r="T77" s="58"/>
      <c r="U77" s="58"/>
      <c r="V77" s="58"/>
      <c r="W77" s="58"/>
      <c r="X77" s="59"/>
      <c r="Y77" s="59"/>
      <c r="Z77" s="58"/>
      <c r="AA77" s="58"/>
      <c r="AB77" s="58"/>
      <c r="AC77" s="58"/>
      <c r="AD77" s="58">
        <v>2026</v>
      </c>
      <c r="AE77" s="58"/>
      <c r="AF77" s="58"/>
      <c r="AG77" s="58" t="s">
        <v>3296</v>
      </c>
      <c r="AH77" s="58" t="s">
        <v>3296</v>
      </c>
      <c r="AI77" s="58"/>
      <c r="AJ77" s="58"/>
      <c r="AK77" s="58"/>
      <c r="AL77" s="58"/>
      <c r="AM77" s="58"/>
      <c r="AN77" s="58" t="s">
        <v>1822</v>
      </c>
      <c r="AO77" s="60" t="s">
        <v>1599</v>
      </c>
      <c r="AP77" s="60" t="s">
        <v>1600</v>
      </c>
      <c r="AQ77" s="58" t="s">
        <v>3609</v>
      </c>
      <c r="AR77" s="58" t="s">
        <v>288</v>
      </c>
      <c r="AS77" s="58" t="s">
        <v>3298</v>
      </c>
      <c r="AT77" s="58" t="s">
        <v>3610</v>
      </c>
      <c r="AU77" s="58" t="s">
        <v>3325</v>
      </c>
      <c r="AV77" s="58" t="s">
        <v>3338</v>
      </c>
      <c r="AW77" s="58"/>
      <c r="AX77" s="58"/>
      <c r="AY77" s="58"/>
      <c r="AZ77" s="58"/>
      <c r="BA77" s="58"/>
      <c r="BB77" s="58" t="s">
        <v>3361</v>
      </c>
      <c r="BC77" s="58" t="s">
        <v>3304</v>
      </c>
      <c r="BD77" s="58" t="s">
        <v>3362</v>
      </c>
      <c r="BE77" s="58"/>
      <c r="BF77" s="58"/>
      <c r="BG77" s="58"/>
      <c r="BH77" s="58"/>
      <c r="BI77" s="58"/>
      <c r="BJ77" s="58"/>
      <c r="BK77" s="58"/>
      <c r="BL77" s="58"/>
      <c r="BM77" s="58"/>
      <c r="BN77" s="58"/>
      <c r="BO77" s="58"/>
      <c r="BP77" s="58"/>
      <c r="BQ77" s="58"/>
      <c r="BR77" s="58" t="s">
        <v>2315</v>
      </c>
      <c r="BS77" s="58"/>
      <c r="BT77" s="58" t="s">
        <v>1822</v>
      </c>
      <c r="BU77" s="58" t="s">
        <v>366</v>
      </c>
      <c r="BV77" s="58" t="s">
        <v>1822</v>
      </c>
      <c r="BW77" s="58" t="s">
        <v>366</v>
      </c>
      <c r="BX77" s="58"/>
    </row>
    <row r="78" spans="1:76" ht="15" customHeight="1" x14ac:dyDescent="0.25">
      <c r="A78" s="61" t="str">
        <f t="shared" si="1"/>
        <v>072208011863</v>
      </c>
      <c r="B78" s="58">
        <v>76</v>
      </c>
      <c r="C78" s="58"/>
      <c r="D78" s="58"/>
      <c r="E78" s="58"/>
      <c r="F78" s="58" t="s">
        <v>1611</v>
      </c>
      <c r="G78" s="58" t="s">
        <v>1609</v>
      </c>
      <c r="H78" s="58" t="s">
        <v>1605</v>
      </c>
      <c r="I78" s="58" t="s">
        <v>1606</v>
      </c>
      <c r="J78" s="58" t="s">
        <v>2909</v>
      </c>
      <c r="K78" s="58" t="s">
        <v>278</v>
      </c>
      <c r="L78" s="58" t="s">
        <v>1608</v>
      </c>
      <c r="M78" s="58" t="s">
        <v>1607</v>
      </c>
      <c r="N78" s="58" t="s">
        <v>799</v>
      </c>
      <c r="O78" s="58" t="s">
        <v>3611</v>
      </c>
      <c r="P78" s="58" t="s">
        <v>3295</v>
      </c>
      <c r="Q78" s="58"/>
      <c r="R78" s="58"/>
      <c r="S78" s="58"/>
      <c r="T78" s="58"/>
      <c r="U78" s="58"/>
      <c r="V78" s="58"/>
      <c r="W78" s="58"/>
      <c r="X78" s="59"/>
      <c r="Y78" s="59"/>
      <c r="Z78" s="58"/>
      <c r="AA78" s="58"/>
      <c r="AB78" s="58"/>
      <c r="AC78" s="58"/>
      <c r="AD78" s="58">
        <v>2026</v>
      </c>
      <c r="AE78" s="58"/>
      <c r="AF78" s="58"/>
      <c r="AG78" s="58" t="s">
        <v>3313</v>
      </c>
      <c r="AH78" s="58" t="s">
        <v>3296</v>
      </c>
      <c r="AI78" s="58"/>
      <c r="AJ78" s="58"/>
      <c r="AK78" s="58"/>
      <c r="AL78" s="58"/>
      <c r="AM78" s="58"/>
      <c r="AN78" s="58" t="s">
        <v>799</v>
      </c>
      <c r="AO78" s="60" t="s">
        <v>1612</v>
      </c>
      <c r="AP78" s="60" t="s">
        <v>1613</v>
      </c>
      <c r="AQ78" s="58" t="s">
        <v>3612</v>
      </c>
      <c r="AR78" s="58" t="s">
        <v>288</v>
      </c>
      <c r="AS78" s="58" t="s">
        <v>3371</v>
      </c>
      <c r="AT78" s="58" t="s">
        <v>3613</v>
      </c>
      <c r="AU78" s="58" t="s">
        <v>3368</v>
      </c>
      <c r="AV78" s="58" t="s">
        <v>3361</v>
      </c>
      <c r="AW78" s="58" t="s">
        <v>3325</v>
      </c>
      <c r="AX78" s="58" t="s">
        <v>3332</v>
      </c>
      <c r="AY78" s="58"/>
      <c r="AZ78" s="58"/>
      <c r="BA78" s="58"/>
      <c r="BB78" s="58"/>
      <c r="BC78" s="58"/>
      <c r="BD78" s="58"/>
      <c r="BE78" s="58"/>
      <c r="BF78" s="58"/>
      <c r="BG78" s="58"/>
      <c r="BH78" s="58"/>
      <c r="BI78" s="58"/>
      <c r="BJ78" s="58"/>
      <c r="BK78" s="58"/>
      <c r="BL78" s="58"/>
      <c r="BM78" s="58"/>
      <c r="BN78" s="58"/>
      <c r="BO78" s="58"/>
      <c r="BP78" s="58"/>
      <c r="BQ78" s="58"/>
      <c r="BR78" s="58" t="s">
        <v>3614</v>
      </c>
      <c r="BS78" s="58"/>
      <c r="BT78" s="58" t="s">
        <v>799</v>
      </c>
      <c r="BU78" s="58" t="s">
        <v>1612</v>
      </c>
      <c r="BV78" s="58" t="s">
        <v>799</v>
      </c>
      <c r="BW78" s="58" t="s">
        <v>1612</v>
      </c>
      <c r="BX78" s="58"/>
    </row>
    <row r="79" spans="1:76" ht="15" customHeight="1" x14ac:dyDescent="0.25">
      <c r="A79" s="61" t="str">
        <f t="shared" si="1"/>
        <v>091308014159</v>
      </c>
      <c r="B79" s="58">
        <v>77</v>
      </c>
      <c r="C79" s="58"/>
      <c r="D79" s="58"/>
      <c r="E79" s="58"/>
      <c r="F79" s="58" t="s">
        <v>1625</v>
      </c>
      <c r="G79" s="58" t="s">
        <v>37</v>
      </c>
      <c r="H79" s="58" t="s">
        <v>1620</v>
      </c>
      <c r="I79" s="58" t="s">
        <v>1621</v>
      </c>
      <c r="J79" s="58" t="s">
        <v>2908</v>
      </c>
      <c r="K79" s="58" t="s">
        <v>278</v>
      </c>
      <c r="L79" s="58" t="s">
        <v>1623</v>
      </c>
      <c r="M79" s="58" t="s">
        <v>1622</v>
      </c>
      <c r="N79" s="58" t="s">
        <v>1809</v>
      </c>
      <c r="O79" s="58" t="s">
        <v>3615</v>
      </c>
      <c r="P79" s="58" t="s">
        <v>3295</v>
      </c>
      <c r="Q79" s="58"/>
      <c r="R79" s="58"/>
      <c r="S79" s="58"/>
      <c r="T79" s="58"/>
      <c r="U79" s="58"/>
      <c r="V79" s="58"/>
      <c r="W79" s="58"/>
      <c r="X79" s="59"/>
      <c r="Y79" s="59"/>
      <c r="Z79" s="58"/>
      <c r="AA79" s="58"/>
      <c r="AB79" s="58"/>
      <c r="AC79" s="58"/>
      <c r="AD79" s="58">
        <v>2026</v>
      </c>
      <c r="AE79" s="58"/>
      <c r="AF79" s="58"/>
      <c r="AG79" s="58" t="s">
        <v>3296</v>
      </c>
      <c r="AH79" s="58" t="s">
        <v>3296</v>
      </c>
      <c r="AI79" s="58"/>
      <c r="AJ79" s="58"/>
      <c r="AK79" s="58"/>
      <c r="AL79" s="58"/>
      <c r="AM79" s="58"/>
      <c r="AN79" s="58" t="s">
        <v>1809</v>
      </c>
      <c r="AO79" s="60" t="s">
        <v>857</v>
      </c>
      <c r="AP79" s="60" t="s">
        <v>1626</v>
      </c>
      <c r="AQ79" s="58" t="s">
        <v>3616</v>
      </c>
      <c r="AR79" s="58" t="s">
        <v>288</v>
      </c>
      <c r="AS79" s="58" t="s">
        <v>3321</v>
      </c>
      <c r="AT79" s="58" t="s">
        <v>3617</v>
      </c>
      <c r="AU79" s="58" t="s">
        <v>3332</v>
      </c>
      <c r="AV79" s="58" t="s">
        <v>3368</v>
      </c>
      <c r="AW79" s="58"/>
      <c r="AX79" s="58"/>
      <c r="AY79" s="58"/>
      <c r="AZ79" s="58" t="s">
        <v>3618</v>
      </c>
      <c r="BA79" s="58"/>
      <c r="BB79" s="58" t="s">
        <v>3361</v>
      </c>
      <c r="BC79" s="58" t="s">
        <v>3304</v>
      </c>
      <c r="BD79" s="58"/>
      <c r="BE79" s="58"/>
      <c r="BF79" s="58"/>
      <c r="BG79" s="58"/>
      <c r="BH79" s="58"/>
      <c r="BI79" s="58"/>
      <c r="BJ79" s="58"/>
      <c r="BK79" s="58"/>
      <c r="BL79" s="58"/>
      <c r="BM79" s="58"/>
      <c r="BN79" s="58"/>
      <c r="BO79" s="58"/>
      <c r="BP79" s="58"/>
      <c r="BQ79" s="58"/>
      <c r="BR79" s="58" t="s">
        <v>566</v>
      </c>
      <c r="BS79" s="58"/>
      <c r="BT79" s="58" t="s">
        <v>1809</v>
      </c>
      <c r="BU79" s="58" t="s">
        <v>366</v>
      </c>
      <c r="BV79" s="58" t="s">
        <v>1809</v>
      </c>
      <c r="BW79" s="58" t="s">
        <v>366</v>
      </c>
      <c r="BX79" s="58"/>
    </row>
    <row r="80" spans="1:76" ht="15" customHeight="1" x14ac:dyDescent="0.25">
      <c r="A80" s="61" t="str">
        <f t="shared" si="1"/>
        <v>086308006995</v>
      </c>
      <c r="B80" s="58">
        <v>78</v>
      </c>
      <c r="C80" s="58"/>
      <c r="D80" s="58"/>
      <c r="E80" s="58"/>
      <c r="F80" s="58" t="s">
        <v>1639</v>
      </c>
      <c r="G80" s="58" t="s">
        <v>58</v>
      </c>
      <c r="H80" s="58" t="s">
        <v>1634</v>
      </c>
      <c r="I80" s="58" t="s">
        <v>1635</v>
      </c>
      <c r="J80" s="58" t="s">
        <v>2908</v>
      </c>
      <c r="K80" s="58" t="s">
        <v>278</v>
      </c>
      <c r="L80" s="58" t="s">
        <v>1637</v>
      </c>
      <c r="M80" s="58" t="s">
        <v>3619</v>
      </c>
      <c r="N80" s="58" t="s">
        <v>1851</v>
      </c>
      <c r="O80" s="58" t="s">
        <v>3436</v>
      </c>
      <c r="P80" s="58" t="s">
        <v>314</v>
      </c>
      <c r="Q80" s="58"/>
      <c r="R80" s="58"/>
      <c r="S80" s="58"/>
      <c r="T80" s="58"/>
      <c r="U80" s="58"/>
      <c r="V80" s="58"/>
      <c r="W80" s="58"/>
      <c r="X80" s="59"/>
      <c r="Y80" s="59"/>
      <c r="Z80" s="58"/>
      <c r="AA80" s="58"/>
      <c r="AB80" s="58"/>
      <c r="AC80" s="58"/>
      <c r="AD80" s="58">
        <v>2026</v>
      </c>
      <c r="AE80" s="58"/>
      <c r="AF80" s="58"/>
      <c r="AG80" s="58" t="s">
        <v>3296</v>
      </c>
      <c r="AH80" s="58" t="s">
        <v>3296</v>
      </c>
      <c r="AI80" s="58"/>
      <c r="AJ80" s="58"/>
      <c r="AK80" s="58"/>
      <c r="AL80" s="58"/>
      <c r="AM80" s="58"/>
      <c r="AN80" s="58" t="s">
        <v>1870</v>
      </c>
      <c r="AO80" s="60" t="s">
        <v>1640</v>
      </c>
      <c r="AP80" s="60" t="s">
        <v>1641</v>
      </c>
      <c r="AQ80" s="58" t="s">
        <v>3620</v>
      </c>
      <c r="AR80" s="58" t="s">
        <v>288</v>
      </c>
      <c r="AS80" s="58" t="s">
        <v>3330</v>
      </c>
      <c r="AT80" s="58" t="s">
        <v>3438</v>
      </c>
      <c r="AU80" s="58" t="s">
        <v>3303</v>
      </c>
      <c r="AV80" s="58" t="s">
        <v>3368</v>
      </c>
      <c r="AW80" s="58"/>
      <c r="AX80" s="58"/>
      <c r="AY80" s="58"/>
      <c r="AZ80" s="58"/>
      <c r="BA80" s="58"/>
      <c r="BB80" s="58" t="s">
        <v>3395</v>
      </c>
      <c r="BC80" s="58" t="s">
        <v>3304</v>
      </c>
      <c r="BD80" s="58" t="s">
        <v>3425</v>
      </c>
      <c r="BE80" s="58"/>
      <c r="BF80" s="58"/>
      <c r="BG80" s="58"/>
      <c r="BH80" s="58"/>
      <c r="BI80" s="58"/>
      <c r="BJ80" s="58"/>
      <c r="BK80" s="58"/>
      <c r="BL80" s="58"/>
      <c r="BM80" s="58"/>
      <c r="BN80" s="58"/>
      <c r="BO80" s="58"/>
      <c r="BP80" s="58"/>
      <c r="BQ80" s="58"/>
      <c r="BR80" s="58" t="s">
        <v>3621</v>
      </c>
      <c r="BS80" s="58"/>
      <c r="BT80" s="58" t="s">
        <v>1870</v>
      </c>
      <c r="BU80" s="58" t="s">
        <v>1640</v>
      </c>
      <c r="BV80" s="58" t="s">
        <v>1870</v>
      </c>
      <c r="BW80" s="58" t="s">
        <v>1640</v>
      </c>
      <c r="BX80" s="58"/>
    </row>
    <row r="81" spans="1:76" ht="15" customHeight="1" x14ac:dyDescent="0.25">
      <c r="A81" s="61" t="str">
        <f t="shared" si="1"/>
        <v>086208011850</v>
      </c>
      <c r="B81" s="58">
        <v>79</v>
      </c>
      <c r="C81" s="58"/>
      <c r="D81" s="58"/>
      <c r="E81" s="58"/>
      <c r="F81" s="58" t="s">
        <v>1652</v>
      </c>
      <c r="G81" s="58" t="s">
        <v>1650</v>
      </c>
      <c r="H81" s="58" t="s">
        <v>1647</v>
      </c>
      <c r="I81" s="58" t="s">
        <v>718</v>
      </c>
      <c r="J81" s="58" t="s">
        <v>2909</v>
      </c>
      <c r="K81" s="58" t="s">
        <v>278</v>
      </c>
      <c r="L81" s="58" t="s">
        <v>1649</v>
      </c>
      <c r="M81" s="58" t="s">
        <v>1648</v>
      </c>
      <c r="N81" s="58" t="s">
        <v>1851</v>
      </c>
      <c r="O81" s="58" t="s">
        <v>3622</v>
      </c>
      <c r="P81" s="58" t="s">
        <v>3295</v>
      </c>
      <c r="Q81" s="58"/>
      <c r="R81" s="58"/>
      <c r="S81" s="58"/>
      <c r="T81" s="58"/>
      <c r="U81" s="58"/>
      <c r="V81" s="58"/>
      <c r="W81" s="58"/>
      <c r="X81" s="59"/>
      <c r="Y81" s="59"/>
      <c r="Z81" s="58"/>
      <c r="AA81" s="58"/>
      <c r="AB81" s="58"/>
      <c r="AC81" s="58"/>
      <c r="AD81" s="58">
        <v>2026</v>
      </c>
      <c r="AE81" s="58"/>
      <c r="AF81" s="58"/>
      <c r="AG81" s="58" t="s">
        <v>3313</v>
      </c>
      <c r="AH81" s="58" t="s">
        <v>3296</v>
      </c>
      <c r="AI81" s="58"/>
      <c r="AJ81" s="58"/>
      <c r="AK81" s="58"/>
      <c r="AL81" s="58"/>
      <c r="AM81" s="58"/>
      <c r="AN81" s="58" t="s">
        <v>1851</v>
      </c>
      <c r="AO81" s="60" t="s">
        <v>1653</v>
      </c>
      <c r="AP81" s="60" t="s">
        <v>1654</v>
      </c>
      <c r="AQ81" s="58" t="s">
        <v>3623</v>
      </c>
      <c r="AR81" s="58" t="s">
        <v>288</v>
      </c>
      <c r="AS81" s="58" t="s">
        <v>3330</v>
      </c>
      <c r="AT81" s="58" t="s">
        <v>3624</v>
      </c>
      <c r="AU81" s="58" t="s">
        <v>3625</v>
      </c>
      <c r="AV81" s="58" t="s">
        <v>3303</v>
      </c>
      <c r="AW81" s="58"/>
      <c r="AX81" s="58"/>
      <c r="AY81" s="58"/>
      <c r="AZ81" s="58"/>
      <c r="BA81" s="58" t="s">
        <v>3303</v>
      </c>
      <c r="BB81" s="58"/>
      <c r="BC81" s="58"/>
      <c r="BD81" s="58" t="s">
        <v>3508</v>
      </c>
      <c r="BE81" s="58"/>
      <c r="BF81" s="58"/>
      <c r="BG81" s="58"/>
      <c r="BH81" s="58"/>
      <c r="BI81" s="58"/>
      <c r="BJ81" s="58"/>
      <c r="BK81" s="58"/>
      <c r="BL81" s="58"/>
      <c r="BM81" s="58"/>
      <c r="BN81" s="58"/>
      <c r="BO81" s="58"/>
      <c r="BP81" s="58"/>
      <c r="BQ81" s="58"/>
      <c r="BR81" s="58" t="s">
        <v>1988</v>
      </c>
      <c r="BS81" s="58"/>
      <c r="BT81" s="58" t="s">
        <v>1851</v>
      </c>
      <c r="BU81" s="58" t="s">
        <v>1653</v>
      </c>
      <c r="BV81" s="58" t="s">
        <v>1851</v>
      </c>
      <c r="BW81" s="58" t="s">
        <v>1653</v>
      </c>
      <c r="BX81" s="58"/>
    </row>
    <row r="82" spans="1:76" ht="15" customHeight="1" x14ac:dyDescent="0.25">
      <c r="A82" s="61" t="str">
        <f t="shared" si="1"/>
        <v>086308005178</v>
      </c>
      <c r="B82" s="58">
        <v>80</v>
      </c>
      <c r="C82" s="58"/>
      <c r="D82" s="58"/>
      <c r="E82" s="58"/>
      <c r="F82" s="58" t="s">
        <v>1667</v>
      </c>
      <c r="G82" s="58" t="s">
        <v>1665</v>
      </c>
      <c r="H82" s="58" t="s">
        <v>1661</v>
      </c>
      <c r="I82" s="58" t="s">
        <v>1662</v>
      </c>
      <c r="J82" s="58" t="s">
        <v>2908</v>
      </c>
      <c r="K82" s="58" t="s">
        <v>278</v>
      </c>
      <c r="L82" s="58" t="s">
        <v>1664</v>
      </c>
      <c r="M82" s="58" t="s">
        <v>1663</v>
      </c>
      <c r="N82" s="58" t="s">
        <v>1851</v>
      </c>
      <c r="O82" s="58" t="s">
        <v>3436</v>
      </c>
      <c r="P82" s="58" t="s">
        <v>376</v>
      </c>
      <c r="Q82" s="58"/>
      <c r="R82" s="58"/>
      <c r="S82" s="58"/>
      <c r="T82" s="58"/>
      <c r="U82" s="58"/>
      <c r="V82" s="58"/>
      <c r="W82" s="58"/>
      <c r="X82" s="59"/>
      <c r="Y82" s="59"/>
      <c r="Z82" s="58"/>
      <c r="AA82" s="58"/>
      <c r="AB82" s="58"/>
      <c r="AC82" s="58"/>
      <c r="AD82" s="58">
        <v>2026</v>
      </c>
      <c r="AE82" s="58"/>
      <c r="AF82" s="58"/>
      <c r="AG82" s="58" t="s">
        <v>3296</v>
      </c>
      <c r="AH82" s="58" t="s">
        <v>3296</v>
      </c>
      <c r="AI82" s="58"/>
      <c r="AJ82" s="58"/>
      <c r="AK82" s="58"/>
      <c r="AL82" s="58"/>
      <c r="AM82" s="58"/>
      <c r="AN82" s="58" t="s">
        <v>1851</v>
      </c>
      <c r="AO82" s="60" t="s">
        <v>777</v>
      </c>
      <c r="AP82" s="60" t="s">
        <v>778</v>
      </c>
      <c r="AQ82" s="58" t="s">
        <v>3626</v>
      </c>
      <c r="AR82" s="58" t="s">
        <v>288</v>
      </c>
      <c r="AS82" s="58" t="s">
        <v>3330</v>
      </c>
      <c r="AT82" s="58" t="s">
        <v>3438</v>
      </c>
      <c r="AU82" s="58" t="s">
        <v>3325</v>
      </c>
      <c r="AV82" s="58" t="s">
        <v>3323</v>
      </c>
      <c r="AW82" s="58"/>
      <c r="AX82" s="58" t="s">
        <v>3332</v>
      </c>
      <c r="AY82" s="58" t="s">
        <v>3368</v>
      </c>
      <c r="AZ82" s="58"/>
      <c r="BA82" s="58"/>
      <c r="BB82" s="58"/>
      <c r="BC82" s="58"/>
      <c r="BD82" s="58"/>
      <c r="BE82" s="58"/>
      <c r="BF82" s="58"/>
      <c r="BG82" s="58"/>
      <c r="BH82" s="58"/>
      <c r="BI82" s="58"/>
      <c r="BJ82" s="58"/>
      <c r="BK82" s="58"/>
      <c r="BL82" s="58"/>
      <c r="BM82" s="58"/>
      <c r="BN82" s="58"/>
      <c r="BO82" s="58"/>
      <c r="BP82" s="58"/>
      <c r="BQ82" s="58"/>
      <c r="BR82" s="58" t="s">
        <v>566</v>
      </c>
      <c r="BS82" s="58"/>
      <c r="BT82" s="58" t="s">
        <v>1851</v>
      </c>
      <c r="BU82" s="58" t="s">
        <v>777</v>
      </c>
      <c r="BV82" s="58" t="s">
        <v>1851</v>
      </c>
      <c r="BW82" s="58" t="s">
        <v>777</v>
      </c>
      <c r="BX82" s="58"/>
    </row>
    <row r="83" spans="1:76" ht="15" customHeight="1" x14ac:dyDescent="0.25">
      <c r="A83" s="61" t="str">
        <f t="shared" si="1"/>
        <v>087308004435</v>
      </c>
      <c r="B83" s="58">
        <v>81</v>
      </c>
      <c r="C83" s="58"/>
      <c r="D83" s="58"/>
      <c r="E83" s="58"/>
      <c r="F83" s="58" t="s">
        <v>1675</v>
      </c>
      <c r="G83" s="58" t="s">
        <v>52</v>
      </c>
      <c r="H83" s="58" t="s">
        <v>1671</v>
      </c>
      <c r="I83" s="58" t="s">
        <v>334</v>
      </c>
      <c r="J83" s="58" t="s">
        <v>2908</v>
      </c>
      <c r="K83" s="58" t="s">
        <v>278</v>
      </c>
      <c r="L83" s="58" t="s">
        <v>1673</v>
      </c>
      <c r="M83" s="58" t="s">
        <v>1672</v>
      </c>
      <c r="N83" s="58" t="s">
        <v>1822</v>
      </c>
      <c r="O83" s="58" t="s">
        <v>3627</v>
      </c>
      <c r="P83" s="58" t="s">
        <v>3295</v>
      </c>
      <c r="Q83" s="58"/>
      <c r="R83" s="58"/>
      <c r="S83" s="58"/>
      <c r="T83" s="58"/>
      <c r="U83" s="58"/>
      <c r="V83" s="58"/>
      <c r="W83" s="58"/>
      <c r="X83" s="59"/>
      <c r="Y83" s="59"/>
      <c r="Z83" s="58"/>
      <c r="AA83" s="58"/>
      <c r="AB83" s="58"/>
      <c r="AC83" s="58"/>
      <c r="AD83" s="58">
        <v>2026</v>
      </c>
      <c r="AE83" s="58"/>
      <c r="AF83" s="58"/>
      <c r="AG83" s="58" t="s">
        <v>3296</v>
      </c>
      <c r="AH83" s="58" t="s">
        <v>3296</v>
      </c>
      <c r="AI83" s="58"/>
      <c r="AJ83" s="58"/>
      <c r="AK83" s="58"/>
      <c r="AL83" s="58"/>
      <c r="AM83" s="58"/>
      <c r="AN83" s="58" t="s">
        <v>1822</v>
      </c>
      <c r="AO83" s="60" t="s">
        <v>1676</v>
      </c>
      <c r="AP83" s="60" t="s">
        <v>1677</v>
      </c>
      <c r="AQ83" s="58" t="s">
        <v>3628</v>
      </c>
      <c r="AR83" s="58" t="s">
        <v>288</v>
      </c>
      <c r="AS83" s="58" t="s">
        <v>3298</v>
      </c>
      <c r="AT83" s="58" t="s">
        <v>3629</v>
      </c>
      <c r="AU83" s="58" t="s">
        <v>3325</v>
      </c>
      <c r="AV83" s="58" t="s">
        <v>3333</v>
      </c>
      <c r="AW83" s="58" t="s">
        <v>3630</v>
      </c>
      <c r="AX83" s="58"/>
      <c r="AY83" s="58"/>
      <c r="AZ83" s="58"/>
      <c r="BA83" s="58"/>
      <c r="BB83" s="58" t="s">
        <v>3395</v>
      </c>
      <c r="BC83" s="58" t="s">
        <v>3304</v>
      </c>
      <c r="BD83" s="58"/>
      <c r="BE83" s="58"/>
      <c r="BF83" s="58"/>
      <c r="BG83" s="58"/>
      <c r="BH83" s="58"/>
      <c r="BI83" s="58"/>
      <c r="BJ83" s="58"/>
      <c r="BK83" s="58"/>
      <c r="BL83" s="58"/>
      <c r="BM83" s="58"/>
      <c r="BN83" s="58"/>
      <c r="BO83" s="58"/>
      <c r="BP83" s="58"/>
      <c r="BQ83" s="58"/>
      <c r="BR83" s="58" t="s">
        <v>1497</v>
      </c>
      <c r="BS83" s="58"/>
      <c r="BT83" s="58" t="s">
        <v>1822</v>
      </c>
      <c r="BU83" s="58" t="s">
        <v>1676</v>
      </c>
      <c r="BV83" s="58" t="s">
        <v>1822</v>
      </c>
      <c r="BW83" s="58" t="s">
        <v>1676</v>
      </c>
      <c r="BX83" s="58"/>
    </row>
    <row r="84" spans="1:76" ht="15" customHeight="1" x14ac:dyDescent="0.25">
      <c r="A84" s="61" t="str">
        <f t="shared" si="1"/>
        <v>082308006662</v>
      </c>
      <c r="B84" s="58">
        <v>82</v>
      </c>
      <c r="C84" s="58"/>
      <c r="D84" s="58"/>
      <c r="E84" s="58"/>
      <c r="F84" s="58" t="s">
        <v>1687</v>
      </c>
      <c r="G84" s="58" t="s">
        <v>84</v>
      </c>
      <c r="H84" s="58" t="s">
        <v>1682</v>
      </c>
      <c r="I84" s="58" t="s">
        <v>1683</v>
      </c>
      <c r="J84" s="58" t="s">
        <v>2908</v>
      </c>
      <c r="K84" s="58" t="s">
        <v>278</v>
      </c>
      <c r="L84" s="58" t="s">
        <v>1685</v>
      </c>
      <c r="M84" s="58" t="s">
        <v>1684</v>
      </c>
      <c r="N84" s="58" t="s">
        <v>1822</v>
      </c>
      <c r="O84" s="58" t="s">
        <v>3631</v>
      </c>
      <c r="P84" s="58" t="s">
        <v>3295</v>
      </c>
      <c r="Q84" s="58"/>
      <c r="R84" s="58"/>
      <c r="S84" s="58"/>
      <c r="T84" s="58"/>
      <c r="U84" s="58"/>
      <c r="V84" s="58"/>
      <c r="W84" s="58"/>
      <c r="X84" s="59"/>
      <c r="Y84" s="59"/>
      <c r="Z84" s="58"/>
      <c r="AA84" s="58"/>
      <c r="AB84" s="58"/>
      <c r="AC84" s="58"/>
      <c r="AD84" s="58">
        <v>2026</v>
      </c>
      <c r="AE84" s="58"/>
      <c r="AF84" s="58"/>
      <c r="AG84" s="58" t="s">
        <v>3296</v>
      </c>
      <c r="AH84" s="58" t="s">
        <v>3296</v>
      </c>
      <c r="AI84" s="58"/>
      <c r="AJ84" s="58"/>
      <c r="AK84" s="58"/>
      <c r="AL84" s="58"/>
      <c r="AM84" s="58"/>
      <c r="AN84" s="58" t="s">
        <v>1822</v>
      </c>
      <c r="AO84" s="60" t="s">
        <v>1691</v>
      </c>
      <c r="AP84" s="60" t="s">
        <v>1692</v>
      </c>
      <c r="AQ84" s="58" t="s">
        <v>3632</v>
      </c>
      <c r="AR84" s="58" t="s">
        <v>288</v>
      </c>
      <c r="AS84" s="58" t="s">
        <v>3298</v>
      </c>
      <c r="AT84" s="58" t="s">
        <v>3633</v>
      </c>
      <c r="AU84" s="58" t="s">
        <v>3303</v>
      </c>
      <c r="AV84" s="58" t="s">
        <v>3325</v>
      </c>
      <c r="AW84" s="58"/>
      <c r="AX84" s="58"/>
      <c r="AY84" s="58"/>
      <c r="AZ84" s="58" t="s">
        <v>3368</v>
      </c>
      <c r="BA84" s="58"/>
      <c r="BB84" s="58"/>
      <c r="BC84" s="58"/>
      <c r="BD84" s="58" t="s">
        <v>3333</v>
      </c>
      <c r="BE84" s="58"/>
      <c r="BF84" s="58"/>
      <c r="BG84" s="58"/>
      <c r="BH84" s="58"/>
      <c r="BI84" s="58"/>
      <c r="BJ84" s="58"/>
      <c r="BK84" s="58"/>
      <c r="BL84" s="58"/>
      <c r="BM84" s="58"/>
      <c r="BN84" s="58"/>
      <c r="BO84" s="58"/>
      <c r="BP84" s="58"/>
      <c r="BQ84" s="58"/>
      <c r="BR84" s="58" t="s">
        <v>1693</v>
      </c>
      <c r="BS84" s="58"/>
      <c r="BT84" s="58" t="s">
        <v>1822</v>
      </c>
      <c r="BU84" s="58" t="s">
        <v>1691</v>
      </c>
      <c r="BV84" s="58" t="s">
        <v>1822</v>
      </c>
      <c r="BW84" s="58" t="s">
        <v>1691</v>
      </c>
      <c r="BX84" s="58"/>
    </row>
    <row r="85" spans="1:76" ht="15" customHeight="1" x14ac:dyDescent="0.25">
      <c r="A85" s="61" t="str">
        <f t="shared" si="1"/>
        <v>086208008791</v>
      </c>
      <c r="B85" s="58">
        <v>83</v>
      </c>
      <c r="C85" s="58"/>
      <c r="D85" s="58"/>
      <c r="E85" s="58"/>
      <c r="F85" s="58" t="s">
        <v>1705</v>
      </c>
      <c r="G85" s="58" t="s">
        <v>1703</v>
      </c>
      <c r="H85" s="58" t="s">
        <v>1700</v>
      </c>
      <c r="I85" s="58" t="s">
        <v>1621</v>
      </c>
      <c r="J85" s="58" t="s">
        <v>2909</v>
      </c>
      <c r="K85" s="58" t="s">
        <v>278</v>
      </c>
      <c r="L85" s="58" t="s">
        <v>1702</v>
      </c>
      <c r="M85" s="58" t="s">
        <v>1701</v>
      </c>
      <c r="N85" s="58" t="s">
        <v>1851</v>
      </c>
      <c r="O85" s="58" t="s">
        <v>3634</v>
      </c>
      <c r="P85" s="58" t="s">
        <v>376</v>
      </c>
      <c r="Q85" s="58"/>
      <c r="R85" s="58"/>
      <c r="S85" s="58"/>
      <c r="T85" s="58"/>
      <c r="U85" s="58"/>
      <c r="V85" s="58"/>
      <c r="W85" s="58"/>
      <c r="X85" s="59"/>
      <c r="Y85" s="59"/>
      <c r="Z85" s="58"/>
      <c r="AA85" s="58"/>
      <c r="AB85" s="58"/>
      <c r="AC85" s="58"/>
      <c r="AD85" s="58">
        <v>2026</v>
      </c>
      <c r="AE85" s="58"/>
      <c r="AF85" s="58"/>
      <c r="AG85" s="58" t="s">
        <v>3296</v>
      </c>
      <c r="AH85" s="58" t="s">
        <v>3296</v>
      </c>
      <c r="AI85" s="58"/>
      <c r="AJ85" s="58"/>
      <c r="AK85" s="58"/>
      <c r="AL85" s="58"/>
      <c r="AM85" s="58"/>
      <c r="AN85" s="58" t="s">
        <v>1851</v>
      </c>
      <c r="AO85" s="60" t="s">
        <v>750</v>
      </c>
      <c r="AP85" s="60" t="s">
        <v>751</v>
      </c>
      <c r="AQ85" s="58" t="s">
        <v>3635</v>
      </c>
      <c r="AR85" s="58" t="s">
        <v>288</v>
      </c>
      <c r="AS85" s="58" t="s">
        <v>3330</v>
      </c>
      <c r="AT85" s="58" t="s">
        <v>3636</v>
      </c>
      <c r="AU85" s="58" t="s">
        <v>3300</v>
      </c>
      <c r="AV85" s="58" t="s">
        <v>3300</v>
      </c>
      <c r="AW85" s="58" t="s">
        <v>3516</v>
      </c>
      <c r="AX85" s="58"/>
      <c r="AY85" s="58"/>
      <c r="AZ85" s="58" t="s">
        <v>3324</v>
      </c>
      <c r="BA85" s="58"/>
      <c r="BB85" s="58"/>
      <c r="BC85" s="58"/>
      <c r="BD85" s="58"/>
      <c r="BE85" s="58"/>
      <c r="BF85" s="58"/>
      <c r="BG85" s="58"/>
      <c r="BH85" s="58"/>
      <c r="BI85" s="58"/>
      <c r="BJ85" s="58"/>
      <c r="BK85" s="58"/>
      <c r="BL85" s="58"/>
      <c r="BM85" s="58"/>
      <c r="BN85" s="58"/>
      <c r="BO85" s="58"/>
      <c r="BP85" s="58"/>
      <c r="BQ85" s="58"/>
      <c r="BR85" s="58" t="s">
        <v>1868</v>
      </c>
      <c r="BS85" s="58"/>
      <c r="BT85" s="58" t="s">
        <v>1851</v>
      </c>
      <c r="BU85" s="58" t="s">
        <v>750</v>
      </c>
      <c r="BV85" s="58" t="s">
        <v>1851</v>
      </c>
      <c r="BW85" s="58" t="s">
        <v>750</v>
      </c>
      <c r="BX85" s="58"/>
    </row>
    <row r="86" spans="1:76" ht="15" customHeight="1" x14ac:dyDescent="0.25">
      <c r="A86" s="61" t="str">
        <f t="shared" si="1"/>
        <v>087208010723</v>
      </c>
      <c r="B86" s="58">
        <v>84</v>
      </c>
      <c r="C86" s="58"/>
      <c r="D86" s="58"/>
      <c r="E86" s="58"/>
      <c r="F86" s="58" t="s">
        <v>1714</v>
      </c>
      <c r="G86" s="58" t="s">
        <v>53</v>
      </c>
      <c r="H86" s="58" t="s">
        <v>1710</v>
      </c>
      <c r="I86" s="58" t="s">
        <v>1292</v>
      </c>
      <c r="J86" s="58" t="s">
        <v>2909</v>
      </c>
      <c r="K86" s="58" t="s">
        <v>278</v>
      </c>
      <c r="L86" s="58" t="s">
        <v>1712</v>
      </c>
      <c r="M86" s="58" t="s">
        <v>1711</v>
      </c>
      <c r="N86" s="58" t="s">
        <v>1822</v>
      </c>
      <c r="O86" s="58" t="s">
        <v>3627</v>
      </c>
      <c r="P86" s="58" t="s">
        <v>3295</v>
      </c>
      <c r="Q86" s="58"/>
      <c r="R86" s="58"/>
      <c r="S86" s="58"/>
      <c r="T86" s="58"/>
      <c r="U86" s="58"/>
      <c r="V86" s="58"/>
      <c r="W86" s="58"/>
      <c r="X86" s="59"/>
      <c r="Y86" s="59"/>
      <c r="Z86" s="58"/>
      <c r="AA86" s="58"/>
      <c r="AB86" s="58"/>
      <c r="AC86" s="58"/>
      <c r="AD86" s="58">
        <v>2026</v>
      </c>
      <c r="AE86" s="58"/>
      <c r="AF86" s="58"/>
      <c r="AG86" s="58" t="s">
        <v>3313</v>
      </c>
      <c r="AH86" s="58" t="s">
        <v>3296</v>
      </c>
      <c r="AI86" s="58"/>
      <c r="AJ86" s="58"/>
      <c r="AK86" s="58"/>
      <c r="AL86" s="58"/>
      <c r="AM86" s="58"/>
      <c r="AN86" s="58" t="s">
        <v>1822</v>
      </c>
      <c r="AO86" s="60" t="s">
        <v>1718</v>
      </c>
      <c r="AP86" s="60" t="s">
        <v>1719</v>
      </c>
      <c r="AQ86" s="58" t="s">
        <v>3637</v>
      </c>
      <c r="AR86" s="58" t="s">
        <v>288</v>
      </c>
      <c r="AS86" s="58" t="s">
        <v>3298</v>
      </c>
      <c r="AT86" s="58" t="s">
        <v>3629</v>
      </c>
      <c r="AU86" s="58" t="s">
        <v>3361</v>
      </c>
      <c r="AV86" s="58" t="s">
        <v>3301</v>
      </c>
      <c r="AW86" s="58"/>
      <c r="AX86" s="58"/>
      <c r="AY86" s="58"/>
      <c r="AZ86" s="58" t="s">
        <v>3344</v>
      </c>
      <c r="BA86" s="58"/>
      <c r="BB86" s="58" t="s">
        <v>3352</v>
      </c>
      <c r="BC86" s="58" t="s">
        <v>3304</v>
      </c>
      <c r="BD86" s="58"/>
      <c r="BE86" s="58"/>
      <c r="BF86" s="58"/>
      <c r="BG86" s="58"/>
      <c r="BH86" s="58"/>
      <c r="BI86" s="58"/>
      <c r="BJ86" s="58"/>
      <c r="BK86" s="58"/>
      <c r="BL86" s="58"/>
      <c r="BM86" s="58"/>
      <c r="BN86" s="58"/>
      <c r="BO86" s="58"/>
      <c r="BP86" s="58"/>
      <c r="BQ86" s="58"/>
      <c r="BR86" s="58" t="s">
        <v>930</v>
      </c>
      <c r="BS86" s="58"/>
      <c r="BT86" s="58" t="s">
        <v>1822</v>
      </c>
      <c r="BU86" s="58" t="s">
        <v>1718</v>
      </c>
      <c r="BV86" s="58" t="s">
        <v>1822</v>
      </c>
      <c r="BW86" s="58" t="s">
        <v>1718</v>
      </c>
      <c r="BX86" s="58"/>
    </row>
    <row r="87" spans="1:76" ht="15" customHeight="1" x14ac:dyDescent="0.25">
      <c r="A87" s="61" t="str">
        <f t="shared" si="1"/>
        <v>086308000630</v>
      </c>
      <c r="B87" s="58">
        <v>85</v>
      </c>
      <c r="C87" s="58"/>
      <c r="D87" s="58"/>
      <c r="E87" s="58"/>
      <c r="F87" s="58" t="s">
        <v>1732</v>
      </c>
      <c r="G87" s="58" t="s">
        <v>63</v>
      </c>
      <c r="H87" s="58" t="s">
        <v>1728</v>
      </c>
      <c r="I87" s="58" t="s">
        <v>1466</v>
      </c>
      <c r="J87" s="58" t="s">
        <v>2908</v>
      </c>
      <c r="K87" s="58" t="s">
        <v>278</v>
      </c>
      <c r="L87" s="58" t="s">
        <v>1730</v>
      </c>
      <c r="M87" s="58" t="s">
        <v>1729</v>
      </c>
      <c r="N87" s="58" t="s">
        <v>1809</v>
      </c>
      <c r="O87" s="58" t="s">
        <v>3638</v>
      </c>
      <c r="P87" s="58" t="s">
        <v>376</v>
      </c>
      <c r="Q87" s="58"/>
      <c r="R87" s="58"/>
      <c r="S87" s="58"/>
      <c r="T87" s="58"/>
      <c r="U87" s="58"/>
      <c r="V87" s="58"/>
      <c r="W87" s="58"/>
      <c r="X87" s="59"/>
      <c r="Y87" s="59"/>
      <c r="Z87" s="58"/>
      <c r="AA87" s="58"/>
      <c r="AB87" s="58"/>
      <c r="AC87" s="58"/>
      <c r="AD87" s="58">
        <v>2026</v>
      </c>
      <c r="AE87" s="58"/>
      <c r="AF87" s="58"/>
      <c r="AG87" s="58" t="s">
        <v>3313</v>
      </c>
      <c r="AH87" s="58" t="s">
        <v>3296</v>
      </c>
      <c r="AI87" s="58"/>
      <c r="AJ87" s="58"/>
      <c r="AK87" s="58"/>
      <c r="AL87" s="58"/>
      <c r="AM87" s="58"/>
      <c r="AN87" s="58" t="s">
        <v>1809</v>
      </c>
      <c r="AO87" s="60" t="s">
        <v>1699</v>
      </c>
      <c r="AP87" s="60" t="s">
        <v>1739</v>
      </c>
      <c r="AQ87" s="58" t="s">
        <v>3639</v>
      </c>
      <c r="AR87" s="58" t="s">
        <v>288</v>
      </c>
      <c r="AS87" s="58" t="s">
        <v>3321</v>
      </c>
      <c r="AT87" s="58" t="s">
        <v>3640</v>
      </c>
      <c r="AU87" s="58" t="s">
        <v>3333</v>
      </c>
      <c r="AV87" s="58" t="s">
        <v>3338</v>
      </c>
      <c r="AW87" s="58" t="s">
        <v>3357</v>
      </c>
      <c r="AX87" s="58"/>
      <c r="AY87" s="58"/>
      <c r="AZ87" s="58"/>
      <c r="BA87" s="58"/>
      <c r="BB87" s="58" t="s">
        <v>3421</v>
      </c>
      <c r="BC87" s="58" t="s">
        <v>3304</v>
      </c>
      <c r="BD87" s="58"/>
      <c r="BE87" s="58"/>
      <c r="BF87" s="58"/>
      <c r="BG87" s="58"/>
      <c r="BH87" s="58"/>
      <c r="BI87" s="58"/>
      <c r="BJ87" s="58"/>
      <c r="BK87" s="58"/>
      <c r="BL87" s="58"/>
      <c r="BM87" s="58"/>
      <c r="BN87" s="58"/>
      <c r="BO87" s="58"/>
      <c r="BP87" s="58"/>
      <c r="BQ87" s="58"/>
      <c r="BR87" s="58" t="s">
        <v>1987</v>
      </c>
      <c r="BS87" s="58"/>
      <c r="BT87" s="58" t="s">
        <v>1809</v>
      </c>
      <c r="BU87" s="58" t="s">
        <v>1699</v>
      </c>
      <c r="BV87" s="58" t="s">
        <v>1809</v>
      </c>
      <c r="BW87" s="58" t="s">
        <v>1699</v>
      </c>
      <c r="BX87" s="58"/>
    </row>
    <row r="88" spans="1:76" ht="15" customHeight="1" x14ac:dyDescent="0.25">
      <c r="A88" s="61" t="str">
        <f t="shared" si="1"/>
        <v>082208015752</v>
      </c>
      <c r="B88" s="58">
        <v>86</v>
      </c>
      <c r="C88" s="58"/>
      <c r="D88" s="58"/>
      <c r="E88" s="58"/>
      <c r="F88" s="58" t="s">
        <v>1750</v>
      </c>
      <c r="G88" s="58" t="s">
        <v>1748</v>
      </c>
      <c r="H88" s="58" t="s">
        <v>1744</v>
      </c>
      <c r="I88" s="58" t="s">
        <v>1745</v>
      </c>
      <c r="J88" s="58" t="s">
        <v>2909</v>
      </c>
      <c r="K88" s="58" t="s">
        <v>278</v>
      </c>
      <c r="L88" s="58" t="s">
        <v>1747</v>
      </c>
      <c r="M88" s="58" t="s">
        <v>1746</v>
      </c>
      <c r="N88" s="58" t="s">
        <v>1822</v>
      </c>
      <c r="O88" s="58" t="s">
        <v>3641</v>
      </c>
      <c r="P88" s="58" t="s">
        <v>3295</v>
      </c>
      <c r="Q88" s="58"/>
      <c r="R88" s="58"/>
      <c r="S88" s="58"/>
      <c r="T88" s="58"/>
      <c r="U88" s="58"/>
      <c r="V88" s="58"/>
      <c r="W88" s="58"/>
      <c r="X88" s="59"/>
      <c r="Y88" s="59"/>
      <c r="Z88" s="58"/>
      <c r="AA88" s="58"/>
      <c r="AB88" s="58"/>
      <c r="AC88" s="58"/>
      <c r="AD88" s="58">
        <v>2026</v>
      </c>
      <c r="AE88" s="58"/>
      <c r="AF88" s="58"/>
      <c r="AG88" s="58" t="s">
        <v>3313</v>
      </c>
      <c r="AH88" s="58" t="s">
        <v>3426</v>
      </c>
      <c r="AI88" s="58"/>
      <c r="AJ88" s="58"/>
      <c r="AK88" s="58"/>
      <c r="AL88" s="58"/>
      <c r="AM88" s="58"/>
      <c r="AN88" s="58" t="s">
        <v>1822</v>
      </c>
      <c r="AO88" s="60" t="s">
        <v>1751</v>
      </c>
      <c r="AP88" s="60" t="s">
        <v>1752</v>
      </c>
      <c r="AQ88" s="58" t="s">
        <v>3642</v>
      </c>
      <c r="AR88" s="58" t="s">
        <v>288</v>
      </c>
      <c r="AS88" s="58" t="s">
        <v>3298</v>
      </c>
      <c r="AT88" s="58" t="s">
        <v>3643</v>
      </c>
      <c r="AU88" s="58" t="s">
        <v>3333</v>
      </c>
      <c r="AV88" s="58" t="s">
        <v>3338</v>
      </c>
      <c r="AW88" s="58" t="s">
        <v>3311</v>
      </c>
      <c r="AX88" s="58"/>
      <c r="AY88" s="58"/>
      <c r="AZ88" s="58"/>
      <c r="BA88" s="58"/>
      <c r="BB88" s="58" t="s">
        <v>3323</v>
      </c>
      <c r="BC88" s="58" t="s">
        <v>3304</v>
      </c>
      <c r="BD88" s="58"/>
      <c r="BE88" s="58"/>
      <c r="BF88" s="58"/>
      <c r="BG88" s="58"/>
      <c r="BH88" s="58"/>
      <c r="BI88" s="58"/>
      <c r="BJ88" s="58"/>
      <c r="BK88" s="58"/>
      <c r="BL88" s="58"/>
      <c r="BM88" s="58"/>
      <c r="BN88" s="58"/>
      <c r="BO88" s="58"/>
      <c r="BP88" s="58"/>
      <c r="BQ88" s="58"/>
      <c r="BR88" s="58" t="s">
        <v>806</v>
      </c>
      <c r="BS88" s="58"/>
      <c r="BT88" s="58" t="s">
        <v>1822</v>
      </c>
      <c r="BU88" s="58" t="s">
        <v>1751</v>
      </c>
      <c r="BV88" s="58" t="s">
        <v>1822</v>
      </c>
      <c r="BW88" s="58" t="s">
        <v>1751</v>
      </c>
      <c r="BX88" s="58"/>
    </row>
    <row r="89" spans="1:76" ht="15" customHeight="1" x14ac:dyDescent="0.25">
      <c r="A89" s="61" t="str">
        <f t="shared" si="1"/>
        <v>089308002325</v>
      </c>
      <c r="B89" s="58">
        <v>87</v>
      </c>
      <c r="C89" s="58"/>
      <c r="D89" s="58"/>
      <c r="E89" s="58"/>
      <c r="F89" s="58" t="s">
        <v>1761</v>
      </c>
      <c r="G89" s="58" t="s">
        <v>46</v>
      </c>
      <c r="H89" s="58" t="s">
        <v>1756</v>
      </c>
      <c r="I89" s="58" t="s">
        <v>1757</v>
      </c>
      <c r="J89" s="58" t="s">
        <v>2908</v>
      </c>
      <c r="K89" s="58" t="s">
        <v>278</v>
      </c>
      <c r="L89" s="58" t="s">
        <v>1759</v>
      </c>
      <c r="M89" s="58" t="s">
        <v>1758</v>
      </c>
      <c r="N89" s="58" t="s">
        <v>1809</v>
      </c>
      <c r="O89" s="58" t="s">
        <v>3644</v>
      </c>
      <c r="P89" s="58" t="s">
        <v>3295</v>
      </c>
      <c r="Q89" s="58"/>
      <c r="R89" s="58"/>
      <c r="S89" s="58"/>
      <c r="T89" s="58"/>
      <c r="U89" s="58"/>
      <c r="V89" s="58"/>
      <c r="W89" s="58"/>
      <c r="X89" s="59"/>
      <c r="Y89" s="59"/>
      <c r="Z89" s="58"/>
      <c r="AA89" s="58"/>
      <c r="AB89" s="58"/>
      <c r="AC89" s="58"/>
      <c r="AD89" s="58">
        <v>2026</v>
      </c>
      <c r="AE89" s="58"/>
      <c r="AF89" s="58"/>
      <c r="AG89" s="58" t="s">
        <v>3296</v>
      </c>
      <c r="AH89" s="58" t="s">
        <v>3296</v>
      </c>
      <c r="AI89" s="58"/>
      <c r="AJ89" s="58"/>
      <c r="AK89" s="58"/>
      <c r="AL89" s="58"/>
      <c r="AM89" s="58"/>
      <c r="AN89" s="58" t="s">
        <v>1809</v>
      </c>
      <c r="AO89" s="60" t="s">
        <v>1768</v>
      </c>
      <c r="AP89" s="60" t="s">
        <v>1769</v>
      </c>
      <c r="AQ89" s="58" t="s">
        <v>3645</v>
      </c>
      <c r="AR89" s="58" t="s">
        <v>288</v>
      </c>
      <c r="AS89" s="58" t="s">
        <v>3321</v>
      </c>
      <c r="AT89" s="58" t="s">
        <v>3646</v>
      </c>
      <c r="AU89" s="58" t="s">
        <v>3303</v>
      </c>
      <c r="AV89" s="58" t="s">
        <v>3368</v>
      </c>
      <c r="AW89" s="58" t="s">
        <v>3303</v>
      </c>
      <c r="AX89" s="58" t="s">
        <v>3333</v>
      </c>
      <c r="AY89" s="58"/>
      <c r="AZ89" s="58"/>
      <c r="BA89" s="58"/>
      <c r="BB89" s="58"/>
      <c r="BC89" s="58"/>
      <c r="BD89" s="58"/>
      <c r="BE89" s="58"/>
      <c r="BF89" s="58"/>
      <c r="BG89" s="58"/>
      <c r="BH89" s="58"/>
      <c r="BI89" s="58"/>
      <c r="BJ89" s="58"/>
      <c r="BK89" s="58"/>
      <c r="BL89" s="58"/>
      <c r="BM89" s="58"/>
      <c r="BN89" s="58"/>
      <c r="BO89" s="58"/>
      <c r="BP89" s="58"/>
      <c r="BQ89" s="58"/>
      <c r="BR89" s="58" t="s">
        <v>566</v>
      </c>
      <c r="BS89" s="58"/>
      <c r="BT89" s="58" t="s">
        <v>1809</v>
      </c>
      <c r="BU89" s="58" t="s">
        <v>1768</v>
      </c>
      <c r="BV89" s="58" t="s">
        <v>1809</v>
      </c>
      <c r="BW89" s="58" t="s">
        <v>1768</v>
      </c>
      <c r="BX89" s="58"/>
    </row>
    <row r="90" spans="1:76" ht="15" customHeight="1" x14ac:dyDescent="0.25">
      <c r="A90" s="61" t="str">
        <f t="shared" si="1"/>
        <v>072308010254</v>
      </c>
      <c r="B90" s="58">
        <v>88</v>
      </c>
      <c r="C90" s="58"/>
      <c r="D90" s="58"/>
      <c r="E90" s="58"/>
      <c r="F90" s="58" t="s">
        <v>1780</v>
      </c>
      <c r="G90" s="58" t="s">
        <v>1778</v>
      </c>
      <c r="H90" s="58" t="s">
        <v>1774</v>
      </c>
      <c r="I90" s="58" t="s">
        <v>1775</v>
      </c>
      <c r="J90" s="58" t="s">
        <v>2908</v>
      </c>
      <c r="K90" s="58" t="s">
        <v>278</v>
      </c>
      <c r="L90" s="58" t="s">
        <v>1777</v>
      </c>
      <c r="M90" s="58" t="s">
        <v>1776</v>
      </c>
      <c r="N90" s="58" t="s">
        <v>799</v>
      </c>
      <c r="O90" s="58" t="s">
        <v>3647</v>
      </c>
      <c r="P90" s="58" t="s">
        <v>376</v>
      </c>
      <c r="Q90" s="58"/>
      <c r="R90" s="58"/>
      <c r="S90" s="58"/>
      <c r="T90" s="58"/>
      <c r="U90" s="58"/>
      <c r="V90" s="58"/>
      <c r="W90" s="58"/>
      <c r="X90" s="59"/>
      <c r="Y90" s="59"/>
      <c r="Z90" s="58"/>
      <c r="AA90" s="58"/>
      <c r="AB90" s="58"/>
      <c r="AC90" s="58"/>
      <c r="AD90" s="58">
        <v>2026</v>
      </c>
      <c r="AE90" s="58"/>
      <c r="AF90" s="58"/>
      <c r="AG90" s="58" t="s">
        <v>3296</v>
      </c>
      <c r="AH90" s="58" t="s">
        <v>3296</v>
      </c>
      <c r="AI90" s="58"/>
      <c r="AJ90" s="58"/>
      <c r="AK90" s="58"/>
      <c r="AL90" s="58"/>
      <c r="AM90" s="58"/>
      <c r="AN90" s="58" t="s">
        <v>799</v>
      </c>
      <c r="AO90" s="60" t="s">
        <v>1781</v>
      </c>
      <c r="AP90" s="60" t="s">
        <v>1782</v>
      </c>
      <c r="AQ90" s="58" t="s">
        <v>3648</v>
      </c>
      <c r="AR90" s="58" t="s">
        <v>288</v>
      </c>
      <c r="AS90" s="58" t="s">
        <v>3371</v>
      </c>
      <c r="AT90" s="58" t="s">
        <v>3649</v>
      </c>
      <c r="AU90" s="58" t="s">
        <v>3361</v>
      </c>
      <c r="AV90" s="58" t="s">
        <v>3332</v>
      </c>
      <c r="AW90" s="58"/>
      <c r="AX90" s="58"/>
      <c r="AY90" s="58"/>
      <c r="AZ90" s="58" t="s">
        <v>3338</v>
      </c>
      <c r="BA90" s="58" t="s">
        <v>3325</v>
      </c>
      <c r="BB90" s="58"/>
      <c r="BC90" s="58"/>
      <c r="BD90" s="58"/>
      <c r="BE90" s="58"/>
      <c r="BF90" s="58"/>
      <c r="BG90" s="58"/>
      <c r="BH90" s="58"/>
      <c r="BI90" s="58"/>
      <c r="BJ90" s="58"/>
      <c r="BK90" s="58"/>
      <c r="BL90" s="58"/>
      <c r="BM90" s="58"/>
      <c r="BN90" s="58"/>
      <c r="BO90" s="58"/>
      <c r="BP90" s="58"/>
      <c r="BQ90" s="58"/>
      <c r="BR90" s="58" t="s">
        <v>806</v>
      </c>
      <c r="BS90" s="58"/>
      <c r="BT90" s="58" t="s">
        <v>799</v>
      </c>
      <c r="BU90" s="58" t="s">
        <v>1781</v>
      </c>
      <c r="BV90" s="58" t="s">
        <v>799</v>
      </c>
      <c r="BW90" s="58" t="s">
        <v>1781</v>
      </c>
      <c r="BX90" s="58"/>
    </row>
    <row r="91" spans="1:76" ht="15" customHeight="1" x14ac:dyDescent="0.25">
      <c r="A91" s="61" t="str">
        <f t="shared" si="1"/>
        <v>095308007499</v>
      </c>
      <c r="B91" s="58">
        <v>89</v>
      </c>
      <c r="C91" s="58"/>
      <c r="D91" s="58"/>
      <c r="E91" s="58"/>
      <c r="F91" s="58" t="s">
        <v>3650</v>
      </c>
      <c r="G91" s="58" t="s">
        <v>24</v>
      </c>
      <c r="H91" s="58" t="s">
        <v>1788</v>
      </c>
      <c r="I91" s="58" t="s">
        <v>1789</v>
      </c>
      <c r="J91" s="58" t="s">
        <v>2908</v>
      </c>
      <c r="K91" s="58" t="s">
        <v>278</v>
      </c>
      <c r="L91" s="58" t="s">
        <v>1791</v>
      </c>
      <c r="M91" s="58" t="s">
        <v>1790</v>
      </c>
      <c r="N91" s="58" t="s">
        <v>1933</v>
      </c>
      <c r="O91" s="58" t="s">
        <v>3651</v>
      </c>
      <c r="P91" s="58" t="s">
        <v>3295</v>
      </c>
      <c r="Q91" s="58"/>
      <c r="R91" s="58"/>
      <c r="S91" s="58"/>
      <c r="T91" s="58"/>
      <c r="U91" s="58"/>
      <c r="V91" s="58"/>
      <c r="W91" s="58"/>
      <c r="X91" s="59"/>
      <c r="Y91" s="59"/>
      <c r="Z91" s="58"/>
      <c r="AA91" s="58"/>
      <c r="AB91" s="58"/>
      <c r="AC91" s="58"/>
      <c r="AD91" s="58">
        <v>2026</v>
      </c>
      <c r="AE91" s="58"/>
      <c r="AF91" s="58"/>
      <c r="AG91" s="58" t="s">
        <v>3296</v>
      </c>
      <c r="AH91" s="58" t="s">
        <v>3296</v>
      </c>
      <c r="AI91" s="58"/>
      <c r="AJ91" s="58"/>
      <c r="AK91" s="58"/>
      <c r="AL91" s="58"/>
      <c r="AM91" s="58"/>
      <c r="AN91" s="58" t="s">
        <v>1933</v>
      </c>
      <c r="AO91" s="60" t="s">
        <v>1794</v>
      </c>
      <c r="AP91" s="60" t="s">
        <v>1795</v>
      </c>
      <c r="AQ91" s="58" t="s">
        <v>3652</v>
      </c>
      <c r="AR91" s="58" t="s">
        <v>288</v>
      </c>
      <c r="AS91" s="58" t="s">
        <v>3389</v>
      </c>
      <c r="AT91" s="58" t="s">
        <v>3653</v>
      </c>
      <c r="AU91" s="58" t="s">
        <v>3325</v>
      </c>
      <c r="AV91" s="58" t="s">
        <v>3344</v>
      </c>
      <c r="AW91" s="58" t="s">
        <v>3376</v>
      </c>
      <c r="AX91" s="58"/>
      <c r="AY91" s="58"/>
      <c r="AZ91" s="58"/>
      <c r="BA91" s="58"/>
      <c r="BB91" s="58" t="s">
        <v>3376</v>
      </c>
      <c r="BC91" s="58" t="s">
        <v>3304</v>
      </c>
      <c r="BD91" s="58"/>
      <c r="BE91" s="58"/>
      <c r="BF91" s="58"/>
      <c r="BG91" s="58"/>
      <c r="BH91" s="58"/>
      <c r="BI91" s="58"/>
      <c r="BJ91" s="58"/>
      <c r="BK91" s="58"/>
      <c r="BL91" s="58"/>
      <c r="BM91" s="58"/>
      <c r="BN91" s="58"/>
      <c r="BO91" s="58"/>
      <c r="BP91" s="58"/>
      <c r="BQ91" s="58"/>
      <c r="BR91" s="58" t="s">
        <v>3654</v>
      </c>
      <c r="BS91" s="58"/>
      <c r="BT91" s="58" t="s">
        <v>1933</v>
      </c>
      <c r="BU91" s="58" t="s">
        <v>1794</v>
      </c>
      <c r="BV91" s="58" t="s">
        <v>1933</v>
      </c>
      <c r="BW91" s="58" t="s">
        <v>1794</v>
      </c>
      <c r="BX91" s="58"/>
    </row>
    <row r="92" spans="1:76" ht="15" customHeight="1" x14ac:dyDescent="0.25">
      <c r="A92" s="61" t="str">
        <f t="shared" si="1"/>
        <v>092208010072</v>
      </c>
      <c r="B92" s="58">
        <v>90</v>
      </c>
      <c r="C92" s="58"/>
      <c r="D92" s="58"/>
      <c r="E92" s="58"/>
      <c r="F92" s="58" t="s">
        <v>1804</v>
      </c>
      <c r="G92" s="58" t="s">
        <v>35</v>
      </c>
      <c r="H92" s="58" t="s">
        <v>1799</v>
      </c>
      <c r="I92" s="58" t="s">
        <v>1800</v>
      </c>
      <c r="J92" s="58" t="s">
        <v>2909</v>
      </c>
      <c r="K92" s="58" t="s">
        <v>278</v>
      </c>
      <c r="L92" s="58" t="s">
        <v>1802</v>
      </c>
      <c r="M92" s="58" t="s">
        <v>3655</v>
      </c>
      <c r="N92" s="58" t="s">
        <v>1870</v>
      </c>
      <c r="O92" s="58" t="s">
        <v>3656</v>
      </c>
      <c r="P92" s="58" t="s">
        <v>3295</v>
      </c>
      <c r="Q92" s="58"/>
      <c r="R92" s="58"/>
      <c r="S92" s="58"/>
      <c r="T92" s="58"/>
      <c r="U92" s="58"/>
      <c r="V92" s="58"/>
      <c r="W92" s="58"/>
      <c r="X92" s="59"/>
      <c r="Y92" s="59"/>
      <c r="Z92" s="58"/>
      <c r="AA92" s="58"/>
      <c r="AB92" s="58"/>
      <c r="AC92" s="58"/>
      <c r="AD92" s="58">
        <v>2026</v>
      </c>
      <c r="AE92" s="58"/>
      <c r="AF92" s="58"/>
      <c r="AG92" s="58" t="s">
        <v>3296</v>
      </c>
      <c r="AH92" s="58" t="s">
        <v>3296</v>
      </c>
      <c r="AI92" s="58"/>
      <c r="AJ92" s="58"/>
      <c r="AK92" s="58"/>
      <c r="AL92" s="58"/>
      <c r="AM92" s="58"/>
      <c r="AN92" s="58" t="s">
        <v>1809</v>
      </c>
      <c r="AO92" s="60" t="s">
        <v>1496</v>
      </c>
      <c r="AP92" s="60" t="s">
        <v>1805</v>
      </c>
      <c r="AQ92" s="58" t="s">
        <v>3657</v>
      </c>
      <c r="AR92" s="58" t="s">
        <v>288</v>
      </c>
      <c r="AS92" s="58" t="s">
        <v>3315</v>
      </c>
      <c r="AT92" s="58" t="s">
        <v>3658</v>
      </c>
      <c r="AU92" s="58" t="s">
        <v>3442</v>
      </c>
      <c r="AV92" s="58" t="s">
        <v>3368</v>
      </c>
      <c r="AW92" s="58" t="s">
        <v>3340</v>
      </c>
      <c r="AX92" s="58" t="s">
        <v>3368</v>
      </c>
      <c r="AY92" s="58"/>
      <c r="AZ92" s="58"/>
      <c r="BA92" s="58"/>
      <c r="BB92" s="58"/>
      <c r="BC92" s="58"/>
      <c r="BD92" s="58"/>
      <c r="BE92" s="58"/>
      <c r="BF92" s="58"/>
      <c r="BG92" s="58"/>
      <c r="BH92" s="58"/>
      <c r="BI92" s="58"/>
      <c r="BJ92" s="58"/>
      <c r="BK92" s="58"/>
      <c r="BL92" s="58"/>
      <c r="BM92" s="58"/>
      <c r="BN92" s="58"/>
      <c r="BO92" s="58"/>
      <c r="BP92" s="58"/>
      <c r="BQ92" s="58"/>
      <c r="BR92" s="58" t="s">
        <v>1866</v>
      </c>
      <c r="BS92" s="58"/>
      <c r="BT92" s="58" t="s">
        <v>1809</v>
      </c>
      <c r="BU92" s="58" t="s">
        <v>1496</v>
      </c>
      <c r="BV92" s="58" t="s">
        <v>1809</v>
      </c>
      <c r="BW92" s="58" t="s">
        <v>1496</v>
      </c>
      <c r="BX92" s="58"/>
    </row>
    <row r="93" spans="1:76" ht="15" customHeight="1" x14ac:dyDescent="0.25">
      <c r="A93" s="61" t="str">
        <f t="shared" si="1"/>
        <v>082208011717</v>
      </c>
      <c r="B93" s="58">
        <v>91</v>
      </c>
      <c r="C93" s="58"/>
      <c r="D93" s="58"/>
      <c r="E93" s="58"/>
      <c r="F93" s="58" t="s">
        <v>1816</v>
      </c>
      <c r="G93" s="58" t="s">
        <v>1814</v>
      </c>
      <c r="H93" s="58" t="s">
        <v>1810</v>
      </c>
      <c r="I93" s="58" t="s">
        <v>1811</v>
      </c>
      <c r="J93" s="58" t="s">
        <v>2909</v>
      </c>
      <c r="K93" s="58" t="s">
        <v>278</v>
      </c>
      <c r="L93" s="58" t="s">
        <v>1813</v>
      </c>
      <c r="M93" s="58" t="s">
        <v>1812</v>
      </c>
      <c r="N93" s="58" t="s">
        <v>1822</v>
      </c>
      <c r="O93" s="58" t="s">
        <v>3659</v>
      </c>
      <c r="P93" s="58" t="s">
        <v>376</v>
      </c>
      <c r="Q93" s="58"/>
      <c r="R93" s="58"/>
      <c r="S93" s="58"/>
      <c r="T93" s="58"/>
      <c r="U93" s="58"/>
      <c r="V93" s="58"/>
      <c r="W93" s="58"/>
      <c r="X93" s="59"/>
      <c r="Y93" s="59"/>
      <c r="Z93" s="58"/>
      <c r="AA93" s="58"/>
      <c r="AB93" s="58"/>
      <c r="AC93" s="58"/>
      <c r="AD93" s="58">
        <v>2026</v>
      </c>
      <c r="AE93" s="58"/>
      <c r="AF93" s="58"/>
      <c r="AG93" s="58" t="s">
        <v>3296</v>
      </c>
      <c r="AH93" s="58" t="s">
        <v>3296</v>
      </c>
      <c r="AI93" s="58"/>
      <c r="AJ93" s="58"/>
      <c r="AK93" s="58"/>
      <c r="AL93" s="58"/>
      <c r="AM93" s="58"/>
      <c r="AN93" s="58" t="s">
        <v>1822</v>
      </c>
      <c r="AO93" s="60" t="s">
        <v>1817</v>
      </c>
      <c r="AP93" s="60" t="s">
        <v>1818</v>
      </c>
      <c r="AQ93" s="58" t="s">
        <v>3660</v>
      </c>
      <c r="AR93" s="58" t="s">
        <v>288</v>
      </c>
      <c r="AS93" s="58" t="s">
        <v>3298</v>
      </c>
      <c r="AT93" s="58" t="s">
        <v>3661</v>
      </c>
      <c r="AU93" s="58" t="s">
        <v>3368</v>
      </c>
      <c r="AV93" s="58" t="s">
        <v>3340</v>
      </c>
      <c r="AW93" s="58"/>
      <c r="AX93" s="58"/>
      <c r="AY93" s="58"/>
      <c r="AZ93" s="58" t="s">
        <v>3530</v>
      </c>
      <c r="BA93" s="58" t="s">
        <v>3334</v>
      </c>
      <c r="BB93" s="58"/>
      <c r="BC93" s="58"/>
      <c r="BD93" s="58"/>
      <c r="BE93" s="58"/>
      <c r="BF93" s="58"/>
      <c r="BG93" s="58"/>
      <c r="BH93" s="58"/>
      <c r="BI93" s="58"/>
      <c r="BJ93" s="58"/>
      <c r="BK93" s="58"/>
      <c r="BL93" s="58"/>
      <c r="BM93" s="58"/>
      <c r="BN93" s="58"/>
      <c r="BO93" s="58"/>
      <c r="BP93" s="58"/>
      <c r="BQ93" s="58"/>
      <c r="BR93" s="58" t="s">
        <v>3662</v>
      </c>
      <c r="BS93" s="58"/>
      <c r="BT93" s="58" t="s">
        <v>1822</v>
      </c>
      <c r="BU93" s="58" t="s">
        <v>1817</v>
      </c>
      <c r="BV93" s="58" t="s">
        <v>1822</v>
      </c>
      <c r="BW93" s="58" t="s">
        <v>1817</v>
      </c>
      <c r="BX93" s="58"/>
    </row>
    <row r="94" spans="1:76" ht="15" customHeight="1" x14ac:dyDescent="0.25">
      <c r="A94" s="61" t="str">
        <f t="shared" si="1"/>
        <v>037308003748</v>
      </c>
      <c r="B94" s="58">
        <v>92</v>
      </c>
      <c r="C94" s="58"/>
      <c r="D94" s="58"/>
      <c r="E94" s="58"/>
      <c r="F94" s="58" t="s">
        <v>1828</v>
      </c>
      <c r="G94" s="58" t="s">
        <v>116</v>
      </c>
      <c r="H94" s="58" t="s">
        <v>1823</v>
      </c>
      <c r="I94" s="58" t="s">
        <v>1824</v>
      </c>
      <c r="J94" s="58" t="s">
        <v>2908</v>
      </c>
      <c r="K94" s="58" t="s">
        <v>278</v>
      </c>
      <c r="L94" s="58" t="s">
        <v>1826</v>
      </c>
      <c r="M94" s="58" t="s">
        <v>1825</v>
      </c>
      <c r="N94" s="58" t="s">
        <v>1327</v>
      </c>
      <c r="O94" s="58" t="s">
        <v>3663</v>
      </c>
      <c r="P94" s="58" t="s">
        <v>376</v>
      </c>
      <c r="Q94" s="58"/>
      <c r="R94" s="58"/>
      <c r="S94" s="58"/>
      <c r="T94" s="58"/>
      <c r="U94" s="58"/>
      <c r="V94" s="58"/>
      <c r="W94" s="58"/>
      <c r="X94" s="59"/>
      <c r="Y94" s="59"/>
      <c r="Z94" s="58"/>
      <c r="AA94" s="58"/>
      <c r="AB94" s="58"/>
      <c r="AC94" s="58"/>
      <c r="AD94" s="58">
        <v>2026</v>
      </c>
      <c r="AE94" s="58"/>
      <c r="AF94" s="58"/>
      <c r="AG94" s="58" t="s">
        <v>3313</v>
      </c>
      <c r="AH94" s="58" t="s">
        <v>3296</v>
      </c>
      <c r="AI94" s="58"/>
      <c r="AJ94" s="58"/>
      <c r="AK94" s="58"/>
      <c r="AL94" s="58"/>
      <c r="AM94" s="58"/>
      <c r="AN94" s="58" t="s">
        <v>1327</v>
      </c>
      <c r="AO94" s="60" t="s">
        <v>728</v>
      </c>
      <c r="AP94" s="60" t="s">
        <v>1830</v>
      </c>
      <c r="AQ94" s="58" t="s">
        <v>3664</v>
      </c>
      <c r="AR94" s="58" t="s">
        <v>288</v>
      </c>
      <c r="AS94" s="58" t="s">
        <v>3665</v>
      </c>
      <c r="AT94" s="58" t="s">
        <v>3666</v>
      </c>
      <c r="AU94" s="58" t="s">
        <v>3325</v>
      </c>
      <c r="AV94" s="58" t="s">
        <v>3344</v>
      </c>
      <c r="AW94" s="58"/>
      <c r="AX94" s="58"/>
      <c r="AY94" s="58"/>
      <c r="AZ94" s="58"/>
      <c r="BA94" s="58" t="s">
        <v>3324</v>
      </c>
      <c r="BB94" s="58" t="s">
        <v>3361</v>
      </c>
      <c r="BC94" s="58" t="s">
        <v>3667</v>
      </c>
      <c r="BD94" s="58"/>
      <c r="BE94" s="58"/>
      <c r="BF94" s="58"/>
      <c r="BG94" s="58"/>
      <c r="BH94" s="58"/>
      <c r="BI94" s="58"/>
      <c r="BJ94" s="58"/>
      <c r="BK94" s="58"/>
      <c r="BL94" s="58"/>
      <c r="BM94" s="58"/>
      <c r="BN94" s="58"/>
      <c r="BO94" s="58"/>
      <c r="BP94" s="58"/>
      <c r="BQ94" s="58"/>
      <c r="BR94" s="58" t="s">
        <v>2315</v>
      </c>
      <c r="BS94" s="58"/>
      <c r="BT94" s="58" t="s">
        <v>1327</v>
      </c>
      <c r="BU94" s="58" t="s">
        <v>728</v>
      </c>
      <c r="BV94" s="58" t="s">
        <v>1327</v>
      </c>
      <c r="BW94" s="58" t="s">
        <v>728</v>
      </c>
      <c r="BX94" s="58"/>
    </row>
    <row r="95" spans="1:76" ht="15" customHeight="1" x14ac:dyDescent="0.25">
      <c r="A95" s="61" t="str">
        <f t="shared" si="1"/>
        <v>091207004070</v>
      </c>
      <c r="B95" s="58">
        <v>93</v>
      </c>
      <c r="C95" s="58"/>
      <c r="D95" s="58"/>
      <c r="E95" s="58"/>
      <c r="F95" s="58" t="s">
        <v>1857</v>
      </c>
      <c r="G95" s="58" t="s">
        <v>40</v>
      </c>
      <c r="H95" s="58" t="s">
        <v>1852</v>
      </c>
      <c r="I95" s="58" t="s">
        <v>1853</v>
      </c>
      <c r="J95" s="58" t="s">
        <v>2909</v>
      </c>
      <c r="K95" s="58" t="s">
        <v>278</v>
      </c>
      <c r="L95" s="58" t="s">
        <v>1855</v>
      </c>
      <c r="M95" s="58" t="s">
        <v>1854</v>
      </c>
      <c r="N95" s="58" t="s">
        <v>1809</v>
      </c>
      <c r="O95" s="58" t="s">
        <v>3668</v>
      </c>
      <c r="P95" s="58" t="s">
        <v>3295</v>
      </c>
      <c r="Q95" s="58"/>
      <c r="R95" s="58"/>
      <c r="S95" s="58"/>
      <c r="T95" s="58"/>
      <c r="U95" s="58"/>
      <c r="V95" s="58"/>
      <c r="W95" s="58"/>
      <c r="X95" s="59"/>
      <c r="Y95" s="59"/>
      <c r="Z95" s="58"/>
      <c r="AA95" s="58"/>
      <c r="AB95" s="58"/>
      <c r="AC95" s="58"/>
      <c r="AD95" s="58">
        <v>2025</v>
      </c>
      <c r="AE95" s="58"/>
      <c r="AF95" s="58"/>
      <c r="AG95" s="58" t="s">
        <v>3296</v>
      </c>
      <c r="AH95" s="58" t="s">
        <v>3296</v>
      </c>
      <c r="AI95" s="58"/>
      <c r="AJ95" s="58"/>
      <c r="AK95" s="58"/>
      <c r="AL95" s="58"/>
      <c r="AM95" s="58"/>
      <c r="AN95" s="58" t="s">
        <v>1809</v>
      </c>
      <c r="AO95" s="60" t="s">
        <v>3147</v>
      </c>
      <c r="AP95" s="60" t="s">
        <v>3148</v>
      </c>
      <c r="AQ95" s="58" t="s">
        <v>3669</v>
      </c>
      <c r="AR95" s="58" t="s">
        <v>288</v>
      </c>
      <c r="AS95" s="58" t="s">
        <v>3321</v>
      </c>
      <c r="AT95" s="58" t="s">
        <v>3670</v>
      </c>
      <c r="AU95" s="58" t="s">
        <v>3344</v>
      </c>
      <c r="AV95" s="58" t="s">
        <v>3317</v>
      </c>
      <c r="AW95" s="58" t="s">
        <v>3671</v>
      </c>
      <c r="AX95" s="58"/>
      <c r="AY95" s="58"/>
      <c r="AZ95" s="58"/>
      <c r="BA95" s="58"/>
      <c r="BB95" s="58" t="s">
        <v>3402</v>
      </c>
      <c r="BC95" s="58" t="s">
        <v>3304</v>
      </c>
      <c r="BD95" s="58"/>
      <c r="BE95" s="58"/>
      <c r="BF95" s="58"/>
      <c r="BG95" s="58"/>
      <c r="BH95" s="58"/>
      <c r="BI95" s="58"/>
      <c r="BJ95" s="58"/>
      <c r="BK95" s="58"/>
      <c r="BL95" s="58"/>
      <c r="BM95" s="58"/>
      <c r="BN95" s="58"/>
      <c r="BO95" s="58"/>
      <c r="BP95" s="58"/>
      <c r="BQ95" s="58"/>
      <c r="BR95" s="58"/>
      <c r="BS95" s="58"/>
      <c r="BT95" s="58" t="s">
        <v>1809</v>
      </c>
      <c r="BU95" s="58" t="s">
        <v>3147</v>
      </c>
      <c r="BV95" s="58" t="s">
        <v>1809</v>
      </c>
      <c r="BW95" s="58" t="s">
        <v>3147</v>
      </c>
      <c r="BX95" s="58"/>
    </row>
    <row r="96" spans="1:76" ht="15" customHeight="1" x14ac:dyDescent="0.25">
      <c r="A96" s="61" t="str">
        <f t="shared" si="1"/>
        <v>087308013713</v>
      </c>
      <c r="B96" s="58">
        <v>94</v>
      </c>
      <c r="C96" s="58"/>
      <c r="D96" s="58"/>
      <c r="E96" s="58"/>
      <c r="F96" s="58" t="s">
        <v>1876</v>
      </c>
      <c r="G96" s="58" t="s">
        <v>49</v>
      </c>
      <c r="H96" s="58" t="s">
        <v>1871</v>
      </c>
      <c r="I96" s="58" t="s">
        <v>1872</v>
      </c>
      <c r="J96" s="58" t="s">
        <v>2908</v>
      </c>
      <c r="K96" s="58" t="s">
        <v>278</v>
      </c>
      <c r="L96" s="58" t="s">
        <v>1874</v>
      </c>
      <c r="M96" s="58" t="s">
        <v>1873</v>
      </c>
      <c r="N96" s="58" t="s">
        <v>1822</v>
      </c>
      <c r="O96" s="58" t="s">
        <v>3672</v>
      </c>
      <c r="P96" s="58" t="s">
        <v>3295</v>
      </c>
      <c r="Q96" s="58"/>
      <c r="R96" s="58"/>
      <c r="S96" s="58"/>
      <c r="T96" s="58"/>
      <c r="U96" s="58"/>
      <c r="V96" s="58"/>
      <c r="W96" s="58"/>
      <c r="X96" s="59"/>
      <c r="Y96" s="59"/>
      <c r="Z96" s="58"/>
      <c r="AA96" s="58"/>
      <c r="AB96" s="58"/>
      <c r="AC96" s="58"/>
      <c r="AD96" s="58">
        <v>2026</v>
      </c>
      <c r="AE96" s="58"/>
      <c r="AF96" s="58"/>
      <c r="AG96" s="58" t="s">
        <v>3296</v>
      </c>
      <c r="AH96" s="58" t="s">
        <v>3296</v>
      </c>
      <c r="AI96" s="58"/>
      <c r="AJ96" s="58"/>
      <c r="AK96" s="58"/>
      <c r="AL96" s="58"/>
      <c r="AM96" s="58"/>
      <c r="AN96" s="58" t="s">
        <v>1822</v>
      </c>
      <c r="AO96" s="60" t="s">
        <v>1877</v>
      </c>
      <c r="AP96" s="60" t="s">
        <v>1878</v>
      </c>
      <c r="AQ96" s="58" t="s">
        <v>3673</v>
      </c>
      <c r="AR96" s="58" t="s">
        <v>288</v>
      </c>
      <c r="AS96" s="58" t="s">
        <v>3298</v>
      </c>
      <c r="AT96" s="58" t="s">
        <v>3674</v>
      </c>
      <c r="AU96" s="58" t="s">
        <v>3300</v>
      </c>
      <c r="AV96" s="58" t="s">
        <v>3338</v>
      </c>
      <c r="AW96" s="58"/>
      <c r="AX96" s="58"/>
      <c r="AY96" s="58"/>
      <c r="AZ96" s="58"/>
      <c r="BA96" s="58" t="s">
        <v>3317</v>
      </c>
      <c r="BB96" s="58" t="s">
        <v>3323</v>
      </c>
      <c r="BC96" s="58" t="s">
        <v>3304</v>
      </c>
      <c r="BD96" s="58"/>
      <c r="BE96" s="58"/>
      <c r="BF96" s="58"/>
      <c r="BG96" s="58"/>
      <c r="BH96" s="58"/>
      <c r="BI96" s="58"/>
      <c r="BJ96" s="58"/>
      <c r="BK96" s="58"/>
      <c r="BL96" s="58"/>
      <c r="BM96" s="58"/>
      <c r="BN96" s="58"/>
      <c r="BO96" s="58"/>
      <c r="BP96" s="58"/>
      <c r="BQ96" s="58"/>
      <c r="BR96" s="58" t="s">
        <v>543</v>
      </c>
      <c r="BS96" s="58"/>
      <c r="BT96" s="58" t="s">
        <v>1822</v>
      </c>
      <c r="BU96" s="58" t="s">
        <v>1877</v>
      </c>
      <c r="BV96" s="58" t="s">
        <v>1822</v>
      </c>
      <c r="BW96" s="58" t="s">
        <v>1877</v>
      </c>
      <c r="BX96" s="58"/>
    </row>
    <row r="97" spans="1:76" ht="15" customHeight="1" x14ac:dyDescent="0.25">
      <c r="A97" s="61" t="str">
        <f t="shared" si="1"/>
        <v>074208007069</v>
      </c>
      <c r="B97" s="58">
        <v>95</v>
      </c>
      <c r="C97" s="58"/>
      <c r="D97" s="58"/>
      <c r="E97" s="58"/>
      <c r="F97" s="58" t="s">
        <v>1888</v>
      </c>
      <c r="G97" s="58" t="s">
        <v>1886</v>
      </c>
      <c r="H97" s="58" t="s">
        <v>1883</v>
      </c>
      <c r="I97" s="58" t="s">
        <v>1621</v>
      </c>
      <c r="J97" s="58" t="s">
        <v>2909</v>
      </c>
      <c r="K97" s="58" t="s">
        <v>278</v>
      </c>
      <c r="L97" s="58" t="s">
        <v>1885</v>
      </c>
      <c r="M97" s="58" t="s">
        <v>1884</v>
      </c>
      <c r="N97" s="58" t="s">
        <v>1709</v>
      </c>
      <c r="O97" s="58" t="s">
        <v>3675</v>
      </c>
      <c r="P97" s="58" t="s">
        <v>376</v>
      </c>
      <c r="Q97" s="58"/>
      <c r="R97" s="58"/>
      <c r="S97" s="58"/>
      <c r="T97" s="58"/>
      <c r="U97" s="58"/>
      <c r="V97" s="58"/>
      <c r="W97" s="58"/>
      <c r="X97" s="59"/>
      <c r="Y97" s="59"/>
      <c r="Z97" s="58"/>
      <c r="AA97" s="58"/>
      <c r="AB97" s="58"/>
      <c r="AC97" s="58"/>
      <c r="AD97" s="58">
        <v>2026</v>
      </c>
      <c r="AE97" s="58"/>
      <c r="AF97" s="58"/>
      <c r="AG97" s="58" t="s">
        <v>3313</v>
      </c>
      <c r="AH97" s="58" t="s">
        <v>3296</v>
      </c>
      <c r="AI97" s="58"/>
      <c r="AJ97" s="58"/>
      <c r="AK97" s="58"/>
      <c r="AL97" s="58"/>
      <c r="AM97" s="58"/>
      <c r="AN97" s="58" t="s">
        <v>1709</v>
      </c>
      <c r="AO97" s="60" t="s">
        <v>1892</v>
      </c>
      <c r="AP97" s="60" t="s">
        <v>1893</v>
      </c>
      <c r="AQ97" s="58" t="s">
        <v>3676</v>
      </c>
      <c r="AR97" s="58" t="s">
        <v>288</v>
      </c>
      <c r="AS97" s="58" t="s">
        <v>3400</v>
      </c>
      <c r="AT97" s="58" t="s">
        <v>3677</v>
      </c>
      <c r="AU97" s="58" t="s">
        <v>3368</v>
      </c>
      <c r="AV97" s="58" t="s">
        <v>3368</v>
      </c>
      <c r="AW97" s="58" t="s">
        <v>3311</v>
      </c>
      <c r="AX97" s="58"/>
      <c r="AY97" s="58"/>
      <c r="AZ97" s="58"/>
      <c r="BA97" s="58"/>
      <c r="BB97" s="58" t="s">
        <v>3428</v>
      </c>
      <c r="BC97" s="58" t="s">
        <v>3304</v>
      </c>
      <c r="BD97" s="58"/>
      <c r="BE97" s="58"/>
      <c r="BF97" s="58"/>
      <c r="BG97" s="58"/>
      <c r="BH97" s="58"/>
      <c r="BI97" s="58"/>
      <c r="BJ97" s="58"/>
      <c r="BK97" s="58"/>
      <c r="BL97" s="58"/>
      <c r="BM97" s="58"/>
      <c r="BN97" s="58"/>
      <c r="BO97" s="58"/>
      <c r="BP97" s="58"/>
      <c r="BQ97" s="58"/>
      <c r="BR97" s="58" t="s">
        <v>3678</v>
      </c>
      <c r="BS97" s="58"/>
      <c r="BT97" s="58" t="s">
        <v>1709</v>
      </c>
      <c r="BU97" s="58" t="s">
        <v>3679</v>
      </c>
      <c r="BV97" s="58" t="s">
        <v>1709</v>
      </c>
      <c r="BW97" s="58" t="s">
        <v>3679</v>
      </c>
      <c r="BX97" s="58"/>
    </row>
    <row r="98" spans="1:76" ht="15" customHeight="1" x14ac:dyDescent="0.25">
      <c r="A98" s="61" t="str">
        <f t="shared" si="1"/>
        <v>072308004648</v>
      </c>
      <c r="B98" s="58">
        <v>96</v>
      </c>
      <c r="C98" s="58"/>
      <c r="D98" s="58"/>
      <c r="E98" s="58"/>
      <c r="F98" s="58" t="s">
        <v>1905</v>
      </c>
      <c r="G98" s="58" t="s">
        <v>1903</v>
      </c>
      <c r="H98" s="58" t="s">
        <v>1900</v>
      </c>
      <c r="I98" s="58" t="s">
        <v>334</v>
      </c>
      <c r="J98" s="58" t="s">
        <v>2908</v>
      </c>
      <c r="K98" s="58" t="s">
        <v>278</v>
      </c>
      <c r="L98" s="58" t="s">
        <v>1902</v>
      </c>
      <c r="M98" s="58" t="s">
        <v>1901</v>
      </c>
      <c r="N98" s="58" t="s">
        <v>1798</v>
      </c>
      <c r="O98" s="58" t="s">
        <v>3680</v>
      </c>
      <c r="P98" s="58" t="s">
        <v>3295</v>
      </c>
      <c r="Q98" s="58"/>
      <c r="R98" s="58"/>
      <c r="S98" s="58"/>
      <c r="T98" s="58"/>
      <c r="U98" s="58"/>
      <c r="V98" s="58"/>
      <c r="W98" s="58"/>
      <c r="X98" s="59"/>
      <c r="Y98" s="59"/>
      <c r="Z98" s="58"/>
      <c r="AA98" s="58"/>
      <c r="AB98" s="58"/>
      <c r="AC98" s="58"/>
      <c r="AD98" s="58">
        <v>2026</v>
      </c>
      <c r="AE98" s="58"/>
      <c r="AF98" s="58"/>
      <c r="AG98" s="58" t="s">
        <v>3313</v>
      </c>
      <c r="AH98" s="58" t="s">
        <v>3296</v>
      </c>
      <c r="AI98" s="58"/>
      <c r="AJ98" s="58"/>
      <c r="AK98" s="58"/>
      <c r="AL98" s="58"/>
      <c r="AM98" s="58"/>
      <c r="AN98" s="58" t="s">
        <v>1798</v>
      </c>
      <c r="AO98" s="60" t="s">
        <v>1906</v>
      </c>
      <c r="AP98" s="60" t="s">
        <v>1907</v>
      </c>
      <c r="AQ98" s="58" t="s">
        <v>3681</v>
      </c>
      <c r="AR98" s="58" t="s">
        <v>288</v>
      </c>
      <c r="AS98" s="58" t="s">
        <v>3432</v>
      </c>
      <c r="AT98" s="58" t="s">
        <v>3682</v>
      </c>
      <c r="AU98" s="58" t="s">
        <v>3303</v>
      </c>
      <c r="AV98" s="58" t="s">
        <v>3325</v>
      </c>
      <c r="AW98" s="58"/>
      <c r="AX98" s="58"/>
      <c r="AY98" s="58"/>
      <c r="AZ98" s="58"/>
      <c r="BA98" s="58" t="s">
        <v>3683</v>
      </c>
      <c r="BB98" s="58"/>
      <c r="BC98" s="58"/>
      <c r="BD98" s="58" t="s">
        <v>3323</v>
      </c>
      <c r="BE98" s="58"/>
      <c r="BF98" s="58"/>
      <c r="BG98" s="58"/>
      <c r="BH98" s="58"/>
      <c r="BI98" s="58"/>
      <c r="BJ98" s="58"/>
      <c r="BK98" s="58"/>
      <c r="BL98" s="58"/>
      <c r="BM98" s="58"/>
      <c r="BN98" s="58"/>
      <c r="BO98" s="58"/>
      <c r="BP98" s="58"/>
      <c r="BQ98" s="58"/>
      <c r="BR98" s="58" t="s">
        <v>429</v>
      </c>
      <c r="BS98" s="58"/>
      <c r="BT98" s="58" t="s">
        <v>1798</v>
      </c>
      <c r="BU98" s="58" t="s">
        <v>1906</v>
      </c>
      <c r="BV98" s="58" t="s">
        <v>1798</v>
      </c>
      <c r="BW98" s="58" t="s">
        <v>1906</v>
      </c>
      <c r="BX98" s="58"/>
    </row>
    <row r="99" spans="1:76" ht="15" customHeight="1" x14ac:dyDescent="0.25">
      <c r="A99" s="61" t="str">
        <f t="shared" si="1"/>
        <v>089308000129</v>
      </c>
      <c r="B99" s="58">
        <v>97</v>
      </c>
      <c r="C99" s="58"/>
      <c r="D99" s="58"/>
      <c r="E99" s="58"/>
      <c r="F99" s="58" t="s">
        <v>1917</v>
      </c>
      <c r="G99" s="58" t="s">
        <v>47</v>
      </c>
      <c r="H99" s="58" t="s">
        <v>1912</v>
      </c>
      <c r="I99" s="58" t="s">
        <v>1913</v>
      </c>
      <c r="J99" s="58" t="s">
        <v>2908</v>
      </c>
      <c r="K99" s="58" t="s">
        <v>278</v>
      </c>
      <c r="L99" s="58" t="s">
        <v>1915</v>
      </c>
      <c r="M99" s="58" t="s">
        <v>3684</v>
      </c>
      <c r="N99" s="58" t="s">
        <v>1809</v>
      </c>
      <c r="O99" s="58" t="s">
        <v>3638</v>
      </c>
      <c r="P99" s="58" t="s">
        <v>376</v>
      </c>
      <c r="Q99" s="58"/>
      <c r="R99" s="58"/>
      <c r="S99" s="58"/>
      <c r="T99" s="58"/>
      <c r="U99" s="58"/>
      <c r="V99" s="58"/>
      <c r="W99" s="58"/>
      <c r="X99" s="59"/>
      <c r="Y99" s="59"/>
      <c r="Z99" s="58"/>
      <c r="AA99" s="58"/>
      <c r="AB99" s="58"/>
      <c r="AC99" s="58"/>
      <c r="AD99" s="58">
        <v>2026</v>
      </c>
      <c r="AE99" s="58"/>
      <c r="AF99" s="58"/>
      <c r="AG99" s="58" t="s">
        <v>3296</v>
      </c>
      <c r="AH99" s="58" t="s">
        <v>3296</v>
      </c>
      <c r="AI99" s="58"/>
      <c r="AJ99" s="58"/>
      <c r="AK99" s="58"/>
      <c r="AL99" s="58"/>
      <c r="AM99" s="58"/>
      <c r="AN99" s="58" t="s">
        <v>1809</v>
      </c>
      <c r="AO99" s="60" t="s">
        <v>1699</v>
      </c>
      <c r="AP99" s="60" t="s">
        <v>1739</v>
      </c>
      <c r="AQ99" s="58" t="s">
        <v>3685</v>
      </c>
      <c r="AR99" s="58" t="s">
        <v>288</v>
      </c>
      <c r="AS99" s="58" t="s">
        <v>3321</v>
      </c>
      <c r="AT99" s="58" t="s">
        <v>3640</v>
      </c>
      <c r="AU99" s="58" t="s">
        <v>3317</v>
      </c>
      <c r="AV99" s="58" t="s">
        <v>3340</v>
      </c>
      <c r="AW99" s="58" t="s">
        <v>3303</v>
      </c>
      <c r="AX99" s="58"/>
      <c r="AY99" s="58"/>
      <c r="AZ99" s="58"/>
      <c r="BA99" s="58"/>
      <c r="BB99" s="58" t="s">
        <v>3338</v>
      </c>
      <c r="BC99" s="58" t="s">
        <v>3304</v>
      </c>
      <c r="BD99" s="58"/>
      <c r="BE99" s="58"/>
      <c r="BF99" s="58"/>
      <c r="BG99" s="58"/>
      <c r="BH99" s="58"/>
      <c r="BI99" s="58"/>
      <c r="BJ99" s="58"/>
      <c r="BK99" s="58"/>
      <c r="BL99" s="58"/>
      <c r="BM99" s="58"/>
      <c r="BN99" s="58"/>
      <c r="BO99" s="58"/>
      <c r="BP99" s="58"/>
      <c r="BQ99" s="58"/>
      <c r="BR99" s="58" t="s">
        <v>1149</v>
      </c>
      <c r="BS99" s="58"/>
      <c r="BT99" s="58" t="s">
        <v>1809</v>
      </c>
      <c r="BU99" s="58" t="s">
        <v>1699</v>
      </c>
      <c r="BV99" s="58" t="s">
        <v>1809</v>
      </c>
      <c r="BW99" s="58" t="s">
        <v>1699</v>
      </c>
      <c r="BX99" s="58"/>
    </row>
    <row r="100" spans="1:76" ht="15" customHeight="1" x14ac:dyDescent="0.25">
      <c r="A100" s="61" t="str">
        <f t="shared" si="1"/>
        <v>094208006813</v>
      </c>
      <c r="B100" s="58">
        <v>98</v>
      </c>
      <c r="C100" s="58"/>
      <c r="D100" s="58"/>
      <c r="E100" s="58"/>
      <c r="F100" s="58" t="s">
        <v>1939</v>
      </c>
      <c r="G100" s="58" t="s">
        <v>1937</v>
      </c>
      <c r="H100" s="58" t="s">
        <v>1934</v>
      </c>
      <c r="I100" s="58" t="s">
        <v>452</v>
      </c>
      <c r="J100" s="58" t="s">
        <v>2909</v>
      </c>
      <c r="K100" s="58" t="s">
        <v>278</v>
      </c>
      <c r="L100" s="58" t="s">
        <v>1936</v>
      </c>
      <c r="M100" s="58" t="s">
        <v>1935</v>
      </c>
      <c r="N100" s="58" t="s">
        <v>1870</v>
      </c>
      <c r="O100" s="58" t="s">
        <v>3686</v>
      </c>
      <c r="P100" s="58" t="s">
        <v>3295</v>
      </c>
      <c r="Q100" s="58"/>
      <c r="R100" s="58"/>
      <c r="S100" s="58"/>
      <c r="T100" s="58"/>
      <c r="U100" s="58"/>
      <c r="V100" s="58"/>
      <c r="W100" s="58"/>
      <c r="X100" s="59"/>
      <c r="Y100" s="59"/>
      <c r="Z100" s="58"/>
      <c r="AA100" s="58"/>
      <c r="AB100" s="58"/>
      <c r="AC100" s="58"/>
      <c r="AD100" s="58">
        <v>2026</v>
      </c>
      <c r="AE100" s="58"/>
      <c r="AF100" s="58"/>
      <c r="AG100" s="58" t="s">
        <v>3296</v>
      </c>
      <c r="AH100" s="58" t="s">
        <v>3296</v>
      </c>
      <c r="AI100" s="58"/>
      <c r="AJ100" s="58"/>
      <c r="AK100" s="58"/>
      <c r="AL100" s="58"/>
      <c r="AM100" s="58"/>
      <c r="AN100" s="58" t="s">
        <v>1870</v>
      </c>
      <c r="AO100" s="60" t="s">
        <v>1942</v>
      </c>
      <c r="AP100" s="60" t="s">
        <v>1943</v>
      </c>
      <c r="AQ100" s="58" t="s">
        <v>3687</v>
      </c>
      <c r="AR100" s="58" t="s">
        <v>288</v>
      </c>
      <c r="AS100" s="58" t="s">
        <v>3315</v>
      </c>
      <c r="AT100" s="58" t="s">
        <v>3688</v>
      </c>
      <c r="AU100" s="58" t="s">
        <v>3311</v>
      </c>
      <c r="AV100" s="58" t="s">
        <v>3333</v>
      </c>
      <c r="AW100" s="58" t="s">
        <v>3689</v>
      </c>
      <c r="AX100" s="58"/>
      <c r="AY100" s="58"/>
      <c r="AZ100" s="58" t="s">
        <v>3508</v>
      </c>
      <c r="BA100" s="58"/>
      <c r="BB100" s="58"/>
      <c r="BC100" s="58"/>
      <c r="BD100" s="58"/>
      <c r="BE100" s="58"/>
      <c r="BF100" s="58"/>
      <c r="BG100" s="58"/>
      <c r="BH100" s="58"/>
      <c r="BI100" s="58"/>
      <c r="BJ100" s="58"/>
      <c r="BK100" s="58"/>
      <c r="BL100" s="58"/>
      <c r="BM100" s="58"/>
      <c r="BN100" s="58"/>
      <c r="BO100" s="58"/>
      <c r="BP100" s="58"/>
      <c r="BQ100" s="58"/>
      <c r="BR100" s="58" t="s">
        <v>3690</v>
      </c>
      <c r="BS100" s="58"/>
      <c r="BT100" s="58" t="s">
        <v>1870</v>
      </c>
      <c r="BU100" s="58" t="s">
        <v>1940</v>
      </c>
      <c r="BV100" s="58" t="s">
        <v>1870</v>
      </c>
      <c r="BW100" s="58" t="s">
        <v>1940</v>
      </c>
      <c r="BX100" s="58"/>
    </row>
    <row r="101" spans="1:76" ht="15" customHeight="1" x14ac:dyDescent="0.25">
      <c r="A101" s="61" t="str">
        <f t="shared" si="1"/>
        <v>068208007545</v>
      </c>
      <c r="B101" s="58">
        <v>99</v>
      </c>
      <c r="C101" s="58"/>
      <c r="D101" s="58"/>
      <c r="E101" s="58"/>
      <c r="F101" s="58" t="s">
        <v>1954</v>
      </c>
      <c r="G101" s="58" t="s">
        <v>104</v>
      </c>
      <c r="H101" s="58" t="s">
        <v>1949</v>
      </c>
      <c r="I101" s="58" t="s">
        <v>1950</v>
      </c>
      <c r="J101" s="58" t="s">
        <v>2909</v>
      </c>
      <c r="K101" s="58" t="s">
        <v>278</v>
      </c>
      <c r="L101" s="58" t="s">
        <v>1952</v>
      </c>
      <c r="M101" s="58" t="s">
        <v>1951</v>
      </c>
      <c r="N101" s="58" t="s">
        <v>1576</v>
      </c>
      <c r="O101" s="58" t="s">
        <v>3691</v>
      </c>
      <c r="P101" s="58" t="s">
        <v>3295</v>
      </c>
      <c r="Q101" s="58"/>
      <c r="R101" s="58"/>
      <c r="S101" s="58"/>
      <c r="T101" s="58"/>
      <c r="U101" s="58"/>
      <c r="V101" s="58"/>
      <c r="W101" s="58"/>
      <c r="X101" s="59"/>
      <c r="Y101" s="59"/>
      <c r="Z101" s="58"/>
      <c r="AA101" s="58"/>
      <c r="AB101" s="58"/>
      <c r="AC101" s="58"/>
      <c r="AD101" s="58">
        <v>2026</v>
      </c>
      <c r="AE101" s="58"/>
      <c r="AF101" s="58"/>
      <c r="AG101" s="58" t="s">
        <v>3296</v>
      </c>
      <c r="AH101" s="58" t="s">
        <v>3296</v>
      </c>
      <c r="AI101" s="58"/>
      <c r="AJ101" s="58"/>
      <c r="AK101" s="58"/>
      <c r="AL101" s="58"/>
      <c r="AM101" s="58"/>
      <c r="AN101" s="58" t="s">
        <v>1576</v>
      </c>
      <c r="AO101" s="60" t="s">
        <v>1955</v>
      </c>
      <c r="AP101" s="60" t="s">
        <v>1956</v>
      </c>
      <c r="AQ101" s="58" t="s">
        <v>3692</v>
      </c>
      <c r="AR101" s="58" t="s">
        <v>288</v>
      </c>
      <c r="AS101" s="58" t="s">
        <v>3308</v>
      </c>
      <c r="AT101" s="58" t="s">
        <v>3693</v>
      </c>
      <c r="AU101" s="58" t="s">
        <v>3551</v>
      </c>
      <c r="AV101" s="58" t="s">
        <v>3340</v>
      </c>
      <c r="AW101" s="58" t="s">
        <v>3551</v>
      </c>
      <c r="AX101" s="58"/>
      <c r="AY101" s="58"/>
      <c r="AZ101" s="58"/>
      <c r="BA101" s="58"/>
      <c r="BB101" s="58" t="s">
        <v>3344</v>
      </c>
      <c r="BC101" s="58" t="s">
        <v>3304</v>
      </c>
      <c r="BD101" s="58"/>
      <c r="BE101" s="58"/>
      <c r="BF101" s="58"/>
      <c r="BG101" s="58"/>
      <c r="BH101" s="58"/>
      <c r="BI101" s="58"/>
      <c r="BJ101" s="58"/>
      <c r="BK101" s="58"/>
      <c r="BL101" s="58"/>
      <c r="BM101" s="58"/>
      <c r="BN101" s="58"/>
      <c r="BO101" s="58"/>
      <c r="BP101" s="58"/>
      <c r="BQ101" s="58"/>
      <c r="BR101" s="58" t="s">
        <v>464</v>
      </c>
      <c r="BS101" s="58"/>
      <c r="BT101" s="58" t="s">
        <v>1576</v>
      </c>
      <c r="BU101" s="58" t="s">
        <v>1955</v>
      </c>
      <c r="BV101" s="58" t="s">
        <v>1576</v>
      </c>
      <c r="BW101" s="58" t="s">
        <v>1955</v>
      </c>
      <c r="BX101" s="58"/>
    </row>
    <row r="102" spans="1:76" ht="15" customHeight="1" x14ac:dyDescent="0.25">
      <c r="A102" s="61" t="str">
        <f t="shared" si="1"/>
        <v>089308016017</v>
      </c>
      <c r="B102" s="58">
        <v>100</v>
      </c>
      <c r="C102" s="58"/>
      <c r="D102" s="58"/>
      <c r="E102" s="58"/>
      <c r="F102" s="58" t="s">
        <v>1966</v>
      </c>
      <c r="G102" s="58" t="s">
        <v>1964</v>
      </c>
      <c r="H102" s="58" t="s">
        <v>1961</v>
      </c>
      <c r="I102" s="58" t="s">
        <v>617</v>
      </c>
      <c r="J102" s="58" t="s">
        <v>2908</v>
      </c>
      <c r="K102" s="58" t="s">
        <v>278</v>
      </c>
      <c r="L102" s="58" t="s">
        <v>1963</v>
      </c>
      <c r="M102" s="58" t="s">
        <v>1962</v>
      </c>
      <c r="N102" s="58" t="s">
        <v>1809</v>
      </c>
      <c r="O102" s="58" t="s">
        <v>3694</v>
      </c>
      <c r="P102" s="58" t="s">
        <v>376</v>
      </c>
      <c r="Q102" s="58"/>
      <c r="R102" s="58"/>
      <c r="S102" s="58"/>
      <c r="T102" s="58"/>
      <c r="U102" s="58"/>
      <c r="V102" s="58"/>
      <c r="W102" s="58"/>
      <c r="X102" s="59"/>
      <c r="Y102" s="59"/>
      <c r="Z102" s="58"/>
      <c r="AA102" s="58"/>
      <c r="AB102" s="58"/>
      <c r="AC102" s="58"/>
      <c r="AD102" s="58">
        <v>2026</v>
      </c>
      <c r="AE102" s="58"/>
      <c r="AF102" s="58"/>
      <c r="AG102" s="58" t="s">
        <v>3296</v>
      </c>
      <c r="AH102" s="58" t="s">
        <v>3296</v>
      </c>
      <c r="AI102" s="58"/>
      <c r="AJ102" s="58"/>
      <c r="AK102" s="58"/>
      <c r="AL102" s="58"/>
      <c r="AM102" s="58"/>
      <c r="AN102" s="58" t="s">
        <v>1809</v>
      </c>
      <c r="AO102" s="60" t="s">
        <v>1699</v>
      </c>
      <c r="AP102" s="60" t="s">
        <v>1739</v>
      </c>
      <c r="AQ102" s="58" t="s">
        <v>3695</v>
      </c>
      <c r="AR102" s="58" t="s">
        <v>288</v>
      </c>
      <c r="AS102" s="58" t="s">
        <v>3321</v>
      </c>
      <c r="AT102" s="58" t="s">
        <v>3696</v>
      </c>
      <c r="AU102" s="58" t="s">
        <v>3384</v>
      </c>
      <c r="AV102" s="58" t="s">
        <v>3317</v>
      </c>
      <c r="AW102" s="58"/>
      <c r="AX102" s="58"/>
      <c r="AY102" s="58"/>
      <c r="AZ102" s="58" t="s">
        <v>3334</v>
      </c>
      <c r="BA102" s="58" t="s">
        <v>3311</v>
      </c>
      <c r="BB102" s="58"/>
      <c r="BC102" s="58"/>
      <c r="BD102" s="58"/>
      <c r="BE102" s="58"/>
      <c r="BF102" s="58"/>
      <c r="BG102" s="58"/>
      <c r="BH102" s="58"/>
      <c r="BI102" s="58"/>
      <c r="BJ102" s="58"/>
      <c r="BK102" s="58"/>
      <c r="BL102" s="58"/>
      <c r="BM102" s="58"/>
      <c r="BN102" s="58"/>
      <c r="BO102" s="58"/>
      <c r="BP102" s="58"/>
      <c r="BQ102" s="58"/>
      <c r="BR102" s="58" t="s">
        <v>1908</v>
      </c>
      <c r="BS102" s="58"/>
      <c r="BT102" s="58" t="s">
        <v>1809</v>
      </c>
      <c r="BU102" s="58" t="s">
        <v>1699</v>
      </c>
      <c r="BV102" s="58" t="s">
        <v>1809</v>
      </c>
      <c r="BW102" s="58" t="s">
        <v>1699</v>
      </c>
      <c r="BX102" s="58"/>
    </row>
    <row r="103" spans="1:76" ht="15" customHeight="1" x14ac:dyDescent="0.25">
      <c r="A103" s="61" t="str">
        <f t="shared" si="1"/>
        <v>038208002727</v>
      </c>
      <c r="B103" s="58">
        <v>101</v>
      </c>
      <c r="C103" s="58"/>
      <c r="D103" s="58"/>
      <c r="E103" s="58"/>
      <c r="F103" s="58" t="s">
        <v>1978</v>
      </c>
      <c r="G103" s="58" t="s">
        <v>1976</v>
      </c>
      <c r="H103" s="58" t="s">
        <v>1972</v>
      </c>
      <c r="I103" s="58" t="s">
        <v>1973</v>
      </c>
      <c r="J103" s="58" t="s">
        <v>2909</v>
      </c>
      <c r="K103" s="58" t="s">
        <v>278</v>
      </c>
      <c r="L103" s="58" t="s">
        <v>1975</v>
      </c>
      <c r="M103" s="58" t="s">
        <v>1974</v>
      </c>
      <c r="N103" s="58" t="s">
        <v>1576</v>
      </c>
      <c r="O103" s="58" t="s">
        <v>3697</v>
      </c>
      <c r="P103" s="58" t="s">
        <v>376</v>
      </c>
      <c r="Q103" s="58"/>
      <c r="R103" s="58"/>
      <c r="S103" s="58"/>
      <c r="T103" s="58"/>
      <c r="U103" s="58"/>
      <c r="V103" s="58"/>
      <c r="W103" s="58"/>
      <c r="X103" s="59"/>
      <c r="Y103" s="59"/>
      <c r="Z103" s="58"/>
      <c r="AA103" s="58"/>
      <c r="AB103" s="58"/>
      <c r="AC103" s="58"/>
      <c r="AD103" s="58">
        <v>2026</v>
      </c>
      <c r="AE103" s="58"/>
      <c r="AF103" s="58"/>
      <c r="AG103" s="58" t="s">
        <v>3313</v>
      </c>
      <c r="AH103" s="58" t="s">
        <v>3313</v>
      </c>
      <c r="AI103" s="58"/>
      <c r="AJ103" s="58"/>
      <c r="AK103" s="58"/>
      <c r="AL103" s="58"/>
      <c r="AM103" s="58"/>
      <c r="AN103" s="58" t="s">
        <v>1576</v>
      </c>
      <c r="AO103" s="60" t="s">
        <v>1985</v>
      </c>
      <c r="AP103" s="60" t="s">
        <v>1986</v>
      </c>
      <c r="AQ103" s="58" t="s">
        <v>3698</v>
      </c>
      <c r="AR103" s="58" t="s">
        <v>288</v>
      </c>
      <c r="AS103" s="58" t="s">
        <v>3308</v>
      </c>
      <c r="AT103" s="58" t="s">
        <v>3699</v>
      </c>
      <c r="AU103" s="58" t="s">
        <v>3300</v>
      </c>
      <c r="AV103" s="58" t="s">
        <v>3300</v>
      </c>
      <c r="AW103" s="58"/>
      <c r="AX103" s="58"/>
      <c r="AY103" s="58"/>
      <c r="AZ103" s="58" t="s">
        <v>3571</v>
      </c>
      <c r="BA103" s="58"/>
      <c r="BB103" s="58" t="s">
        <v>3428</v>
      </c>
      <c r="BC103" s="58" t="s">
        <v>3304</v>
      </c>
      <c r="BD103" s="58"/>
      <c r="BE103" s="58"/>
      <c r="BF103" s="58"/>
      <c r="BG103" s="58"/>
      <c r="BH103" s="58"/>
      <c r="BI103" s="58"/>
      <c r="BJ103" s="58"/>
      <c r="BK103" s="58"/>
      <c r="BL103" s="58"/>
      <c r="BM103" s="58"/>
      <c r="BN103" s="58"/>
      <c r="BO103" s="58"/>
      <c r="BP103" s="58"/>
      <c r="BQ103" s="58"/>
      <c r="BR103" s="58" t="s">
        <v>3700</v>
      </c>
      <c r="BS103" s="58"/>
      <c r="BT103" s="58" t="s">
        <v>1576</v>
      </c>
      <c r="BU103" s="58" t="s">
        <v>1985</v>
      </c>
      <c r="BV103" s="58" t="s">
        <v>1576</v>
      </c>
      <c r="BW103" s="58" t="s">
        <v>1985</v>
      </c>
      <c r="BX103" s="58"/>
    </row>
    <row r="104" spans="1:76" ht="15" customHeight="1" x14ac:dyDescent="0.25">
      <c r="A104" s="61" t="str">
        <f t="shared" si="1"/>
        <v>066308009933</v>
      </c>
      <c r="B104" s="58">
        <v>102</v>
      </c>
      <c r="C104" s="58"/>
      <c r="D104" s="58"/>
      <c r="E104" s="58"/>
      <c r="F104" s="58" t="s">
        <v>1997</v>
      </c>
      <c r="G104" s="58" t="s">
        <v>107</v>
      </c>
      <c r="H104" s="58" t="s">
        <v>1993</v>
      </c>
      <c r="I104" s="58" t="s">
        <v>1257</v>
      </c>
      <c r="J104" s="58" t="s">
        <v>2908</v>
      </c>
      <c r="K104" s="58" t="s">
        <v>278</v>
      </c>
      <c r="L104" s="58" t="s">
        <v>1995</v>
      </c>
      <c r="M104" s="58" t="s">
        <v>1994</v>
      </c>
      <c r="N104" s="58" t="s">
        <v>1486</v>
      </c>
      <c r="O104" s="58" t="s">
        <v>3701</v>
      </c>
      <c r="P104" s="58" t="s">
        <v>278</v>
      </c>
      <c r="Q104" s="58"/>
      <c r="R104" s="58"/>
      <c r="S104" s="58"/>
      <c r="T104" s="58"/>
      <c r="U104" s="58"/>
      <c r="V104" s="58"/>
      <c r="W104" s="58"/>
      <c r="X104" s="59"/>
      <c r="Y104" s="59"/>
      <c r="Z104" s="58"/>
      <c r="AA104" s="58"/>
      <c r="AB104" s="58"/>
      <c r="AC104" s="58"/>
      <c r="AD104" s="58">
        <v>2026</v>
      </c>
      <c r="AE104" s="58"/>
      <c r="AF104" s="58"/>
      <c r="AG104" s="58" t="s">
        <v>3296</v>
      </c>
      <c r="AH104" s="58" t="s">
        <v>3296</v>
      </c>
      <c r="AI104" s="58"/>
      <c r="AJ104" s="58"/>
      <c r="AK104" s="58"/>
      <c r="AL104" s="58"/>
      <c r="AM104" s="58"/>
      <c r="AN104" s="58" t="s">
        <v>1486</v>
      </c>
      <c r="AO104" s="60" t="s">
        <v>2001</v>
      </c>
      <c r="AP104" s="60" t="s">
        <v>2002</v>
      </c>
      <c r="AQ104" s="58" t="s">
        <v>3702</v>
      </c>
      <c r="AR104" s="58" t="s">
        <v>288</v>
      </c>
      <c r="AS104" s="58" t="s">
        <v>3545</v>
      </c>
      <c r="AT104" s="58" t="s">
        <v>3703</v>
      </c>
      <c r="AU104" s="58" t="s">
        <v>3324</v>
      </c>
      <c r="AV104" s="58" t="s">
        <v>3317</v>
      </c>
      <c r="AW104" s="58" t="s">
        <v>3300</v>
      </c>
      <c r="AX104" s="58"/>
      <c r="AY104" s="58"/>
      <c r="AZ104" s="58"/>
      <c r="BA104" s="58"/>
      <c r="BB104" s="58" t="s">
        <v>3361</v>
      </c>
      <c r="BC104" s="58" t="s">
        <v>3304</v>
      </c>
      <c r="BD104" s="58"/>
      <c r="BE104" s="58"/>
      <c r="BF104" s="58"/>
      <c r="BG104" s="58"/>
      <c r="BH104" s="58"/>
      <c r="BI104" s="58"/>
      <c r="BJ104" s="58"/>
      <c r="BK104" s="58"/>
      <c r="BL104" s="58"/>
      <c r="BM104" s="58"/>
      <c r="BN104" s="58"/>
      <c r="BO104" s="58"/>
      <c r="BP104" s="58"/>
      <c r="BQ104" s="58"/>
      <c r="BR104" s="58" t="s">
        <v>1656</v>
      </c>
      <c r="BS104" s="58"/>
      <c r="BT104" s="58" t="s">
        <v>1486</v>
      </c>
      <c r="BU104" s="58" t="s">
        <v>2001</v>
      </c>
      <c r="BV104" s="58" t="s">
        <v>1486</v>
      </c>
      <c r="BW104" s="58" t="s">
        <v>2001</v>
      </c>
      <c r="BX104" s="58"/>
    </row>
    <row r="105" spans="1:76" ht="15" customHeight="1" x14ac:dyDescent="0.25">
      <c r="A105" s="61" t="str">
        <f t="shared" si="1"/>
        <v>038307007810</v>
      </c>
      <c r="B105" s="58">
        <v>103</v>
      </c>
      <c r="C105" s="58"/>
      <c r="D105" s="58"/>
      <c r="E105" s="58"/>
      <c r="F105" s="58" t="s">
        <v>2012</v>
      </c>
      <c r="G105" s="58" t="s">
        <v>115</v>
      </c>
      <c r="H105" s="58" t="s">
        <v>2007</v>
      </c>
      <c r="I105" s="58" t="s">
        <v>2008</v>
      </c>
      <c r="J105" s="58" t="s">
        <v>2908</v>
      </c>
      <c r="K105" s="58" t="s">
        <v>278</v>
      </c>
      <c r="L105" s="58" t="s">
        <v>2010</v>
      </c>
      <c r="M105" s="58" t="s">
        <v>2009</v>
      </c>
      <c r="N105" s="58" t="s">
        <v>1798</v>
      </c>
      <c r="O105" s="58" t="s">
        <v>3704</v>
      </c>
      <c r="P105" s="58" t="s">
        <v>3295</v>
      </c>
      <c r="Q105" s="58"/>
      <c r="R105" s="58"/>
      <c r="S105" s="58"/>
      <c r="T105" s="58"/>
      <c r="U105" s="58"/>
      <c r="V105" s="58"/>
      <c r="W105" s="58"/>
      <c r="X105" s="59"/>
      <c r="Y105" s="59"/>
      <c r="Z105" s="58"/>
      <c r="AA105" s="58"/>
      <c r="AB105" s="58"/>
      <c r="AC105" s="58"/>
      <c r="AD105" s="58">
        <v>2025</v>
      </c>
      <c r="AE105" s="58"/>
      <c r="AF105" s="58"/>
      <c r="AG105" s="58" t="s">
        <v>3296</v>
      </c>
      <c r="AH105" s="58" t="s">
        <v>3296</v>
      </c>
      <c r="AI105" s="58"/>
      <c r="AJ105" s="58"/>
      <c r="AK105" s="58"/>
      <c r="AL105" s="58"/>
      <c r="AM105" s="58"/>
      <c r="AN105" s="58" t="s">
        <v>1798</v>
      </c>
      <c r="AO105" s="60" t="s">
        <v>2013</v>
      </c>
      <c r="AP105" s="60" t="s">
        <v>2014</v>
      </c>
      <c r="AQ105" s="58" t="s">
        <v>3705</v>
      </c>
      <c r="AR105" s="58" t="s">
        <v>288</v>
      </c>
      <c r="AS105" s="58" t="s">
        <v>3432</v>
      </c>
      <c r="AT105" s="58" t="s">
        <v>3706</v>
      </c>
      <c r="AU105" s="58" t="s">
        <v>3338</v>
      </c>
      <c r="AV105" s="58" t="s">
        <v>3300</v>
      </c>
      <c r="AW105" s="58" t="s">
        <v>3340</v>
      </c>
      <c r="AX105" s="58"/>
      <c r="AY105" s="58"/>
      <c r="AZ105" s="58"/>
      <c r="BA105" s="58"/>
      <c r="BB105" s="58" t="s">
        <v>3323</v>
      </c>
      <c r="BC105" s="58" t="s">
        <v>3304</v>
      </c>
      <c r="BD105" s="58"/>
      <c r="BE105" s="58"/>
      <c r="BF105" s="58"/>
      <c r="BG105" s="58"/>
      <c r="BH105" s="58"/>
      <c r="BI105" s="58"/>
      <c r="BJ105" s="58"/>
      <c r="BK105" s="58"/>
      <c r="BL105" s="58"/>
      <c r="BM105" s="58"/>
      <c r="BN105" s="58"/>
      <c r="BO105" s="58"/>
      <c r="BP105" s="58"/>
      <c r="BQ105" s="58"/>
      <c r="BR105" s="58"/>
      <c r="BS105" s="58"/>
      <c r="BT105" s="58" t="s">
        <v>1798</v>
      </c>
      <c r="BU105" s="58" t="s">
        <v>2013</v>
      </c>
      <c r="BV105" s="58" t="s">
        <v>1798</v>
      </c>
      <c r="BW105" s="58" t="s">
        <v>2013</v>
      </c>
      <c r="BX105" s="58"/>
    </row>
    <row r="106" spans="1:76" ht="15" customHeight="1" x14ac:dyDescent="0.25">
      <c r="A106" s="61" t="str">
        <f t="shared" si="1"/>
        <v>058307004501</v>
      </c>
      <c r="B106" s="58">
        <v>104</v>
      </c>
      <c r="C106" s="58"/>
      <c r="D106" s="58"/>
      <c r="E106" s="58"/>
      <c r="F106" s="58" t="s">
        <v>2024</v>
      </c>
      <c r="G106" s="58" t="s">
        <v>111</v>
      </c>
      <c r="H106" s="58" t="s">
        <v>2019</v>
      </c>
      <c r="I106" s="58" t="s">
        <v>2020</v>
      </c>
      <c r="J106" s="58" t="s">
        <v>2908</v>
      </c>
      <c r="K106" s="58" t="s">
        <v>278</v>
      </c>
      <c r="L106" s="58" t="s">
        <v>2022</v>
      </c>
      <c r="M106" s="58" t="s">
        <v>2021</v>
      </c>
      <c r="N106" s="58" t="s">
        <v>1311</v>
      </c>
      <c r="O106" s="58" t="s">
        <v>3707</v>
      </c>
      <c r="P106" s="58" t="s">
        <v>376</v>
      </c>
      <c r="Q106" s="58"/>
      <c r="R106" s="58"/>
      <c r="S106" s="58"/>
      <c r="T106" s="58"/>
      <c r="U106" s="58"/>
      <c r="V106" s="58"/>
      <c r="W106" s="58"/>
      <c r="X106" s="59"/>
      <c r="Y106" s="59"/>
      <c r="Z106" s="58"/>
      <c r="AA106" s="58"/>
      <c r="AB106" s="58"/>
      <c r="AC106" s="58"/>
      <c r="AD106" s="58">
        <v>2025</v>
      </c>
      <c r="AE106" s="58"/>
      <c r="AF106" s="58"/>
      <c r="AG106" s="58" t="s">
        <v>3313</v>
      </c>
      <c r="AH106" s="58" t="s">
        <v>3296</v>
      </c>
      <c r="AI106" s="58"/>
      <c r="AJ106" s="58"/>
      <c r="AK106" s="58"/>
      <c r="AL106" s="58"/>
      <c r="AM106" s="58"/>
      <c r="AN106" s="58" t="s">
        <v>1709</v>
      </c>
      <c r="AO106" s="60" t="s">
        <v>1068</v>
      </c>
      <c r="AP106" s="60" t="s">
        <v>2025</v>
      </c>
      <c r="AQ106" s="58" t="s">
        <v>3708</v>
      </c>
      <c r="AR106" s="58" t="s">
        <v>288</v>
      </c>
      <c r="AS106" s="58" t="s">
        <v>3709</v>
      </c>
      <c r="AT106" s="58" t="s">
        <v>3710</v>
      </c>
      <c r="AU106" s="58" t="s">
        <v>3368</v>
      </c>
      <c r="AV106" s="58"/>
      <c r="AW106" s="58" t="s">
        <v>3339</v>
      </c>
      <c r="AX106" s="58"/>
      <c r="AY106" s="58"/>
      <c r="AZ106" s="58"/>
      <c r="BA106" s="58"/>
      <c r="BB106" s="58" t="s">
        <v>3326</v>
      </c>
      <c r="BC106" s="58" t="s">
        <v>3304</v>
      </c>
      <c r="BD106" s="58"/>
      <c r="BE106" s="58"/>
      <c r="BF106" s="58"/>
      <c r="BG106" s="58"/>
      <c r="BH106" s="58"/>
      <c r="BI106" s="58"/>
      <c r="BJ106" s="58"/>
      <c r="BK106" s="58"/>
      <c r="BL106" s="58"/>
      <c r="BM106" s="58"/>
      <c r="BN106" s="58"/>
      <c r="BO106" s="58"/>
      <c r="BP106" s="58"/>
      <c r="BQ106" s="58"/>
      <c r="BR106" s="58"/>
      <c r="BS106" s="58"/>
      <c r="BT106" s="58" t="s">
        <v>1709</v>
      </c>
      <c r="BU106" s="58" t="s">
        <v>1068</v>
      </c>
      <c r="BV106" s="58" t="s">
        <v>1709</v>
      </c>
      <c r="BW106" s="58" t="s">
        <v>1068</v>
      </c>
      <c r="BX106" s="58"/>
    </row>
    <row r="107" spans="1:76" ht="15" customHeight="1" x14ac:dyDescent="0.25">
      <c r="A107" s="61" t="str">
        <f t="shared" si="1"/>
        <v>033308007672</v>
      </c>
      <c r="B107" s="58">
        <v>105</v>
      </c>
      <c r="C107" s="58"/>
      <c r="D107" s="58"/>
      <c r="E107" s="58"/>
      <c r="F107" s="58" t="s">
        <v>2034</v>
      </c>
      <c r="G107" s="58" t="s">
        <v>118</v>
      </c>
      <c r="H107" s="58" t="s">
        <v>2029</v>
      </c>
      <c r="I107" s="58" t="s">
        <v>2030</v>
      </c>
      <c r="J107" s="58" t="s">
        <v>2908</v>
      </c>
      <c r="K107" s="58" t="s">
        <v>278</v>
      </c>
      <c r="L107" s="58" t="s">
        <v>2032</v>
      </c>
      <c r="M107" s="58" t="s">
        <v>2031</v>
      </c>
      <c r="N107" s="58" t="s">
        <v>993</v>
      </c>
      <c r="O107" s="58" t="s">
        <v>3711</v>
      </c>
      <c r="P107" s="58" t="s">
        <v>376</v>
      </c>
      <c r="Q107" s="58"/>
      <c r="R107" s="58"/>
      <c r="S107" s="58"/>
      <c r="T107" s="58"/>
      <c r="U107" s="58"/>
      <c r="V107" s="58"/>
      <c r="W107" s="58"/>
      <c r="X107" s="59"/>
      <c r="Y107" s="59"/>
      <c r="Z107" s="58"/>
      <c r="AA107" s="58"/>
      <c r="AB107" s="58"/>
      <c r="AC107" s="58"/>
      <c r="AD107" s="58">
        <v>2026</v>
      </c>
      <c r="AE107" s="58"/>
      <c r="AF107" s="58"/>
      <c r="AG107" s="58" t="s">
        <v>3296</v>
      </c>
      <c r="AH107" s="58" t="s">
        <v>3296</v>
      </c>
      <c r="AI107" s="58"/>
      <c r="AJ107" s="58"/>
      <c r="AK107" s="58"/>
      <c r="AL107" s="58"/>
      <c r="AM107" s="58"/>
      <c r="AN107" s="58" t="s">
        <v>993</v>
      </c>
      <c r="AO107" s="60" t="s">
        <v>1861</v>
      </c>
      <c r="AP107" s="60" t="s">
        <v>2036</v>
      </c>
      <c r="AQ107" s="58" t="s">
        <v>3712</v>
      </c>
      <c r="AR107" s="58" t="s">
        <v>288</v>
      </c>
      <c r="AS107" s="58" t="s">
        <v>3713</v>
      </c>
      <c r="AT107" s="58" t="s">
        <v>3714</v>
      </c>
      <c r="AU107" s="58" t="s">
        <v>3301</v>
      </c>
      <c r="AV107" s="58" t="s">
        <v>3451</v>
      </c>
      <c r="AW107" s="58"/>
      <c r="AX107" s="58"/>
      <c r="AY107" s="58"/>
      <c r="AZ107" s="58"/>
      <c r="BA107" s="58" t="s">
        <v>3325</v>
      </c>
      <c r="BB107" s="58" t="s">
        <v>3324</v>
      </c>
      <c r="BC107" s="58" t="s">
        <v>3304</v>
      </c>
      <c r="BD107" s="58"/>
      <c r="BE107" s="58"/>
      <c r="BF107" s="58"/>
      <c r="BG107" s="58"/>
      <c r="BH107" s="58"/>
      <c r="BI107" s="58"/>
      <c r="BJ107" s="58"/>
      <c r="BK107" s="58"/>
      <c r="BL107" s="58"/>
      <c r="BM107" s="58"/>
      <c r="BN107" s="58"/>
      <c r="BO107" s="58"/>
      <c r="BP107" s="58"/>
      <c r="BQ107" s="58"/>
      <c r="BR107" s="58" t="s">
        <v>2109</v>
      </c>
      <c r="BS107" s="58"/>
      <c r="BT107" s="58" t="s">
        <v>993</v>
      </c>
      <c r="BU107" s="58" t="s">
        <v>1861</v>
      </c>
      <c r="BV107" s="58" t="s">
        <v>993</v>
      </c>
      <c r="BW107" s="58" t="s">
        <v>1861</v>
      </c>
      <c r="BX107" s="58"/>
    </row>
    <row r="108" spans="1:76" ht="15" customHeight="1" x14ac:dyDescent="0.25">
      <c r="A108" s="61" t="str">
        <f t="shared" si="1"/>
        <v>084308001622</v>
      </c>
      <c r="B108" s="58">
        <v>106</v>
      </c>
      <c r="C108" s="58"/>
      <c r="D108" s="58"/>
      <c r="E108" s="58"/>
      <c r="F108" s="58" t="s">
        <v>2045</v>
      </c>
      <c r="G108" s="58" t="s">
        <v>75</v>
      </c>
      <c r="H108" s="58" t="s">
        <v>2040</v>
      </c>
      <c r="I108" s="58" t="s">
        <v>2041</v>
      </c>
      <c r="J108" s="58" t="s">
        <v>2908</v>
      </c>
      <c r="K108" s="58" t="s">
        <v>278</v>
      </c>
      <c r="L108" s="58" t="s">
        <v>2043</v>
      </c>
      <c r="M108" s="58" t="s">
        <v>2042</v>
      </c>
      <c r="N108" s="58" t="s">
        <v>1851</v>
      </c>
      <c r="O108" s="58" t="s">
        <v>3715</v>
      </c>
      <c r="P108" s="58" t="s">
        <v>278</v>
      </c>
      <c r="Q108" s="58"/>
      <c r="R108" s="58"/>
      <c r="S108" s="58"/>
      <c r="T108" s="58"/>
      <c r="U108" s="58"/>
      <c r="V108" s="58"/>
      <c r="W108" s="58"/>
      <c r="X108" s="59"/>
      <c r="Y108" s="59"/>
      <c r="Z108" s="58"/>
      <c r="AA108" s="58"/>
      <c r="AB108" s="58"/>
      <c r="AC108" s="58"/>
      <c r="AD108" s="58">
        <v>2026</v>
      </c>
      <c r="AE108" s="58"/>
      <c r="AF108" s="58"/>
      <c r="AG108" s="58" t="s">
        <v>3296</v>
      </c>
      <c r="AH108" s="58" t="s">
        <v>3296</v>
      </c>
      <c r="AI108" s="58"/>
      <c r="AJ108" s="58"/>
      <c r="AK108" s="58"/>
      <c r="AL108" s="58"/>
      <c r="AM108" s="58"/>
      <c r="AN108" s="58" t="s">
        <v>1798</v>
      </c>
      <c r="AO108" s="60" t="s">
        <v>1355</v>
      </c>
      <c r="AP108" s="60" t="s">
        <v>2052</v>
      </c>
      <c r="AQ108" s="58" t="s">
        <v>3716</v>
      </c>
      <c r="AR108" s="58" t="s">
        <v>288</v>
      </c>
      <c r="AS108" s="58" t="s">
        <v>3330</v>
      </c>
      <c r="AT108" s="58" t="s">
        <v>3717</v>
      </c>
      <c r="AU108" s="58" t="s">
        <v>3324</v>
      </c>
      <c r="AV108" s="58" t="s">
        <v>3317</v>
      </c>
      <c r="AW108" s="58"/>
      <c r="AX108" s="58" t="s">
        <v>3324</v>
      </c>
      <c r="AY108" s="58" t="s">
        <v>3338</v>
      </c>
      <c r="AZ108" s="58"/>
      <c r="BA108" s="58"/>
      <c r="BB108" s="58"/>
      <c r="BC108" s="58"/>
      <c r="BD108" s="58"/>
      <c r="BE108" s="58"/>
      <c r="BF108" s="58"/>
      <c r="BG108" s="58"/>
      <c r="BH108" s="58"/>
      <c r="BI108" s="58"/>
      <c r="BJ108" s="58"/>
      <c r="BK108" s="58"/>
      <c r="BL108" s="58"/>
      <c r="BM108" s="58"/>
      <c r="BN108" s="58"/>
      <c r="BO108" s="58"/>
      <c r="BP108" s="58"/>
      <c r="BQ108" s="58"/>
      <c r="BR108" s="58" t="s">
        <v>873</v>
      </c>
      <c r="BS108" s="58"/>
      <c r="BT108" s="58" t="s">
        <v>1798</v>
      </c>
      <c r="BU108" s="58" t="s">
        <v>1355</v>
      </c>
      <c r="BV108" s="58" t="s">
        <v>1798</v>
      </c>
      <c r="BW108" s="58" t="s">
        <v>1355</v>
      </c>
      <c r="BX108" s="58"/>
    </row>
    <row r="109" spans="1:76" ht="15" customHeight="1" x14ac:dyDescent="0.25">
      <c r="A109" s="61" t="str">
        <f t="shared" si="1"/>
        <v>087308002819</v>
      </c>
      <c r="B109" s="58">
        <v>107</v>
      </c>
      <c r="C109" s="58"/>
      <c r="D109" s="58"/>
      <c r="E109" s="58"/>
      <c r="F109" s="58" t="s">
        <v>3718</v>
      </c>
      <c r="G109" s="58" t="s">
        <v>2062</v>
      </c>
      <c r="H109" s="58" t="s">
        <v>2059</v>
      </c>
      <c r="I109" s="58" t="s">
        <v>718</v>
      </c>
      <c r="J109" s="58" t="s">
        <v>2908</v>
      </c>
      <c r="K109" s="58" t="s">
        <v>278</v>
      </c>
      <c r="L109" s="58" t="s">
        <v>2061</v>
      </c>
      <c r="M109" s="58" t="s">
        <v>2060</v>
      </c>
      <c r="N109" s="58" t="s">
        <v>1822</v>
      </c>
      <c r="O109" s="58" t="s">
        <v>3719</v>
      </c>
      <c r="P109" s="58" t="s">
        <v>376</v>
      </c>
      <c r="Q109" s="58"/>
      <c r="R109" s="58"/>
      <c r="S109" s="58"/>
      <c r="T109" s="58"/>
      <c r="U109" s="58"/>
      <c r="V109" s="58"/>
      <c r="W109" s="58"/>
      <c r="X109" s="59"/>
      <c r="Y109" s="59"/>
      <c r="Z109" s="58"/>
      <c r="AA109" s="58"/>
      <c r="AB109" s="58"/>
      <c r="AC109" s="58"/>
      <c r="AD109" s="58">
        <v>2026</v>
      </c>
      <c r="AE109" s="58"/>
      <c r="AF109" s="58"/>
      <c r="AG109" s="58" t="s">
        <v>3313</v>
      </c>
      <c r="AH109" s="58" t="s">
        <v>3296</v>
      </c>
      <c r="AI109" s="58"/>
      <c r="AJ109" s="58"/>
      <c r="AK109" s="58"/>
      <c r="AL109" s="58"/>
      <c r="AM109" s="58"/>
      <c r="AN109" s="58" t="s">
        <v>1822</v>
      </c>
      <c r="AO109" s="60" t="s">
        <v>2064</v>
      </c>
      <c r="AP109" s="60" t="s">
        <v>2065</v>
      </c>
      <c r="AQ109" s="58" t="s">
        <v>3720</v>
      </c>
      <c r="AR109" s="58" t="s">
        <v>288</v>
      </c>
      <c r="AS109" s="58" t="s">
        <v>3298</v>
      </c>
      <c r="AT109" s="58" t="s">
        <v>3721</v>
      </c>
      <c r="AU109" s="58" t="s">
        <v>3722</v>
      </c>
      <c r="AV109" s="58" t="s">
        <v>3340</v>
      </c>
      <c r="AW109" s="58"/>
      <c r="AX109" s="58"/>
      <c r="AY109" s="58"/>
      <c r="AZ109" s="58" t="s">
        <v>3340</v>
      </c>
      <c r="BA109" s="58" t="s">
        <v>3376</v>
      </c>
      <c r="BB109" s="58"/>
      <c r="BC109" s="58"/>
      <c r="BD109" s="58"/>
      <c r="BE109" s="58"/>
      <c r="BF109" s="58"/>
      <c r="BG109" s="58"/>
      <c r="BH109" s="58"/>
      <c r="BI109" s="58"/>
      <c r="BJ109" s="58"/>
      <c r="BK109" s="58"/>
      <c r="BL109" s="58"/>
      <c r="BM109" s="58"/>
      <c r="BN109" s="58"/>
      <c r="BO109" s="58"/>
      <c r="BP109" s="58"/>
      <c r="BQ109" s="58"/>
      <c r="BR109" s="58" t="s">
        <v>3723</v>
      </c>
      <c r="BS109" s="58"/>
      <c r="BT109" s="58" t="s">
        <v>1822</v>
      </c>
      <c r="BU109" s="58" t="s">
        <v>538</v>
      </c>
      <c r="BV109" s="58" t="s">
        <v>1822</v>
      </c>
      <c r="BW109" s="58" t="s">
        <v>3724</v>
      </c>
      <c r="BX109" s="58"/>
    </row>
    <row r="110" spans="1:76" ht="15" customHeight="1" x14ac:dyDescent="0.25">
      <c r="A110" s="61" t="str">
        <f t="shared" si="1"/>
        <v>066208001338</v>
      </c>
      <c r="B110" s="58">
        <v>108</v>
      </c>
      <c r="C110" s="58"/>
      <c r="D110" s="58"/>
      <c r="E110" s="58"/>
      <c r="F110" s="58" t="s">
        <v>2081</v>
      </c>
      <c r="G110" s="58" t="s">
        <v>109</v>
      </c>
      <c r="H110" s="58" t="s">
        <v>2076</v>
      </c>
      <c r="I110" s="58" t="s">
        <v>2077</v>
      </c>
      <c r="J110" s="58" t="s">
        <v>2909</v>
      </c>
      <c r="K110" s="58" t="s">
        <v>278</v>
      </c>
      <c r="L110" s="58" t="s">
        <v>2079</v>
      </c>
      <c r="M110" s="58" t="s">
        <v>2078</v>
      </c>
      <c r="N110" s="58" t="s">
        <v>1486</v>
      </c>
      <c r="O110" s="58" t="s">
        <v>3725</v>
      </c>
      <c r="P110" s="58" t="s">
        <v>376</v>
      </c>
      <c r="Q110" s="58"/>
      <c r="R110" s="58"/>
      <c r="S110" s="58"/>
      <c r="T110" s="58"/>
      <c r="U110" s="58"/>
      <c r="V110" s="58"/>
      <c r="W110" s="58"/>
      <c r="X110" s="59"/>
      <c r="Y110" s="59"/>
      <c r="Z110" s="58"/>
      <c r="AA110" s="58"/>
      <c r="AB110" s="58"/>
      <c r="AC110" s="58"/>
      <c r="AD110" s="58">
        <v>2026</v>
      </c>
      <c r="AE110" s="58"/>
      <c r="AF110" s="58"/>
      <c r="AG110" s="58" t="s">
        <v>3296</v>
      </c>
      <c r="AH110" s="58" t="s">
        <v>3296</v>
      </c>
      <c r="AI110" s="58"/>
      <c r="AJ110" s="58"/>
      <c r="AK110" s="58"/>
      <c r="AL110" s="58"/>
      <c r="AM110" s="58"/>
      <c r="AN110" s="58" t="s">
        <v>1486</v>
      </c>
      <c r="AO110" s="60" t="s">
        <v>2083</v>
      </c>
      <c r="AP110" s="60" t="s">
        <v>2084</v>
      </c>
      <c r="AQ110" s="58" t="s">
        <v>3726</v>
      </c>
      <c r="AR110" s="58" t="s">
        <v>288</v>
      </c>
      <c r="AS110" s="58" t="s">
        <v>3545</v>
      </c>
      <c r="AT110" s="58" t="s">
        <v>3727</v>
      </c>
      <c r="AU110" s="58" t="s">
        <v>3442</v>
      </c>
      <c r="AV110" s="58" t="s">
        <v>3300</v>
      </c>
      <c r="AW110" s="58" t="s">
        <v>3310</v>
      </c>
      <c r="AX110" s="58" t="s">
        <v>3324</v>
      </c>
      <c r="AY110" s="58"/>
      <c r="AZ110" s="58"/>
      <c r="BA110" s="58"/>
      <c r="BB110" s="58"/>
      <c r="BC110" s="58"/>
      <c r="BD110" s="58"/>
      <c r="BE110" s="58"/>
      <c r="BF110" s="58"/>
      <c r="BG110" s="58"/>
      <c r="BH110" s="58"/>
      <c r="BI110" s="58"/>
      <c r="BJ110" s="58"/>
      <c r="BK110" s="58"/>
      <c r="BL110" s="58"/>
      <c r="BM110" s="58"/>
      <c r="BN110" s="58"/>
      <c r="BO110" s="58"/>
      <c r="BP110" s="58"/>
      <c r="BQ110" s="58"/>
      <c r="BR110" s="58" t="s">
        <v>807</v>
      </c>
      <c r="BS110" s="58"/>
      <c r="BT110" s="58" t="s">
        <v>1486</v>
      </c>
      <c r="BU110" s="58" t="s">
        <v>2083</v>
      </c>
      <c r="BV110" s="58" t="s">
        <v>1486</v>
      </c>
      <c r="BW110" s="58" t="s">
        <v>2083</v>
      </c>
      <c r="BX110" s="58"/>
    </row>
    <row r="111" spans="1:76" ht="15" customHeight="1" x14ac:dyDescent="0.25">
      <c r="A111" s="61">
        <f t="shared" si="1"/>
        <v>0</v>
      </c>
      <c r="B111" s="58">
        <v>109</v>
      </c>
      <c r="C111" s="58"/>
      <c r="D111" s="58"/>
      <c r="E111" s="58"/>
      <c r="F111" s="58" t="s">
        <v>2092</v>
      </c>
      <c r="G111" s="58"/>
      <c r="H111" s="58"/>
      <c r="I111" s="58"/>
      <c r="J111" s="58" t="s">
        <v>3552</v>
      </c>
      <c r="K111" s="58"/>
      <c r="L111" s="58"/>
      <c r="M111" s="58"/>
      <c r="N111" s="58"/>
      <c r="O111" s="58"/>
      <c r="P111" s="58"/>
      <c r="Q111" s="58"/>
      <c r="R111" s="58"/>
      <c r="S111" s="58"/>
      <c r="T111" s="58"/>
      <c r="U111" s="58"/>
      <c r="V111" s="58"/>
      <c r="W111" s="58"/>
      <c r="X111" s="59"/>
      <c r="Y111" s="59"/>
      <c r="Z111" s="58"/>
      <c r="AA111" s="58"/>
      <c r="AB111" s="58"/>
      <c r="AC111" s="58"/>
      <c r="AD111" s="58"/>
      <c r="AE111" s="58"/>
      <c r="AF111" s="58"/>
      <c r="AG111" s="58"/>
      <c r="AH111" s="58"/>
      <c r="AI111" s="58"/>
      <c r="AJ111" s="58"/>
      <c r="AK111" s="58"/>
      <c r="AL111" s="58"/>
      <c r="AM111" s="58"/>
      <c r="AN111" s="58"/>
      <c r="AO111" s="60"/>
      <c r="AP111" s="60"/>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row>
    <row r="112" spans="1:76" ht="15" customHeight="1" x14ac:dyDescent="0.25">
      <c r="A112" s="61" t="str">
        <f t="shared" si="1"/>
        <v>089308002210</v>
      </c>
      <c r="B112" s="58">
        <v>110</v>
      </c>
      <c r="C112" s="58"/>
      <c r="D112" s="58"/>
      <c r="E112" s="58"/>
      <c r="F112" s="58" t="s">
        <v>2103</v>
      </c>
      <c r="G112" s="58" t="s">
        <v>2101</v>
      </c>
      <c r="H112" s="58" t="s">
        <v>2097</v>
      </c>
      <c r="I112" s="58" t="s">
        <v>2098</v>
      </c>
      <c r="J112" s="58" t="s">
        <v>2908</v>
      </c>
      <c r="K112" s="58" t="s">
        <v>278</v>
      </c>
      <c r="L112" s="58" t="s">
        <v>3728</v>
      </c>
      <c r="M112" s="58" t="s">
        <v>2099</v>
      </c>
      <c r="N112" s="58" t="s">
        <v>1809</v>
      </c>
      <c r="O112" s="58" t="s">
        <v>3638</v>
      </c>
      <c r="P112" s="58" t="s">
        <v>376</v>
      </c>
      <c r="Q112" s="58"/>
      <c r="R112" s="58"/>
      <c r="S112" s="58"/>
      <c r="T112" s="58"/>
      <c r="U112" s="58"/>
      <c r="V112" s="58"/>
      <c r="W112" s="58"/>
      <c r="X112" s="59"/>
      <c r="Y112" s="59"/>
      <c r="Z112" s="58"/>
      <c r="AA112" s="58"/>
      <c r="AB112" s="58"/>
      <c r="AC112" s="58"/>
      <c r="AD112" s="58">
        <v>2026</v>
      </c>
      <c r="AE112" s="58"/>
      <c r="AF112" s="58"/>
      <c r="AG112" s="58" t="s">
        <v>3296</v>
      </c>
      <c r="AH112" s="58" t="s">
        <v>3296</v>
      </c>
      <c r="AI112" s="58"/>
      <c r="AJ112" s="58"/>
      <c r="AK112" s="58"/>
      <c r="AL112" s="58"/>
      <c r="AM112" s="58"/>
      <c r="AN112" s="58" t="s">
        <v>1809</v>
      </c>
      <c r="AO112" s="60" t="s">
        <v>2107</v>
      </c>
      <c r="AP112" s="60" t="s">
        <v>2108</v>
      </c>
      <c r="AQ112" s="58" t="s">
        <v>3729</v>
      </c>
      <c r="AR112" s="58" t="s">
        <v>288</v>
      </c>
      <c r="AS112" s="58" t="s">
        <v>3321</v>
      </c>
      <c r="AT112" s="58" t="s">
        <v>3640</v>
      </c>
      <c r="AU112" s="58" t="s">
        <v>3325</v>
      </c>
      <c r="AV112" s="58" t="s">
        <v>3317</v>
      </c>
      <c r="AW112" s="58"/>
      <c r="AX112" s="58"/>
      <c r="AY112" s="58"/>
      <c r="AZ112" s="58" t="s">
        <v>3332</v>
      </c>
      <c r="BA112" s="58"/>
      <c r="BB112" s="58"/>
      <c r="BC112" s="58"/>
      <c r="BD112" s="58" t="s">
        <v>3530</v>
      </c>
      <c r="BE112" s="58"/>
      <c r="BF112" s="58"/>
      <c r="BG112" s="58"/>
      <c r="BH112" s="58"/>
      <c r="BI112" s="58"/>
      <c r="BJ112" s="58"/>
      <c r="BK112" s="58"/>
      <c r="BL112" s="58"/>
      <c r="BM112" s="58"/>
      <c r="BN112" s="58"/>
      <c r="BO112" s="58"/>
      <c r="BP112" s="58"/>
      <c r="BQ112" s="58"/>
      <c r="BR112" s="58" t="s">
        <v>2315</v>
      </c>
      <c r="BS112" s="58"/>
      <c r="BT112" s="58" t="s">
        <v>1809</v>
      </c>
      <c r="BU112" s="58" t="s">
        <v>2107</v>
      </c>
      <c r="BV112" s="58" t="s">
        <v>1809</v>
      </c>
      <c r="BW112" s="58" t="s">
        <v>2107</v>
      </c>
      <c r="BX112" s="58"/>
    </row>
    <row r="113" spans="1:76" ht="15" customHeight="1" x14ac:dyDescent="0.25">
      <c r="A113" s="61" t="str">
        <f t="shared" si="1"/>
        <v>089308015401</v>
      </c>
      <c r="B113" s="58">
        <v>111</v>
      </c>
      <c r="C113" s="58"/>
      <c r="D113" s="58"/>
      <c r="E113" s="58"/>
      <c r="F113" s="58" t="s">
        <v>2121</v>
      </c>
      <c r="G113" s="58" t="s">
        <v>42</v>
      </c>
      <c r="H113" s="58" t="s">
        <v>2116</v>
      </c>
      <c r="I113" s="58" t="s">
        <v>2117</v>
      </c>
      <c r="J113" s="58" t="s">
        <v>2908</v>
      </c>
      <c r="K113" s="58" t="s">
        <v>278</v>
      </c>
      <c r="L113" s="58" t="s">
        <v>2119</v>
      </c>
      <c r="M113" s="58" t="s">
        <v>2118</v>
      </c>
      <c r="N113" s="58" t="s">
        <v>1809</v>
      </c>
      <c r="O113" s="58" t="s">
        <v>3730</v>
      </c>
      <c r="P113" s="58" t="s">
        <v>3295</v>
      </c>
      <c r="Q113" s="58"/>
      <c r="R113" s="58"/>
      <c r="S113" s="58"/>
      <c r="T113" s="58"/>
      <c r="U113" s="58"/>
      <c r="V113" s="58"/>
      <c r="W113" s="58"/>
      <c r="X113" s="59"/>
      <c r="Y113" s="59"/>
      <c r="Z113" s="58"/>
      <c r="AA113" s="58"/>
      <c r="AB113" s="58"/>
      <c r="AC113" s="58"/>
      <c r="AD113" s="58">
        <v>2026</v>
      </c>
      <c r="AE113" s="58"/>
      <c r="AF113" s="58"/>
      <c r="AG113" s="58" t="s">
        <v>3296</v>
      </c>
      <c r="AH113" s="58" t="s">
        <v>3296</v>
      </c>
      <c r="AI113" s="58"/>
      <c r="AJ113" s="58"/>
      <c r="AK113" s="58"/>
      <c r="AL113" s="58"/>
      <c r="AM113" s="58"/>
      <c r="AN113" s="58" t="s">
        <v>1809</v>
      </c>
      <c r="AO113" s="60" t="s">
        <v>1496</v>
      </c>
      <c r="AP113" s="60" t="s">
        <v>1805</v>
      </c>
      <c r="AQ113" s="58" t="s">
        <v>3731</v>
      </c>
      <c r="AR113" s="58" t="s">
        <v>288</v>
      </c>
      <c r="AS113" s="58" t="s">
        <v>3321</v>
      </c>
      <c r="AT113" s="58" t="s">
        <v>3732</v>
      </c>
      <c r="AU113" s="58" t="s">
        <v>3303</v>
      </c>
      <c r="AV113" s="58" t="s">
        <v>3340</v>
      </c>
      <c r="AW113" s="58" t="s">
        <v>3311</v>
      </c>
      <c r="AX113" s="58" t="s">
        <v>3317</v>
      </c>
      <c r="AY113" s="58"/>
      <c r="AZ113" s="58"/>
      <c r="BA113" s="58"/>
      <c r="BB113" s="58"/>
      <c r="BC113" s="58"/>
      <c r="BD113" s="58"/>
      <c r="BE113" s="58"/>
      <c r="BF113" s="58"/>
      <c r="BG113" s="58"/>
      <c r="BH113" s="58"/>
      <c r="BI113" s="58"/>
      <c r="BJ113" s="58"/>
      <c r="BK113" s="58"/>
      <c r="BL113" s="58"/>
      <c r="BM113" s="58"/>
      <c r="BN113" s="58"/>
      <c r="BO113" s="58"/>
      <c r="BP113" s="58"/>
      <c r="BQ113" s="58"/>
      <c r="BR113" s="58" t="s">
        <v>1234</v>
      </c>
      <c r="BS113" s="58"/>
      <c r="BT113" s="58" t="s">
        <v>1809</v>
      </c>
      <c r="BU113" s="58" t="s">
        <v>1496</v>
      </c>
      <c r="BV113" s="58" t="s">
        <v>1809</v>
      </c>
      <c r="BW113" s="58" t="s">
        <v>1496</v>
      </c>
      <c r="BX113" s="58"/>
    </row>
    <row r="114" spans="1:76" ht="15" customHeight="1" x14ac:dyDescent="0.25">
      <c r="A114" s="61" t="str">
        <f t="shared" si="1"/>
        <v>096208012431</v>
      </c>
      <c r="B114" s="58">
        <v>112</v>
      </c>
      <c r="C114" s="58"/>
      <c r="D114" s="58"/>
      <c r="E114" s="58"/>
      <c r="F114" s="58" t="s">
        <v>2134</v>
      </c>
      <c r="G114" s="58" t="s">
        <v>22</v>
      </c>
      <c r="H114" s="58" t="s">
        <v>2129</v>
      </c>
      <c r="I114" s="58" t="s">
        <v>2130</v>
      </c>
      <c r="J114" s="58" t="s">
        <v>2909</v>
      </c>
      <c r="K114" s="58" t="s">
        <v>278</v>
      </c>
      <c r="L114" s="58" t="s">
        <v>2132</v>
      </c>
      <c r="M114" s="58" t="s">
        <v>2131</v>
      </c>
      <c r="N114" s="58" t="s">
        <v>1933</v>
      </c>
      <c r="O114" s="58" t="s">
        <v>3733</v>
      </c>
      <c r="P114" s="58" t="s">
        <v>3295</v>
      </c>
      <c r="Q114" s="58"/>
      <c r="R114" s="58"/>
      <c r="S114" s="58"/>
      <c r="T114" s="58"/>
      <c r="U114" s="58"/>
      <c r="V114" s="58"/>
      <c r="W114" s="58"/>
      <c r="X114" s="59"/>
      <c r="Y114" s="59"/>
      <c r="Z114" s="58"/>
      <c r="AA114" s="58"/>
      <c r="AB114" s="58"/>
      <c r="AC114" s="58"/>
      <c r="AD114" s="58">
        <v>2026</v>
      </c>
      <c r="AE114" s="58"/>
      <c r="AF114" s="58"/>
      <c r="AG114" s="58" t="s">
        <v>3296</v>
      </c>
      <c r="AH114" s="58" t="s">
        <v>3296</v>
      </c>
      <c r="AI114" s="58"/>
      <c r="AJ114" s="58"/>
      <c r="AK114" s="58"/>
      <c r="AL114" s="58"/>
      <c r="AM114" s="58"/>
      <c r="AN114" s="58" t="s">
        <v>1933</v>
      </c>
      <c r="AO114" s="60" t="s">
        <v>1861</v>
      </c>
      <c r="AP114" s="60" t="s">
        <v>3734</v>
      </c>
      <c r="AQ114" s="58" t="s">
        <v>3735</v>
      </c>
      <c r="AR114" s="58" t="s">
        <v>288</v>
      </c>
      <c r="AS114" s="58" t="s">
        <v>3389</v>
      </c>
      <c r="AT114" s="58" t="s">
        <v>3736</v>
      </c>
      <c r="AU114" s="58" t="s">
        <v>3451</v>
      </c>
      <c r="AV114" s="58" t="s">
        <v>3349</v>
      </c>
      <c r="AW114" s="58"/>
      <c r="AX114" s="58"/>
      <c r="AY114" s="58"/>
      <c r="AZ114" s="58" t="s">
        <v>3377</v>
      </c>
      <c r="BA114" s="58"/>
      <c r="BB114" s="58" t="s">
        <v>3300</v>
      </c>
      <c r="BC114" s="58" t="s">
        <v>3304</v>
      </c>
      <c r="BD114" s="58"/>
      <c r="BE114" s="58"/>
      <c r="BF114" s="58"/>
      <c r="BG114" s="58"/>
      <c r="BH114" s="58"/>
      <c r="BI114" s="58"/>
      <c r="BJ114" s="58"/>
      <c r="BK114" s="58"/>
      <c r="BL114" s="58"/>
      <c r="BM114" s="58"/>
      <c r="BN114" s="58"/>
      <c r="BO114" s="58"/>
      <c r="BP114" s="58"/>
      <c r="BQ114" s="58"/>
      <c r="BR114" s="58" t="s">
        <v>3737</v>
      </c>
      <c r="BS114" s="58"/>
      <c r="BT114" s="58" t="s">
        <v>1933</v>
      </c>
      <c r="BU114" s="58" t="s">
        <v>2137</v>
      </c>
      <c r="BV114" s="58" t="s">
        <v>1933</v>
      </c>
      <c r="BW114" s="58" t="s">
        <v>2137</v>
      </c>
      <c r="BX114" s="58"/>
    </row>
    <row r="115" spans="1:76" ht="15" customHeight="1" x14ac:dyDescent="0.25">
      <c r="A115" s="61" t="str">
        <f t="shared" si="1"/>
        <v>082208007608</v>
      </c>
      <c r="B115" s="58">
        <v>113</v>
      </c>
      <c r="C115" s="58"/>
      <c r="D115" s="58"/>
      <c r="E115" s="58"/>
      <c r="F115" s="58" t="s">
        <v>2149</v>
      </c>
      <c r="G115" s="58" t="s">
        <v>88</v>
      </c>
      <c r="H115" s="58" t="s">
        <v>2144</v>
      </c>
      <c r="I115" s="58" t="s">
        <v>2145</v>
      </c>
      <c r="J115" s="58" t="s">
        <v>2909</v>
      </c>
      <c r="K115" s="58" t="s">
        <v>278</v>
      </c>
      <c r="L115" s="58" t="s">
        <v>2147</v>
      </c>
      <c r="M115" s="58" t="s">
        <v>2146</v>
      </c>
      <c r="N115" s="58" t="s">
        <v>1822</v>
      </c>
      <c r="O115" s="58" t="s">
        <v>3738</v>
      </c>
      <c r="P115" s="58" t="s">
        <v>3295</v>
      </c>
      <c r="Q115" s="58"/>
      <c r="R115" s="58"/>
      <c r="S115" s="58"/>
      <c r="T115" s="58"/>
      <c r="U115" s="58"/>
      <c r="V115" s="58"/>
      <c r="W115" s="58"/>
      <c r="X115" s="59"/>
      <c r="Y115" s="59"/>
      <c r="Z115" s="58"/>
      <c r="AA115" s="58"/>
      <c r="AB115" s="58"/>
      <c r="AC115" s="58"/>
      <c r="AD115" s="58">
        <v>2026</v>
      </c>
      <c r="AE115" s="58"/>
      <c r="AF115" s="58"/>
      <c r="AG115" s="58" t="s">
        <v>3296</v>
      </c>
      <c r="AH115" s="58" t="s">
        <v>3296</v>
      </c>
      <c r="AI115" s="58"/>
      <c r="AJ115" s="58"/>
      <c r="AK115" s="58"/>
      <c r="AL115" s="58"/>
      <c r="AM115" s="58"/>
      <c r="AN115" s="58" t="s">
        <v>1822</v>
      </c>
      <c r="AO115" s="60" t="s">
        <v>2150</v>
      </c>
      <c r="AP115" s="60" t="s">
        <v>2151</v>
      </c>
      <c r="AQ115" s="58" t="s">
        <v>3739</v>
      </c>
      <c r="AR115" s="58" t="s">
        <v>288</v>
      </c>
      <c r="AS115" s="58" t="s">
        <v>3298</v>
      </c>
      <c r="AT115" s="58" t="s">
        <v>3740</v>
      </c>
      <c r="AU115" s="58" t="s">
        <v>3323</v>
      </c>
      <c r="AV115" s="58" t="s">
        <v>3368</v>
      </c>
      <c r="AW115" s="58" t="s">
        <v>3332</v>
      </c>
      <c r="AX115" s="58" t="s">
        <v>3317</v>
      </c>
      <c r="AY115" s="58"/>
      <c r="AZ115" s="58"/>
      <c r="BA115" s="58"/>
      <c r="BB115" s="58"/>
      <c r="BC115" s="58"/>
      <c r="BD115" s="58"/>
      <c r="BE115" s="58"/>
      <c r="BF115" s="58"/>
      <c r="BG115" s="58"/>
      <c r="BH115" s="58"/>
      <c r="BI115" s="58"/>
      <c r="BJ115" s="58"/>
      <c r="BK115" s="58"/>
      <c r="BL115" s="58"/>
      <c r="BM115" s="58"/>
      <c r="BN115" s="58"/>
      <c r="BO115" s="58"/>
      <c r="BP115" s="58"/>
      <c r="BQ115" s="58"/>
      <c r="BR115" s="58" t="s">
        <v>2072</v>
      </c>
      <c r="BS115" s="58"/>
      <c r="BT115" s="58" t="s">
        <v>1822</v>
      </c>
      <c r="BU115" s="58" t="s">
        <v>2150</v>
      </c>
      <c r="BV115" s="58" t="s">
        <v>1822</v>
      </c>
      <c r="BW115" s="58" t="s">
        <v>2150</v>
      </c>
      <c r="BX115" s="58"/>
    </row>
    <row r="116" spans="1:76" ht="15" customHeight="1" x14ac:dyDescent="0.25">
      <c r="A116" s="61" t="str">
        <f t="shared" si="1"/>
        <v>093308002669</v>
      </c>
      <c r="B116" s="58">
        <v>114</v>
      </c>
      <c r="C116" s="58"/>
      <c r="D116" s="58"/>
      <c r="E116" s="58"/>
      <c r="F116" s="58" t="s">
        <v>2160</v>
      </c>
      <c r="G116" s="58" t="s">
        <v>30</v>
      </c>
      <c r="H116" s="58" t="s">
        <v>2155</v>
      </c>
      <c r="I116" s="58" t="s">
        <v>2156</v>
      </c>
      <c r="J116" s="58" t="s">
        <v>2908</v>
      </c>
      <c r="K116" s="58" t="s">
        <v>278</v>
      </c>
      <c r="L116" s="58" t="s">
        <v>2158</v>
      </c>
      <c r="M116" s="58" t="s">
        <v>2157</v>
      </c>
      <c r="N116" s="58" t="s">
        <v>1870</v>
      </c>
      <c r="O116" s="58" t="s">
        <v>3741</v>
      </c>
      <c r="P116" s="58" t="s">
        <v>3295</v>
      </c>
      <c r="Q116" s="58"/>
      <c r="R116" s="58"/>
      <c r="S116" s="58"/>
      <c r="T116" s="58"/>
      <c r="U116" s="58"/>
      <c r="V116" s="58"/>
      <c r="W116" s="58"/>
      <c r="X116" s="59"/>
      <c r="Y116" s="59"/>
      <c r="Z116" s="58"/>
      <c r="AA116" s="58"/>
      <c r="AB116" s="58"/>
      <c r="AC116" s="58"/>
      <c r="AD116" s="58">
        <v>2026</v>
      </c>
      <c r="AE116" s="58"/>
      <c r="AF116" s="58"/>
      <c r="AG116" s="58" t="s">
        <v>3296</v>
      </c>
      <c r="AH116" s="58" t="s">
        <v>3296</v>
      </c>
      <c r="AI116" s="58"/>
      <c r="AJ116" s="58"/>
      <c r="AK116" s="58"/>
      <c r="AL116" s="58"/>
      <c r="AM116" s="58"/>
      <c r="AN116" s="58" t="s">
        <v>1870</v>
      </c>
      <c r="AO116" s="60" t="s">
        <v>460</v>
      </c>
      <c r="AP116" s="60" t="s">
        <v>2163</v>
      </c>
      <c r="AQ116" s="58" t="s">
        <v>3742</v>
      </c>
      <c r="AR116" s="58" t="s">
        <v>288</v>
      </c>
      <c r="AS116" s="58" t="s">
        <v>3315</v>
      </c>
      <c r="AT116" s="58" t="s">
        <v>3743</v>
      </c>
      <c r="AU116" s="58" t="s">
        <v>3326</v>
      </c>
      <c r="AV116" s="58" t="s">
        <v>3317</v>
      </c>
      <c r="AW116" s="58"/>
      <c r="AX116" s="58"/>
      <c r="AY116" s="58"/>
      <c r="AZ116" s="58"/>
      <c r="BA116" s="58" t="s">
        <v>3368</v>
      </c>
      <c r="BB116" s="58" t="s">
        <v>3594</v>
      </c>
      <c r="BC116" s="58" t="s">
        <v>3304</v>
      </c>
      <c r="BD116" s="58"/>
      <c r="BE116" s="58"/>
      <c r="BF116" s="58"/>
      <c r="BG116" s="58"/>
      <c r="BH116" s="58"/>
      <c r="BI116" s="58"/>
      <c r="BJ116" s="58"/>
      <c r="BK116" s="58"/>
      <c r="BL116" s="58"/>
      <c r="BM116" s="58"/>
      <c r="BN116" s="58"/>
      <c r="BO116" s="58"/>
      <c r="BP116" s="58"/>
      <c r="BQ116" s="58"/>
      <c r="BR116" s="58" t="s">
        <v>1548</v>
      </c>
      <c r="BS116" s="58"/>
      <c r="BT116" s="58" t="s">
        <v>1870</v>
      </c>
      <c r="BU116" s="58" t="s">
        <v>2161</v>
      </c>
      <c r="BV116" s="58" t="s">
        <v>1870</v>
      </c>
      <c r="BW116" s="58" t="s">
        <v>2161</v>
      </c>
      <c r="BX116" s="58"/>
    </row>
    <row r="117" spans="1:76" ht="15" customHeight="1" x14ac:dyDescent="0.25">
      <c r="A117" s="61" t="str">
        <f t="shared" si="1"/>
        <v>060308009190</v>
      </c>
      <c r="B117" s="58">
        <v>115</v>
      </c>
      <c r="C117" s="58"/>
      <c r="D117" s="58"/>
      <c r="E117" s="58"/>
      <c r="F117" s="58" t="s">
        <v>2173</v>
      </c>
      <c r="G117" s="58" t="s">
        <v>110</v>
      </c>
      <c r="H117" s="58" t="s">
        <v>2168</v>
      </c>
      <c r="I117" s="58" t="s">
        <v>2169</v>
      </c>
      <c r="J117" s="58" t="s">
        <v>2908</v>
      </c>
      <c r="K117" s="58" t="s">
        <v>278</v>
      </c>
      <c r="L117" s="58" t="s">
        <v>2171</v>
      </c>
      <c r="M117" s="58" t="s">
        <v>2170</v>
      </c>
      <c r="N117" s="58" t="s">
        <v>1576</v>
      </c>
      <c r="O117" s="58" t="s">
        <v>3744</v>
      </c>
      <c r="P117" s="58" t="s">
        <v>3295</v>
      </c>
      <c r="Q117" s="58"/>
      <c r="R117" s="58"/>
      <c r="S117" s="58"/>
      <c r="T117" s="58"/>
      <c r="U117" s="58"/>
      <c r="V117" s="58"/>
      <c r="W117" s="58"/>
      <c r="X117" s="59"/>
      <c r="Y117" s="59"/>
      <c r="Z117" s="58"/>
      <c r="AA117" s="58"/>
      <c r="AB117" s="58"/>
      <c r="AC117" s="58"/>
      <c r="AD117" s="58">
        <v>2026</v>
      </c>
      <c r="AE117" s="58"/>
      <c r="AF117" s="58"/>
      <c r="AG117" s="58" t="s">
        <v>3296</v>
      </c>
      <c r="AH117" s="58" t="s">
        <v>3296</v>
      </c>
      <c r="AI117" s="58"/>
      <c r="AJ117" s="58"/>
      <c r="AK117" s="58"/>
      <c r="AL117" s="58"/>
      <c r="AM117" s="58"/>
      <c r="AN117" s="58" t="s">
        <v>1576</v>
      </c>
      <c r="AO117" s="60" t="s">
        <v>2174</v>
      </c>
      <c r="AP117" s="60" t="s">
        <v>2175</v>
      </c>
      <c r="AQ117" s="58" t="s">
        <v>3745</v>
      </c>
      <c r="AR117" s="58" t="s">
        <v>288</v>
      </c>
      <c r="AS117" s="58" t="s">
        <v>3308</v>
      </c>
      <c r="AT117" s="58" t="s">
        <v>3746</v>
      </c>
      <c r="AU117" s="58" t="s">
        <v>3324</v>
      </c>
      <c r="AV117" s="58" t="s">
        <v>3340</v>
      </c>
      <c r="AW117" s="58" t="s">
        <v>3508</v>
      </c>
      <c r="AX117" s="58" t="s">
        <v>3349</v>
      </c>
      <c r="AY117" s="58"/>
      <c r="AZ117" s="58"/>
      <c r="BA117" s="58"/>
      <c r="BB117" s="58"/>
      <c r="BC117" s="58"/>
      <c r="BD117" s="58"/>
      <c r="BE117" s="58"/>
      <c r="BF117" s="58"/>
      <c r="BG117" s="58"/>
      <c r="BH117" s="58"/>
      <c r="BI117" s="58"/>
      <c r="BJ117" s="58"/>
      <c r="BK117" s="58"/>
      <c r="BL117" s="58"/>
      <c r="BM117" s="58"/>
      <c r="BN117" s="58"/>
      <c r="BO117" s="58"/>
      <c r="BP117" s="58"/>
      <c r="BQ117" s="58"/>
      <c r="BR117" s="58" t="s">
        <v>667</v>
      </c>
      <c r="BS117" s="58"/>
      <c r="BT117" s="58" t="s">
        <v>1576</v>
      </c>
      <c r="BU117" s="58" t="s">
        <v>2174</v>
      </c>
      <c r="BV117" s="58" t="s">
        <v>1576</v>
      </c>
      <c r="BW117" s="58" t="s">
        <v>2174</v>
      </c>
      <c r="BX117" s="58"/>
    </row>
    <row r="118" spans="1:76" ht="15" customHeight="1" x14ac:dyDescent="0.25">
      <c r="A118" s="61" t="str">
        <f t="shared" si="1"/>
        <v>075308018302</v>
      </c>
      <c r="B118" s="58">
        <v>116</v>
      </c>
      <c r="C118" s="58"/>
      <c r="D118" s="58"/>
      <c r="E118" s="58"/>
      <c r="F118" s="58" t="s">
        <v>2185</v>
      </c>
      <c r="G118" s="58" t="s">
        <v>101</v>
      </c>
      <c r="H118" s="58" t="s">
        <v>2181</v>
      </c>
      <c r="I118" s="58" t="s">
        <v>1527</v>
      </c>
      <c r="J118" s="58" t="s">
        <v>2908</v>
      </c>
      <c r="K118" s="58" t="s">
        <v>278</v>
      </c>
      <c r="L118" s="58" t="s">
        <v>2183</v>
      </c>
      <c r="M118" s="58" t="s">
        <v>2182</v>
      </c>
      <c r="N118" s="58" t="s">
        <v>1798</v>
      </c>
      <c r="O118" s="58" t="s">
        <v>3747</v>
      </c>
      <c r="P118" s="58" t="s">
        <v>3295</v>
      </c>
      <c r="Q118" s="58"/>
      <c r="R118" s="58"/>
      <c r="S118" s="58"/>
      <c r="T118" s="58"/>
      <c r="U118" s="58"/>
      <c r="V118" s="58"/>
      <c r="W118" s="58"/>
      <c r="X118" s="59"/>
      <c r="Y118" s="59"/>
      <c r="Z118" s="58"/>
      <c r="AA118" s="58"/>
      <c r="AB118" s="58"/>
      <c r="AC118" s="58"/>
      <c r="AD118" s="58">
        <v>2026</v>
      </c>
      <c r="AE118" s="58"/>
      <c r="AF118" s="58"/>
      <c r="AG118" s="58" t="s">
        <v>3313</v>
      </c>
      <c r="AH118" s="58" t="s">
        <v>3296</v>
      </c>
      <c r="AI118" s="58"/>
      <c r="AJ118" s="58"/>
      <c r="AK118" s="58"/>
      <c r="AL118" s="58"/>
      <c r="AM118" s="58"/>
      <c r="AN118" s="58" t="s">
        <v>1798</v>
      </c>
      <c r="AO118" s="60" t="s">
        <v>2285</v>
      </c>
      <c r="AP118" s="60" t="s">
        <v>3748</v>
      </c>
      <c r="AQ118" s="58" t="s">
        <v>3749</v>
      </c>
      <c r="AR118" s="58" t="s">
        <v>288</v>
      </c>
      <c r="AS118" s="58" t="s">
        <v>3432</v>
      </c>
      <c r="AT118" s="58" t="s">
        <v>3750</v>
      </c>
      <c r="AU118" s="58" t="s">
        <v>3376</v>
      </c>
      <c r="AV118" s="58" t="s">
        <v>3368</v>
      </c>
      <c r="AW118" s="58" t="s">
        <v>3516</v>
      </c>
      <c r="AX118" s="58"/>
      <c r="AY118" s="58"/>
      <c r="AZ118" s="58" t="s">
        <v>3508</v>
      </c>
      <c r="BA118" s="58"/>
      <c r="BB118" s="58"/>
      <c r="BC118" s="58"/>
      <c r="BD118" s="58"/>
      <c r="BE118" s="58"/>
      <c r="BF118" s="58"/>
      <c r="BG118" s="58"/>
      <c r="BH118" s="58"/>
      <c r="BI118" s="58"/>
      <c r="BJ118" s="58"/>
      <c r="BK118" s="58"/>
      <c r="BL118" s="58"/>
      <c r="BM118" s="58"/>
      <c r="BN118" s="58"/>
      <c r="BO118" s="58"/>
      <c r="BP118" s="58"/>
      <c r="BQ118" s="58"/>
      <c r="BR118" s="58" t="s">
        <v>3751</v>
      </c>
      <c r="BS118" s="58"/>
      <c r="BT118" s="58" t="s">
        <v>1798</v>
      </c>
      <c r="BU118" s="58" t="s">
        <v>2189</v>
      </c>
      <c r="BV118" s="58" t="s">
        <v>1798</v>
      </c>
      <c r="BW118" s="58" t="s">
        <v>2189</v>
      </c>
      <c r="BX118" s="58"/>
    </row>
    <row r="119" spans="1:76" ht="15" customHeight="1" x14ac:dyDescent="0.25">
      <c r="A119" s="61" t="str">
        <f t="shared" si="1"/>
        <v>091208017231</v>
      </c>
      <c r="B119" s="58">
        <v>117</v>
      </c>
      <c r="C119" s="58"/>
      <c r="D119" s="58"/>
      <c r="E119" s="58"/>
      <c r="F119" s="58" t="s">
        <v>3752</v>
      </c>
      <c r="G119" s="58" t="s">
        <v>2201</v>
      </c>
      <c r="H119" s="58" t="s">
        <v>2197</v>
      </c>
      <c r="I119" s="58" t="s">
        <v>2198</v>
      </c>
      <c r="J119" s="58" t="s">
        <v>2909</v>
      </c>
      <c r="K119" s="58" t="s">
        <v>278</v>
      </c>
      <c r="L119" s="58" t="s">
        <v>3753</v>
      </c>
      <c r="M119" s="58" t="s">
        <v>2199</v>
      </c>
      <c r="N119" s="58" t="s">
        <v>1809</v>
      </c>
      <c r="O119" s="58" t="s">
        <v>3754</v>
      </c>
      <c r="P119" s="58" t="s">
        <v>3295</v>
      </c>
      <c r="Q119" s="58"/>
      <c r="R119" s="58"/>
      <c r="S119" s="58"/>
      <c r="T119" s="58"/>
      <c r="U119" s="58"/>
      <c r="V119" s="58"/>
      <c r="W119" s="58"/>
      <c r="X119" s="59"/>
      <c r="Y119" s="59"/>
      <c r="Z119" s="58"/>
      <c r="AA119" s="58"/>
      <c r="AB119" s="58"/>
      <c r="AC119" s="58"/>
      <c r="AD119" s="58">
        <v>2026</v>
      </c>
      <c r="AE119" s="58"/>
      <c r="AF119" s="58"/>
      <c r="AG119" s="58" t="s">
        <v>3296</v>
      </c>
      <c r="AH119" s="58" t="s">
        <v>3296</v>
      </c>
      <c r="AI119" s="58"/>
      <c r="AJ119" s="58"/>
      <c r="AK119" s="58"/>
      <c r="AL119" s="58"/>
      <c r="AM119" s="58"/>
      <c r="AN119" s="58" t="s">
        <v>799</v>
      </c>
      <c r="AO119" s="60" t="s">
        <v>1231</v>
      </c>
      <c r="AP119" s="60" t="s">
        <v>2203</v>
      </c>
      <c r="AQ119" s="58" t="s">
        <v>3755</v>
      </c>
      <c r="AR119" s="58" t="s">
        <v>288</v>
      </c>
      <c r="AS119" s="58" t="s">
        <v>3321</v>
      </c>
      <c r="AT119" s="58" t="s">
        <v>3756</v>
      </c>
      <c r="AU119" s="58" t="s">
        <v>3311</v>
      </c>
      <c r="AV119" s="58" t="s">
        <v>3338</v>
      </c>
      <c r="AW119" s="58"/>
      <c r="AX119" s="58"/>
      <c r="AY119" s="58"/>
      <c r="AZ119" s="58" t="s">
        <v>3344</v>
      </c>
      <c r="BA119" s="58" t="s">
        <v>3301</v>
      </c>
      <c r="BB119" s="58"/>
      <c r="BC119" s="58"/>
      <c r="BD119" s="58"/>
      <c r="BE119" s="58"/>
      <c r="BF119" s="58"/>
      <c r="BG119" s="58"/>
      <c r="BH119" s="58"/>
      <c r="BI119" s="58"/>
      <c r="BJ119" s="58"/>
      <c r="BK119" s="58"/>
      <c r="BL119" s="58"/>
      <c r="BM119" s="58"/>
      <c r="BN119" s="58"/>
      <c r="BO119" s="58"/>
      <c r="BP119" s="58"/>
      <c r="BQ119" s="58"/>
      <c r="BR119" s="58" t="s">
        <v>730</v>
      </c>
      <c r="BS119" s="58"/>
      <c r="BT119" s="58" t="s">
        <v>799</v>
      </c>
      <c r="BU119" s="58" t="s">
        <v>1231</v>
      </c>
      <c r="BV119" s="58" t="s">
        <v>799</v>
      </c>
      <c r="BW119" s="58" t="s">
        <v>1231</v>
      </c>
      <c r="BX119" s="58"/>
    </row>
    <row r="120" spans="1:76" ht="15" customHeight="1" x14ac:dyDescent="0.25">
      <c r="A120" s="61" t="str">
        <f t="shared" si="1"/>
        <v>049308000153</v>
      </c>
      <c r="B120" s="58">
        <v>118</v>
      </c>
      <c r="C120" s="58"/>
      <c r="D120" s="58"/>
      <c r="E120" s="58"/>
      <c r="F120" s="58" t="s">
        <v>3757</v>
      </c>
      <c r="G120" s="58" t="s">
        <v>2213</v>
      </c>
      <c r="H120" s="58" t="s">
        <v>2209</v>
      </c>
      <c r="I120" s="58" t="s">
        <v>2210</v>
      </c>
      <c r="J120" s="58" t="s">
        <v>2908</v>
      </c>
      <c r="K120" s="58" t="s">
        <v>278</v>
      </c>
      <c r="L120" s="58" t="s">
        <v>2212</v>
      </c>
      <c r="M120" s="58" t="s">
        <v>2211</v>
      </c>
      <c r="N120" s="58" t="s">
        <v>1169</v>
      </c>
      <c r="O120" s="58" t="s">
        <v>3758</v>
      </c>
      <c r="P120" s="58" t="s">
        <v>3295</v>
      </c>
      <c r="Q120" s="58"/>
      <c r="R120" s="58"/>
      <c r="S120" s="58"/>
      <c r="T120" s="58"/>
      <c r="U120" s="58"/>
      <c r="V120" s="58"/>
      <c r="W120" s="58"/>
      <c r="X120" s="59"/>
      <c r="Y120" s="59"/>
      <c r="Z120" s="58"/>
      <c r="AA120" s="58"/>
      <c r="AB120" s="58"/>
      <c r="AC120" s="58"/>
      <c r="AD120" s="58">
        <v>2026</v>
      </c>
      <c r="AE120" s="58"/>
      <c r="AF120" s="58"/>
      <c r="AG120" s="58" t="s">
        <v>3296</v>
      </c>
      <c r="AH120" s="58" t="s">
        <v>3296</v>
      </c>
      <c r="AI120" s="58"/>
      <c r="AJ120" s="58"/>
      <c r="AK120" s="58"/>
      <c r="AL120" s="58"/>
      <c r="AM120" s="58"/>
      <c r="AN120" s="58" t="s">
        <v>1169</v>
      </c>
      <c r="AO120" s="60" t="s">
        <v>1612</v>
      </c>
      <c r="AP120" s="60" t="s">
        <v>2218</v>
      </c>
      <c r="AQ120" s="58" t="s">
        <v>3759</v>
      </c>
      <c r="AR120" s="58" t="s">
        <v>288</v>
      </c>
      <c r="AS120" s="58" t="s">
        <v>3760</v>
      </c>
      <c r="AT120" s="58" t="s">
        <v>3761</v>
      </c>
      <c r="AU120" s="58" t="s">
        <v>3338</v>
      </c>
      <c r="AV120" s="58" t="s">
        <v>3325</v>
      </c>
      <c r="AW120" s="58" t="s">
        <v>3303</v>
      </c>
      <c r="AX120" s="58" t="s">
        <v>3473</v>
      </c>
      <c r="AY120" s="58"/>
      <c r="AZ120" s="58"/>
      <c r="BA120" s="58"/>
      <c r="BB120" s="58"/>
      <c r="BC120" s="58"/>
      <c r="BD120" s="58"/>
      <c r="BE120" s="58"/>
      <c r="BF120" s="58"/>
      <c r="BG120" s="58"/>
      <c r="BH120" s="58"/>
      <c r="BI120" s="58"/>
      <c r="BJ120" s="58"/>
      <c r="BK120" s="58"/>
      <c r="BL120" s="58"/>
      <c r="BM120" s="58"/>
      <c r="BN120" s="58"/>
      <c r="BO120" s="58"/>
      <c r="BP120" s="58"/>
      <c r="BQ120" s="58"/>
      <c r="BR120" s="58" t="s">
        <v>3762</v>
      </c>
      <c r="BS120" s="58"/>
      <c r="BT120" s="58" t="s">
        <v>1169</v>
      </c>
      <c r="BU120" s="58" t="s">
        <v>2216</v>
      </c>
      <c r="BV120" s="58" t="s">
        <v>1169</v>
      </c>
      <c r="BW120" s="58" t="s">
        <v>2216</v>
      </c>
      <c r="BX120" s="58"/>
    </row>
    <row r="121" spans="1:76" ht="15" customHeight="1" x14ac:dyDescent="0.25">
      <c r="A121" s="61" t="str">
        <f t="shared" si="1"/>
        <v>086208001080</v>
      </c>
      <c r="B121" s="58">
        <v>119</v>
      </c>
      <c r="C121" s="58"/>
      <c r="D121" s="58"/>
      <c r="E121" s="58"/>
      <c r="F121" s="58" t="s">
        <v>2226</v>
      </c>
      <c r="G121" s="58" t="s">
        <v>71</v>
      </c>
      <c r="H121" s="58" t="s">
        <v>2222</v>
      </c>
      <c r="I121" s="58" t="s">
        <v>1775</v>
      </c>
      <c r="J121" s="58" t="s">
        <v>2909</v>
      </c>
      <c r="K121" s="58" t="s">
        <v>278</v>
      </c>
      <c r="L121" s="58" t="s">
        <v>2224</v>
      </c>
      <c r="M121" s="58" t="s">
        <v>2223</v>
      </c>
      <c r="N121" s="58" t="s">
        <v>1851</v>
      </c>
      <c r="O121" s="58" t="s">
        <v>3439</v>
      </c>
      <c r="P121" s="58" t="s">
        <v>376</v>
      </c>
      <c r="Q121" s="58"/>
      <c r="R121" s="58"/>
      <c r="S121" s="58"/>
      <c r="T121" s="58"/>
      <c r="U121" s="58"/>
      <c r="V121" s="58"/>
      <c r="W121" s="58"/>
      <c r="X121" s="59"/>
      <c r="Y121" s="59"/>
      <c r="Z121" s="58"/>
      <c r="AA121" s="58"/>
      <c r="AB121" s="58"/>
      <c r="AC121" s="58"/>
      <c r="AD121" s="58">
        <v>2026</v>
      </c>
      <c r="AE121" s="58"/>
      <c r="AF121" s="58"/>
      <c r="AG121" s="58" t="s">
        <v>3296</v>
      </c>
      <c r="AH121" s="58" t="s">
        <v>3296</v>
      </c>
      <c r="AI121" s="58"/>
      <c r="AJ121" s="58"/>
      <c r="AK121" s="58"/>
      <c r="AL121" s="58"/>
      <c r="AM121" s="58"/>
      <c r="AN121" s="58" t="s">
        <v>1851</v>
      </c>
      <c r="AO121" s="60" t="s">
        <v>1572</v>
      </c>
      <c r="AP121" s="60" t="s">
        <v>1573</v>
      </c>
      <c r="AQ121" s="58" t="s">
        <v>3763</v>
      </c>
      <c r="AR121" s="58" t="s">
        <v>288</v>
      </c>
      <c r="AS121" s="58" t="s">
        <v>3330</v>
      </c>
      <c r="AT121" s="58" t="s">
        <v>3441</v>
      </c>
      <c r="AU121" s="58" t="s">
        <v>3344</v>
      </c>
      <c r="AV121" s="58" t="s">
        <v>3311</v>
      </c>
      <c r="AW121" s="58" t="s">
        <v>3324</v>
      </c>
      <c r="AX121" s="58" t="s">
        <v>3324</v>
      </c>
      <c r="AY121" s="58"/>
      <c r="AZ121" s="58"/>
      <c r="BA121" s="58"/>
      <c r="BB121" s="58"/>
      <c r="BC121" s="58"/>
      <c r="BD121" s="58"/>
      <c r="BE121" s="58"/>
      <c r="BF121" s="58"/>
      <c r="BG121" s="58"/>
      <c r="BH121" s="58"/>
      <c r="BI121" s="58"/>
      <c r="BJ121" s="58"/>
      <c r="BK121" s="58"/>
      <c r="BL121" s="58"/>
      <c r="BM121" s="58"/>
      <c r="BN121" s="58"/>
      <c r="BO121" s="58"/>
      <c r="BP121" s="58"/>
      <c r="BQ121" s="58"/>
      <c r="BR121" s="58" t="s">
        <v>544</v>
      </c>
      <c r="BS121" s="58"/>
      <c r="BT121" s="58" t="s">
        <v>1851</v>
      </c>
      <c r="BU121" s="58" t="s">
        <v>1572</v>
      </c>
      <c r="BV121" s="58" t="s">
        <v>1851</v>
      </c>
      <c r="BW121" s="58" t="s">
        <v>1572</v>
      </c>
      <c r="BX121" s="58"/>
    </row>
    <row r="122" spans="1:76" ht="15" customHeight="1" x14ac:dyDescent="0.25">
      <c r="A122" s="61" t="str">
        <f t="shared" si="1"/>
        <v>083308002228</v>
      </c>
      <c r="B122" s="58">
        <v>120</v>
      </c>
      <c r="C122" s="58"/>
      <c r="D122" s="58"/>
      <c r="E122" s="58"/>
      <c r="F122" s="58" t="s">
        <v>2235</v>
      </c>
      <c r="G122" s="58" t="s">
        <v>2233</v>
      </c>
      <c r="H122" s="58" t="s">
        <v>2230</v>
      </c>
      <c r="I122" s="58" t="s">
        <v>2178</v>
      </c>
      <c r="J122" s="58" t="s">
        <v>2908</v>
      </c>
      <c r="K122" s="58" t="s">
        <v>278</v>
      </c>
      <c r="L122" s="58" t="s">
        <v>2232</v>
      </c>
      <c r="M122" s="58" t="s">
        <v>2231</v>
      </c>
      <c r="N122" s="58" t="s">
        <v>1851</v>
      </c>
      <c r="O122" s="58" t="s">
        <v>3764</v>
      </c>
      <c r="P122" s="58" t="s">
        <v>3295</v>
      </c>
      <c r="Q122" s="58"/>
      <c r="R122" s="58"/>
      <c r="S122" s="58"/>
      <c r="T122" s="58"/>
      <c r="U122" s="58"/>
      <c r="V122" s="58"/>
      <c r="W122" s="58"/>
      <c r="X122" s="59"/>
      <c r="Y122" s="59"/>
      <c r="Z122" s="58"/>
      <c r="AA122" s="58"/>
      <c r="AB122" s="58"/>
      <c r="AC122" s="58"/>
      <c r="AD122" s="58">
        <v>2026</v>
      </c>
      <c r="AE122" s="58"/>
      <c r="AF122" s="58"/>
      <c r="AG122" s="58" t="s">
        <v>3296</v>
      </c>
      <c r="AH122" s="58" t="s">
        <v>3296</v>
      </c>
      <c r="AI122" s="58"/>
      <c r="AJ122" s="58"/>
      <c r="AK122" s="58"/>
      <c r="AL122" s="58"/>
      <c r="AM122" s="58"/>
      <c r="AN122" s="58" t="s">
        <v>1851</v>
      </c>
      <c r="AO122" s="60" t="s">
        <v>1699</v>
      </c>
      <c r="AP122" s="60" t="s">
        <v>2238</v>
      </c>
      <c r="AQ122" s="58" t="s">
        <v>3765</v>
      </c>
      <c r="AR122" s="58" t="s">
        <v>288</v>
      </c>
      <c r="AS122" s="58" t="s">
        <v>3330</v>
      </c>
      <c r="AT122" s="58" t="s">
        <v>3766</v>
      </c>
      <c r="AU122" s="58" t="s">
        <v>3311</v>
      </c>
      <c r="AV122" s="58" t="s">
        <v>3767</v>
      </c>
      <c r="AW122" s="58" t="s">
        <v>3323</v>
      </c>
      <c r="AX122" s="58" t="s">
        <v>3303</v>
      </c>
      <c r="AY122" s="58"/>
      <c r="AZ122" s="58"/>
      <c r="BA122" s="58"/>
      <c r="BB122" s="58"/>
      <c r="BC122" s="58"/>
      <c r="BD122" s="58"/>
      <c r="BE122" s="58"/>
      <c r="BF122" s="58"/>
      <c r="BG122" s="58"/>
      <c r="BH122" s="58"/>
      <c r="BI122" s="58"/>
      <c r="BJ122" s="58"/>
      <c r="BK122" s="58"/>
      <c r="BL122" s="58"/>
      <c r="BM122" s="58"/>
      <c r="BN122" s="58"/>
      <c r="BO122" s="58"/>
      <c r="BP122" s="58"/>
      <c r="BQ122" s="58"/>
      <c r="BR122" s="58" t="s">
        <v>3396</v>
      </c>
      <c r="BS122" s="58"/>
      <c r="BT122" s="58" t="s">
        <v>1851</v>
      </c>
      <c r="BU122" s="58" t="s">
        <v>2236</v>
      </c>
      <c r="BV122" s="58" t="s">
        <v>1851</v>
      </c>
      <c r="BW122" s="58" t="s">
        <v>2236</v>
      </c>
      <c r="BX122" s="58"/>
    </row>
    <row r="123" spans="1:76" ht="15" customHeight="1" x14ac:dyDescent="0.25">
      <c r="A123" s="61" t="str">
        <f t="shared" si="1"/>
        <v>070308001111</v>
      </c>
      <c r="B123" s="58">
        <v>121</v>
      </c>
      <c r="C123" s="58"/>
      <c r="D123" s="58"/>
      <c r="E123" s="58"/>
      <c r="F123" s="58" t="s">
        <v>2247</v>
      </c>
      <c r="G123" s="58" t="s">
        <v>2245</v>
      </c>
      <c r="H123" s="58" t="s">
        <v>3768</v>
      </c>
      <c r="I123" s="58" t="s">
        <v>493</v>
      </c>
      <c r="J123" s="58" t="s">
        <v>2908</v>
      </c>
      <c r="K123" s="58" t="s">
        <v>278</v>
      </c>
      <c r="L123" s="58" t="s">
        <v>2244</v>
      </c>
      <c r="M123" s="58" t="s">
        <v>2243</v>
      </c>
      <c r="N123" s="58" t="s">
        <v>1798</v>
      </c>
      <c r="O123" s="58" t="s">
        <v>3769</v>
      </c>
      <c r="P123" s="58" t="s">
        <v>3295</v>
      </c>
      <c r="Q123" s="58"/>
      <c r="R123" s="58"/>
      <c r="S123" s="58"/>
      <c r="T123" s="58"/>
      <c r="U123" s="58"/>
      <c r="V123" s="58"/>
      <c r="W123" s="58"/>
      <c r="X123" s="59"/>
      <c r="Y123" s="59"/>
      <c r="Z123" s="58"/>
      <c r="AA123" s="58"/>
      <c r="AB123" s="58"/>
      <c r="AC123" s="58"/>
      <c r="AD123" s="58">
        <v>2026</v>
      </c>
      <c r="AE123" s="58"/>
      <c r="AF123" s="58"/>
      <c r="AG123" s="58" t="s">
        <v>3313</v>
      </c>
      <c r="AH123" s="58" t="s">
        <v>3296</v>
      </c>
      <c r="AI123" s="58"/>
      <c r="AJ123" s="58"/>
      <c r="AK123" s="58"/>
      <c r="AL123" s="58"/>
      <c r="AM123" s="58"/>
      <c r="AN123" s="58" t="s">
        <v>1798</v>
      </c>
      <c r="AO123" s="60" t="s">
        <v>521</v>
      </c>
      <c r="AP123" s="60" t="s">
        <v>2248</v>
      </c>
      <c r="AQ123" s="58" t="s">
        <v>3770</v>
      </c>
      <c r="AR123" s="58" t="s">
        <v>288</v>
      </c>
      <c r="AS123" s="58" t="s">
        <v>3432</v>
      </c>
      <c r="AT123" s="58" t="s">
        <v>3771</v>
      </c>
      <c r="AU123" s="58" t="s">
        <v>3311</v>
      </c>
      <c r="AV123" s="58" t="s">
        <v>3300</v>
      </c>
      <c r="AW123" s="58" t="s">
        <v>3428</v>
      </c>
      <c r="AX123" s="58"/>
      <c r="AY123" s="58"/>
      <c r="AZ123" s="58"/>
      <c r="BA123" s="58"/>
      <c r="BB123" s="58" t="s">
        <v>3428</v>
      </c>
      <c r="BC123" s="58" t="s">
        <v>3304</v>
      </c>
      <c r="BD123" s="58"/>
      <c r="BE123" s="58"/>
      <c r="BF123" s="58"/>
      <c r="BG123" s="58"/>
      <c r="BH123" s="58"/>
      <c r="BI123" s="58"/>
      <c r="BJ123" s="58"/>
      <c r="BK123" s="58"/>
      <c r="BL123" s="58"/>
      <c r="BM123" s="58"/>
      <c r="BN123" s="58"/>
      <c r="BO123" s="58"/>
      <c r="BP123" s="58"/>
      <c r="BQ123" s="58"/>
      <c r="BR123" s="58" t="s">
        <v>1084</v>
      </c>
      <c r="BS123" s="58"/>
      <c r="BT123" s="58" t="s">
        <v>1798</v>
      </c>
      <c r="BU123" s="58" t="s">
        <v>521</v>
      </c>
      <c r="BV123" s="58" t="s">
        <v>1798</v>
      </c>
      <c r="BW123" s="58" t="s">
        <v>521</v>
      </c>
      <c r="BX123" s="58"/>
    </row>
    <row r="124" spans="1:76" ht="15" customHeight="1" x14ac:dyDescent="0.25">
      <c r="A124" s="61" t="str">
        <f t="shared" si="1"/>
        <v>095308002234</v>
      </c>
      <c r="B124" s="58">
        <v>122</v>
      </c>
      <c r="C124" s="58"/>
      <c r="D124" s="58"/>
      <c r="E124" s="58"/>
      <c r="F124" s="58" t="s">
        <v>3772</v>
      </c>
      <c r="G124" s="58" t="s">
        <v>2257</v>
      </c>
      <c r="H124" s="58" t="s">
        <v>2254</v>
      </c>
      <c r="I124" s="58" t="s">
        <v>2251</v>
      </c>
      <c r="J124" s="58" t="s">
        <v>2908</v>
      </c>
      <c r="K124" s="58" t="s">
        <v>278</v>
      </c>
      <c r="L124" s="58" t="s">
        <v>2256</v>
      </c>
      <c r="M124" s="58" t="s">
        <v>2255</v>
      </c>
      <c r="N124" s="58" t="s">
        <v>1933</v>
      </c>
      <c r="O124" s="58" t="s">
        <v>3773</v>
      </c>
      <c r="P124" s="58" t="s">
        <v>278</v>
      </c>
      <c r="Q124" s="58"/>
      <c r="R124" s="58"/>
      <c r="S124" s="58"/>
      <c r="T124" s="58"/>
      <c r="U124" s="58"/>
      <c r="V124" s="58"/>
      <c r="W124" s="58"/>
      <c r="X124" s="59"/>
      <c r="Y124" s="59"/>
      <c r="Z124" s="58"/>
      <c r="AA124" s="58"/>
      <c r="AB124" s="58"/>
      <c r="AC124" s="58"/>
      <c r="AD124" s="58">
        <v>2026</v>
      </c>
      <c r="AE124" s="58"/>
      <c r="AF124" s="58"/>
      <c r="AG124" s="58" t="s">
        <v>3313</v>
      </c>
      <c r="AH124" s="58" t="s">
        <v>3296</v>
      </c>
      <c r="AI124" s="58"/>
      <c r="AJ124" s="58"/>
      <c r="AK124" s="58"/>
      <c r="AL124" s="58"/>
      <c r="AM124" s="58"/>
      <c r="AN124" s="58" t="s">
        <v>1933</v>
      </c>
      <c r="AO124" s="60" t="s">
        <v>2260</v>
      </c>
      <c r="AP124" s="60" t="s">
        <v>2261</v>
      </c>
      <c r="AQ124" s="58" t="s">
        <v>3774</v>
      </c>
      <c r="AR124" s="58" t="s">
        <v>288</v>
      </c>
      <c r="AS124" s="58" t="s">
        <v>3389</v>
      </c>
      <c r="AT124" s="58" t="s">
        <v>3775</v>
      </c>
      <c r="AU124" s="58" t="s">
        <v>3428</v>
      </c>
      <c r="AV124" s="58" t="s">
        <v>3301</v>
      </c>
      <c r="AW124" s="58"/>
      <c r="AX124" s="58"/>
      <c r="AY124" s="58"/>
      <c r="AZ124" s="58" t="s">
        <v>3776</v>
      </c>
      <c r="BA124" s="58" t="s">
        <v>3323</v>
      </c>
      <c r="BB124" s="58"/>
      <c r="BC124" s="58"/>
      <c r="BD124" s="58"/>
      <c r="BE124" s="58"/>
      <c r="BF124" s="58"/>
      <c r="BG124" s="58"/>
      <c r="BH124" s="58"/>
      <c r="BI124" s="58"/>
      <c r="BJ124" s="58"/>
      <c r="BK124" s="58"/>
      <c r="BL124" s="58"/>
      <c r="BM124" s="58"/>
      <c r="BN124" s="58"/>
      <c r="BO124" s="58"/>
      <c r="BP124" s="58"/>
      <c r="BQ124" s="58"/>
      <c r="BR124" s="58" t="s">
        <v>3577</v>
      </c>
      <c r="BS124" s="58"/>
      <c r="BT124" s="58" t="s">
        <v>1933</v>
      </c>
      <c r="BU124" s="58" t="s">
        <v>2260</v>
      </c>
      <c r="BV124" s="58" t="s">
        <v>1933</v>
      </c>
      <c r="BW124" s="58" t="s">
        <v>2260</v>
      </c>
      <c r="BX124" s="58"/>
    </row>
    <row r="125" spans="1:76" ht="15" customHeight="1" x14ac:dyDescent="0.25">
      <c r="A125" s="61" t="str">
        <f t="shared" si="1"/>
        <v>096207010549</v>
      </c>
      <c r="B125" s="58">
        <v>123</v>
      </c>
      <c r="C125" s="58"/>
      <c r="D125" s="58"/>
      <c r="E125" s="58"/>
      <c r="F125" s="58" t="s">
        <v>3777</v>
      </c>
      <c r="G125" s="58" t="s">
        <v>2271</v>
      </c>
      <c r="H125" s="58" t="s">
        <v>2267</v>
      </c>
      <c r="I125" s="58" t="s">
        <v>2268</v>
      </c>
      <c r="J125" s="58" t="s">
        <v>2909</v>
      </c>
      <c r="K125" s="58" t="s">
        <v>278</v>
      </c>
      <c r="L125" s="58" t="s">
        <v>2270</v>
      </c>
      <c r="M125" s="58" t="s">
        <v>2269</v>
      </c>
      <c r="N125" s="58" t="s">
        <v>1933</v>
      </c>
      <c r="O125" s="58" t="s">
        <v>3778</v>
      </c>
      <c r="P125" s="58" t="s">
        <v>278</v>
      </c>
      <c r="Q125" s="58"/>
      <c r="R125" s="58"/>
      <c r="S125" s="58"/>
      <c r="T125" s="58"/>
      <c r="U125" s="58"/>
      <c r="V125" s="58"/>
      <c r="W125" s="58"/>
      <c r="X125" s="59"/>
      <c r="Y125" s="59"/>
      <c r="Z125" s="58"/>
      <c r="AA125" s="58"/>
      <c r="AB125" s="58"/>
      <c r="AC125" s="58"/>
      <c r="AD125" s="58">
        <v>2025</v>
      </c>
      <c r="AE125" s="58"/>
      <c r="AF125" s="58"/>
      <c r="AG125" s="58" t="s">
        <v>3296</v>
      </c>
      <c r="AH125" s="58" t="s">
        <v>3296</v>
      </c>
      <c r="AI125" s="58"/>
      <c r="AJ125" s="58"/>
      <c r="AK125" s="58"/>
      <c r="AL125" s="58"/>
      <c r="AM125" s="58"/>
      <c r="AN125" s="58" t="s">
        <v>1933</v>
      </c>
      <c r="AO125" s="60" t="s">
        <v>2274</v>
      </c>
      <c r="AP125" s="60" t="s">
        <v>2275</v>
      </c>
      <c r="AQ125" s="58" t="s">
        <v>3779</v>
      </c>
      <c r="AR125" s="58" t="s">
        <v>288</v>
      </c>
      <c r="AS125" s="58" t="s">
        <v>3389</v>
      </c>
      <c r="AT125" s="58" t="s">
        <v>3780</v>
      </c>
      <c r="AU125" s="58" t="s">
        <v>3325</v>
      </c>
      <c r="AV125" s="58"/>
      <c r="AW125" s="58"/>
      <c r="AX125" s="58" t="s">
        <v>3368</v>
      </c>
      <c r="AY125" s="58" t="s">
        <v>3508</v>
      </c>
      <c r="AZ125" s="58"/>
      <c r="BA125" s="58"/>
      <c r="BB125" s="58"/>
      <c r="BC125" s="58"/>
      <c r="BD125" s="58"/>
      <c r="BE125" s="58"/>
      <c r="BF125" s="58"/>
      <c r="BG125" s="58"/>
      <c r="BH125" s="58"/>
      <c r="BI125" s="58"/>
      <c r="BJ125" s="58"/>
      <c r="BK125" s="58"/>
      <c r="BL125" s="58"/>
      <c r="BM125" s="58"/>
      <c r="BN125" s="58"/>
      <c r="BO125" s="58"/>
      <c r="BP125" s="58"/>
      <c r="BQ125" s="58"/>
      <c r="BR125" s="58"/>
      <c r="BS125" s="58"/>
      <c r="BT125" s="58" t="s">
        <v>1933</v>
      </c>
      <c r="BU125" s="58" t="s">
        <v>2274</v>
      </c>
      <c r="BV125" s="58" t="s">
        <v>1933</v>
      </c>
      <c r="BW125" s="58" t="s">
        <v>2274</v>
      </c>
      <c r="BX125" s="58"/>
    </row>
    <row r="126" spans="1:76" ht="15" customHeight="1" x14ac:dyDescent="0.25">
      <c r="A126" s="61" t="str">
        <f t="shared" si="1"/>
        <v>072208006775</v>
      </c>
      <c r="B126" s="58">
        <v>124</v>
      </c>
      <c r="C126" s="58"/>
      <c r="D126" s="58"/>
      <c r="E126" s="58"/>
      <c r="F126" s="58" t="s">
        <v>2284</v>
      </c>
      <c r="G126" s="58" t="s">
        <v>2282</v>
      </c>
      <c r="H126" s="58" t="s">
        <v>2279</v>
      </c>
      <c r="I126" s="58" t="s">
        <v>1644</v>
      </c>
      <c r="J126" s="58" t="s">
        <v>2909</v>
      </c>
      <c r="K126" s="58" t="s">
        <v>278</v>
      </c>
      <c r="L126" s="58" t="s">
        <v>3781</v>
      </c>
      <c r="M126" s="58" t="s">
        <v>2280</v>
      </c>
      <c r="N126" s="58" t="s">
        <v>799</v>
      </c>
      <c r="O126" s="58" t="s">
        <v>3782</v>
      </c>
      <c r="P126" s="58" t="s">
        <v>3295</v>
      </c>
      <c r="Q126" s="58"/>
      <c r="R126" s="58"/>
      <c r="S126" s="58"/>
      <c r="T126" s="58"/>
      <c r="U126" s="58"/>
      <c r="V126" s="58"/>
      <c r="W126" s="58"/>
      <c r="X126" s="59"/>
      <c r="Y126" s="59"/>
      <c r="Z126" s="58"/>
      <c r="AA126" s="58"/>
      <c r="AB126" s="58"/>
      <c r="AC126" s="58"/>
      <c r="AD126" s="58">
        <v>2026</v>
      </c>
      <c r="AE126" s="58"/>
      <c r="AF126" s="58"/>
      <c r="AG126" s="58" t="s">
        <v>3296</v>
      </c>
      <c r="AH126" s="58" t="s">
        <v>3296</v>
      </c>
      <c r="AI126" s="58"/>
      <c r="AJ126" s="58"/>
      <c r="AK126" s="58"/>
      <c r="AL126" s="58"/>
      <c r="AM126" s="58"/>
      <c r="AN126" s="58" t="s">
        <v>799</v>
      </c>
      <c r="AO126" s="60" t="s">
        <v>2285</v>
      </c>
      <c r="AP126" s="60" t="s">
        <v>2286</v>
      </c>
      <c r="AQ126" s="58" t="s">
        <v>3783</v>
      </c>
      <c r="AR126" s="58" t="s">
        <v>288</v>
      </c>
      <c r="AS126" s="58" t="s">
        <v>3371</v>
      </c>
      <c r="AT126" s="58" t="s">
        <v>3784</v>
      </c>
      <c r="AU126" s="58" t="s">
        <v>3361</v>
      </c>
      <c r="AV126" s="58" t="s">
        <v>3326</v>
      </c>
      <c r="AW126" s="58"/>
      <c r="AX126" s="58"/>
      <c r="AY126" s="58"/>
      <c r="AZ126" s="58" t="s">
        <v>3324</v>
      </c>
      <c r="BA126" s="58" t="s">
        <v>3317</v>
      </c>
      <c r="BB126" s="58"/>
      <c r="BC126" s="58"/>
      <c r="BD126" s="58"/>
      <c r="BE126" s="58"/>
      <c r="BF126" s="58"/>
      <c r="BG126" s="58"/>
      <c r="BH126" s="58"/>
      <c r="BI126" s="58"/>
      <c r="BJ126" s="58"/>
      <c r="BK126" s="58"/>
      <c r="BL126" s="58"/>
      <c r="BM126" s="58"/>
      <c r="BN126" s="58"/>
      <c r="BO126" s="58"/>
      <c r="BP126" s="58"/>
      <c r="BQ126" s="58"/>
      <c r="BR126" s="58" t="s">
        <v>1191</v>
      </c>
      <c r="BS126" s="58"/>
      <c r="BT126" s="58" t="s">
        <v>799</v>
      </c>
      <c r="BU126" s="58" t="s">
        <v>2285</v>
      </c>
      <c r="BV126" s="58" t="s">
        <v>799</v>
      </c>
      <c r="BW126" s="58" t="s">
        <v>2285</v>
      </c>
      <c r="BX126" s="58"/>
    </row>
    <row r="127" spans="1:76" ht="15" customHeight="1" x14ac:dyDescent="0.25">
      <c r="A127" s="61" t="str">
        <f t="shared" si="1"/>
        <v>067308001789</v>
      </c>
      <c r="B127" s="58">
        <v>125</v>
      </c>
      <c r="C127" s="58"/>
      <c r="D127" s="58"/>
      <c r="E127" s="58"/>
      <c r="F127" s="58" t="s">
        <v>2295</v>
      </c>
      <c r="G127" s="58" t="s">
        <v>106</v>
      </c>
      <c r="H127" s="58" t="s">
        <v>2291</v>
      </c>
      <c r="I127" s="58" t="s">
        <v>318</v>
      </c>
      <c r="J127" s="58" t="s">
        <v>2908</v>
      </c>
      <c r="K127" s="58" t="s">
        <v>278</v>
      </c>
      <c r="L127" s="58" t="s">
        <v>2293</v>
      </c>
      <c r="M127" s="58" t="s">
        <v>2292</v>
      </c>
      <c r="N127" s="58" t="s">
        <v>1576</v>
      </c>
      <c r="O127" s="58" t="s">
        <v>3785</v>
      </c>
      <c r="P127" s="58" t="s">
        <v>278</v>
      </c>
      <c r="Q127" s="58"/>
      <c r="R127" s="58"/>
      <c r="S127" s="58"/>
      <c r="T127" s="58"/>
      <c r="U127" s="58"/>
      <c r="V127" s="58"/>
      <c r="W127" s="58"/>
      <c r="X127" s="59"/>
      <c r="Y127" s="59"/>
      <c r="Z127" s="58"/>
      <c r="AA127" s="58"/>
      <c r="AB127" s="58"/>
      <c r="AC127" s="58"/>
      <c r="AD127" s="58">
        <v>2026</v>
      </c>
      <c r="AE127" s="58"/>
      <c r="AF127" s="58"/>
      <c r="AG127" s="58" t="s">
        <v>3296</v>
      </c>
      <c r="AH127" s="58" t="s">
        <v>3296</v>
      </c>
      <c r="AI127" s="58"/>
      <c r="AJ127" s="58"/>
      <c r="AK127" s="58"/>
      <c r="AL127" s="58"/>
      <c r="AM127" s="58"/>
      <c r="AN127" s="58" t="s">
        <v>1576</v>
      </c>
      <c r="AO127" s="60" t="s">
        <v>1098</v>
      </c>
      <c r="AP127" s="60" t="s">
        <v>2302</v>
      </c>
      <c r="AQ127" s="58" t="s">
        <v>3786</v>
      </c>
      <c r="AR127" s="58" t="s">
        <v>288</v>
      </c>
      <c r="AS127" s="58" t="s">
        <v>3308</v>
      </c>
      <c r="AT127" s="58" t="s">
        <v>3787</v>
      </c>
      <c r="AU127" s="58" t="s">
        <v>3311</v>
      </c>
      <c r="AV127" s="58" t="s">
        <v>3344</v>
      </c>
      <c r="AW127" s="58"/>
      <c r="AX127" s="58"/>
      <c r="AY127" s="58"/>
      <c r="AZ127" s="58" t="s">
        <v>3788</v>
      </c>
      <c r="BA127" s="58"/>
      <c r="BB127" s="58" t="s">
        <v>3428</v>
      </c>
      <c r="BC127" s="58" t="s">
        <v>3304</v>
      </c>
      <c r="BD127" s="58"/>
      <c r="BE127" s="58"/>
      <c r="BF127" s="58"/>
      <c r="BG127" s="58"/>
      <c r="BH127" s="58"/>
      <c r="BI127" s="58"/>
      <c r="BJ127" s="58"/>
      <c r="BK127" s="58"/>
      <c r="BL127" s="58"/>
      <c r="BM127" s="58"/>
      <c r="BN127" s="58"/>
      <c r="BO127" s="58"/>
      <c r="BP127" s="58"/>
      <c r="BQ127" s="58"/>
      <c r="BR127" s="58" t="s">
        <v>3789</v>
      </c>
      <c r="BS127" s="58"/>
      <c r="BT127" s="58" t="s">
        <v>1576</v>
      </c>
      <c r="BU127" s="58" t="s">
        <v>1098</v>
      </c>
      <c r="BV127" s="58" t="s">
        <v>1576</v>
      </c>
      <c r="BW127" s="58" t="s">
        <v>1098</v>
      </c>
      <c r="BX127" s="58"/>
    </row>
    <row r="128" spans="1:76" ht="15" customHeight="1" x14ac:dyDescent="0.25">
      <c r="A128" s="61" t="str">
        <f t="shared" si="1"/>
        <v>093208002267</v>
      </c>
      <c r="B128" s="58">
        <v>126</v>
      </c>
      <c r="C128" s="58"/>
      <c r="D128" s="58"/>
      <c r="E128" s="58"/>
      <c r="F128" s="58" t="s">
        <v>2313</v>
      </c>
      <c r="G128" s="58" t="s">
        <v>2311</v>
      </c>
      <c r="H128" s="58" t="s">
        <v>2307</v>
      </c>
      <c r="I128" s="58" t="s">
        <v>2308</v>
      </c>
      <c r="J128" s="58" t="s">
        <v>2909</v>
      </c>
      <c r="K128" s="58" t="s">
        <v>278</v>
      </c>
      <c r="L128" s="58" t="s">
        <v>3790</v>
      </c>
      <c r="M128" s="58" t="s">
        <v>2309</v>
      </c>
      <c r="N128" s="58" t="s">
        <v>1870</v>
      </c>
      <c r="O128" s="58" t="s">
        <v>3312</v>
      </c>
      <c r="P128" s="58" t="s">
        <v>3295</v>
      </c>
      <c r="Q128" s="58"/>
      <c r="R128" s="58"/>
      <c r="S128" s="58"/>
      <c r="T128" s="58"/>
      <c r="U128" s="58"/>
      <c r="V128" s="58"/>
      <c r="W128" s="58"/>
      <c r="X128" s="59"/>
      <c r="Y128" s="59"/>
      <c r="Z128" s="58"/>
      <c r="AA128" s="58"/>
      <c r="AB128" s="58"/>
      <c r="AC128" s="58"/>
      <c r="AD128" s="58">
        <v>2026</v>
      </c>
      <c r="AE128" s="58"/>
      <c r="AF128" s="58"/>
      <c r="AG128" s="58" t="s">
        <v>3313</v>
      </c>
      <c r="AH128" s="58" t="s">
        <v>3296</v>
      </c>
      <c r="AI128" s="58"/>
      <c r="AJ128" s="58"/>
      <c r="AK128" s="58"/>
      <c r="AL128" s="58"/>
      <c r="AM128" s="58"/>
      <c r="AN128" s="58" t="s">
        <v>1870</v>
      </c>
      <c r="AO128" s="60" t="s">
        <v>386</v>
      </c>
      <c r="AP128" s="60" t="s">
        <v>387</v>
      </c>
      <c r="AQ128" s="58" t="s">
        <v>3791</v>
      </c>
      <c r="AR128" s="58" t="s">
        <v>288</v>
      </c>
      <c r="AS128" s="58" t="s">
        <v>3315</v>
      </c>
      <c r="AT128" s="58" t="s">
        <v>3316</v>
      </c>
      <c r="AU128" s="58" t="s">
        <v>3323</v>
      </c>
      <c r="AV128" s="58" t="s">
        <v>3333</v>
      </c>
      <c r="AW128" s="58" t="s">
        <v>3352</v>
      </c>
      <c r="AX128" s="58" t="s">
        <v>3303</v>
      </c>
      <c r="AY128" s="58"/>
      <c r="AZ128" s="58"/>
      <c r="BA128" s="58"/>
      <c r="BB128" s="58"/>
      <c r="BC128" s="58"/>
      <c r="BD128" s="58"/>
      <c r="BE128" s="58"/>
      <c r="BF128" s="58"/>
      <c r="BG128" s="58"/>
      <c r="BH128" s="58"/>
      <c r="BI128" s="58"/>
      <c r="BJ128" s="58"/>
      <c r="BK128" s="58"/>
      <c r="BL128" s="58"/>
      <c r="BM128" s="58"/>
      <c r="BN128" s="58"/>
      <c r="BO128" s="58"/>
      <c r="BP128" s="58"/>
      <c r="BQ128" s="58"/>
      <c r="BR128" s="58" t="s">
        <v>3792</v>
      </c>
      <c r="BS128" s="58"/>
      <c r="BT128" s="58" t="s">
        <v>1870</v>
      </c>
      <c r="BU128" s="58" t="s">
        <v>384</v>
      </c>
      <c r="BV128" s="58" t="s">
        <v>1870</v>
      </c>
      <c r="BW128" s="58" t="s">
        <v>384</v>
      </c>
      <c r="BX128" s="58"/>
    </row>
    <row r="129" spans="1:76" ht="15" customHeight="1" x14ac:dyDescent="0.25">
      <c r="A129" s="61" t="str">
        <f t="shared" si="1"/>
        <v>070308000856</v>
      </c>
      <c r="B129" s="58">
        <v>127</v>
      </c>
      <c r="C129" s="58"/>
      <c r="D129" s="58"/>
      <c r="E129" s="58"/>
      <c r="F129" s="58" t="s">
        <v>2931</v>
      </c>
      <c r="G129" s="58" t="s">
        <v>2322</v>
      </c>
      <c r="H129" s="58" t="s">
        <v>2319</v>
      </c>
      <c r="I129" s="58" t="s">
        <v>2320</v>
      </c>
      <c r="J129" s="58" t="s">
        <v>2908</v>
      </c>
      <c r="K129" s="58" t="s">
        <v>278</v>
      </c>
      <c r="L129" s="58" t="s">
        <v>2768</v>
      </c>
      <c r="M129" s="58" t="s">
        <v>2321</v>
      </c>
      <c r="N129" s="58" t="s">
        <v>1798</v>
      </c>
      <c r="O129" s="58" t="s">
        <v>3793</v>
      </c>
      <c r="P129" s="58" t="s">
        <v>376</v>
      </c>
      <c r="Q129" s="58"/>
      <c r="R129" s="58"/>
      <c r="S129" s="58"/>
      <c r="T129" s="58"/>
      <c r="U129" s="58"/>
      <c r="V129" s="58"/>
      <c r="W129" s="58"/>
      <c r="X129" s="59"/>
      <c r="Y129" s="59"/>
      <c r="Z129" s="58"/>
      <c r="AA129" s="58"/>
      <c r="AB129" s="58"/>
      <c r="AC129" s="58"/>
      <c r="AD129" s="58">
        <v>2026</v>
      </c>
      <c r="AE129" s="58"/>
      <c r="AF129" s="58"/>
      <c r="AG129" s="58" t="s">
        <v>3296</v>
      </c>
      <c r="AH129" s="58" t="s">
        <v>3296</v>
      </c>
      <c r="AI129" s="58"/>
      <c r="AJ129" s="58"/>
      <c r="AK129" s="58"/>
      <c r="AL129" s="58"/>
      <c r="AM129" s="58"/>
      <c r="AN129" s="58" t="s">
        <v>1798</v>
      </c>
      <c r="AO129" s="60" t="s">
        <v>2932</v>
      </c>
      <c r="AP129" s="60" t="s">
        <v>2933</v>
      </c>
      <c r="AQ129" s="58" t="s">
        <v>3794</v>
      </c>
      <c r="AR129" s="58" t="s">
        <v>288</v>
      </c>
      <c r="AS129" s="58" t="s">
        <v>3432</v>
      </c>
      <c r="AT129" s="58" t="s">
        <v>3795</v>
      </c>
      <c r="AU129" s="58" t="s">
        <v>3325</v>
      </c>
      <c r="AV129" s="58" t="s">
        <v>3340</v>
      </c>
      <c r="AW129" s="58" t="s">
        <v>3376</v>
      </c>
      <c r="AX129" s="58"/>
      <c r="AY129" s="58"/>
      <c r="AZ129" s="58"/>
      <c r="BA129" s="58"/>
      <c r="BB129" s="58" t="s">
        <v>3395</v>
      </c>
      <c r="BC129" s="58" t="s">
        <v>3304</v>
      </c>
      <c r="BD129" s="58"/>
      <c r="BE129" s="58"/>
      <c r="BF129" s="58"/>
      <c r="BG129" s="58"/>
      <c r="BH129" s="58"/>
      <c r="BI129" s="58"/>
      <c r="BJ129" s="58"/>
      <c r="BK129" s="58"/>
      <c r="BL129" s="58"/>
      <c r="BM129" s="58"/>
      <c r="BN129" s="58"/>
      <c r="BO129" s="58"/>
      <c r="BP129" s="58"/>
      <c r="BQ129" s="58"/>
      <c r="BR129" s="58" t="s">
        <v>3796</v>
      </c>
      <c r="BS129" s="58"/>
      <c r="BT129" s="58" t="s">
        <v>1798</v>
      </c>
      <c r="BU129" s="58" t="s">
        <v>2932</v>
      </c>
      <c r="BV129" s="58" t="s">
        <v>1798</v>
      </c>
      <c r="BW129" s="58" t="s">
        <v>2932</v>
      </c>
      <c r="BX129" s="58"/>
    </row>
    <row r="130" spans="1:76" ht="15" customHeight="1" x14ac:dyDescent="0.25">
      <c r="A130" s="61" t="str">
        <f t="shared" si="1"/>
        <v>086308006592</v>
      </c>
      <c r="B130" s="58">
        <v>128</v>
      </c>
      <c r="C130" s="58"/>
      <c r="D130" s="58"/>
      <c r="E130" s="58"/>
      <c r="F130" s="58" t="s">
        <v>2938</v>
      </c>
      <c r="G130" s="58" t="s">
        <v>2324</v>
      </c>
      <c r="H130" s="58" t="s">
        <v>1378</v>
      </c>
      <c r="I130" s="58" t="s">
        <v>512</v>
      </c>
      <c r="J130" s="58" t="s">
        <v>2908</v>
      </c>
      <c r="K130" s="58" t="s">
        <v>278</v>
      </c>
      <c r="L130" s="58" t="s">
        <v>2936</v>
      </c>
      <c r="M130" s="58" t="s">
        <v>2323</v>
      </c>
      <c r="N130" s="58" t="s">
        <v>1851</v>
      </c>
      <c r="O130" s="58" t="s">
        <v>3412</v>
      </c>
      <c r="P130" s="58" t="s">
        <v>376</v>
      </c>
      <c r="Q130" s="58"/>
      <c r="R130" s="58"/>
      <c r="S130" s="58"/>
      <c r="T130" s="58"/>
      <c r="U130" s="58"/>
      <c r="V130" s="58"/>
      <c r="W130" s="58"/>
      <c r="X130" s="59"/>
      <c r="Y130" s="59"/>
      <c r="Z130" s="58"/>
      <c r="AA130" s="58"/>
      <c r="AB130" s="58"/>
      <c r="AC130" s="58"/>
      <c r="AD130" s="58">
        <v>2026</v>
      </c>
      <c r="AE130" s="58"/>
      <c r="AF130" s="58"/>
      <c r="AG130" s="58" t="s">
        <v>3296</v>
      </c>
      <c r="AH130" s="58" t="s">
        <v>3296</v>
      </c>
      <c r="AI130" s="58"/>
      <c r="AJ130" s="58"/>
      <c r="AK130" s="58"/>
      <c r="AL130" s="58"/>
      <c r="AM130" s="58"/>
      <c r="AN130" s="58" t="s">
        <v>1851</v>
      </c>
      <c r="AO130" s="60" t="s">
        <v>777</v>
      </c>
      <c r="AP130" s="60" t="s">
        <v>778</v>
      </c>
      <c r="AQ130" s="58" t="s">
        <v>3797</v>
      </c>
      <c r="AR130" s="58" t="s">
        <v>288</v>
      </c>
      <c r="AS130" s="58" t="s">
        <v>3330</v>
      </c>
      <c r="AT130" s="58" t="s">
        <v>3414</v>
      </c>
      <c r="AU130" s="58" t="s">
        <v>3349</v>
      </c>
      <c r="AV130" s="58" t="s">
        <v>3300</v>
      </c>
      <c r="AW130" s="58" t="s">
        <v>3301</v>
      </c>
      <c r="AX130" s="58" t="s">
        <v>3349</v>
      </c>
      <c r="AY130" s="58"/>
      <c r="AZ130" s="58"/>
      <c r="BA130" s="58"/>
      <c r="BB130" s="58"/>
      <c r="BC130" s="58"/>
      <c r="BD130" s="58"/>
      <c r="BE130" s="58"/>
      <c r="BF130" s="58"/>
      <c r="BG130" s="58"/>
      <c r="BH130" s="58"/>
      <c r="BI130" s="58"/>
      <c r="BJ130" s="58"/>
      <c r="BK130" s="58"/>
      <c r="BL130" s="58"/>
      <c r="BM130" s="58"/>
      <c r="BN130" s="58"/>
      <c r="BO130" s="58"/>
      <c r="BP130" s="58"/>
      <c r="BQ130" s="58"/>
      <c r="BR130" s="58" t="s">
        <v>370</v>
      </c>
      <c r="BS130" s="58"/>
      <c r="BT130" s="58" t="s">
        <v>1851</v>
      </c>
      <c r="BU130" s="58" t="s">
        <v>777</v>
      </c>
      <c r="BV130" s="58" t="s">
        <v>1851</v>
      </c>
      <c r="BW130" s="58" t="s">
        <v>777</v>
      </c>
      <c r="BX130" s="58"/>
    </row>
    <row r="131" spans="1:76" ht="15" customHeight="1" x14ac:dyDescent="0.25">
      <c r="A131" s="61" t="str">
        <f t="shared" si="1"/>
        <v>091308009386</v>
      </c>
      <c r="B131" s="58">
        <v>129</v>
      </c>
      <c r="C131" s="58"/>
      <c r="D131" s="58"/>
      <c r="E131" s="58"/>
      <c r="F131" s="58" t="s">
        <v>2333</v>
      </c>
      <c r="G131" s="58" t="s">
        <v>2331</v>
      </c>
      <c r="H131" s="58" t="s">
        <v>2327</v>
      </c>
      <c r="I131" s="58" t="s">
        <v>2328</v>
      </c>
      <c r="J131" s="58" t="s">
        <v>2908</v>
      </c>
      <c r="K131" s="58" t="s">
        <v>278</v>
      </c>
      <c r="L131" s="58" t="s">
        <v>2330</v>
      </c>
      <c r="M131" s="58" t="s">
        <v>2329</v>
      </c>
      <c r="N131" s="58" t="s">
        <v>1809</v>
      </c>
      <c r="O131" s="58" t="s">
        <v>3798</v>
      </c>
      <c r="P131" s="58" t="s">
        <v>376</v>
      </c>
      <c r="Q131" s="58"/>
      <c r="R131" s="58"/>
      <c r="S131" s="58"/>
      <c r="T131" s="58"/>
      <c r="U131" s="58"/>
      <c r="V131" s="58"/>
      <c r="W131" s="58"/>
      <c r="X131" s="59"/>
      <c r="Y131" s="59"/>
      <c r="Z131" s="58"/>
      <c r="AA131" s="58"/>
      <c r="AB131" s="58"/>
      <c r="AC131" s="58"/>
      <c r="AD131" s="58">
        <v>2026</v>
      </c>
      <c r="AE131" s="58"/>
      <c r="AF131" s="58"/>
      <c r="AG131" s="58" t="s">
        <v>3296</v>
      </c>
      <c r="AH131" s="58" t="s">
        <v>3296</v>
      </c>
      <c r="AI131" s="58"/>
      <c r="AJ131" s="58"/>
      <c r="AK131" s="58"/>
      <c r="AL131" s="58"/>
      <c r="AM131" s="58"/>
      <c r="AN131" s="58" t="s">
        <v>1809</v>
      </c>
      <c r="AO131" s="60" t="s">
        <v>3724</v>
      </c>
      <c r="AP131" s="60" t="s">
        <v>3799</v>
      </c>
      <c r="AQ131" s="58" t="s">
        <v>3800</v>
      </c>
      <c r="AR131" s="58" t="s">
        <v>288</v>
      </c>
      <c r="AS131" s="58" t="s">
        <v>3321</v>
      </c>
      <c r="AT131" s="58" t="s">
        <v>3801</v>
      </c>
      <c r="AU131" s="58" t="s">
        <v>3300</v>
      </c>
      <c r="AV131" s="58" t="s">
        <v>3340</v>
      </c>
      <c r="AW131" s="58"/>
      <c r="AX131" s="58"/>
      <c r="AY131" s="58"/>
      <c r="AZ131" s="58" t="s">
        <v>3442</v>
      </c>
      <c r="BA131" s="58" t="s">
        <v>3338</v>
      </c>
      <c r="BB131" s="58"/>
      <c r="BC131" s="58"/>
      <c r="BD131" s="58"/>
      <c r="BE131" s="58"/>
      <c r="BF131" s="58"/>
      <c r="BG131" s="58"/>
      <c r="BH131" s="58"/>
      <c r="BI131" s="58"/>
      <c r="BJ131" s="58"/>
      <c r="BK131" s="58"/>
      <c r="BL131" s="58"/>
      <c r="BM131" s="58"/>
      <c r="BN131" s="58"/>
      <c r="BO131" s="58"/>
      <c r="BP131" s="58"/>
      <c r="BQ131" s="58"/>
      <c r="BR131" s="58" t="s">
        <v>711</v>
      </c>
      <c r="BS131" s="58"/>
      <c r="BT131" s="58" t="s">
        <v>1809</v>
      </c>
      <c r="BU131" s="58" t="s">
        <v>3724</v>
      </c>
      <c r="BV131" s="58" t="s">
        <v>1809</v>
      </c>
      <c r="BW131" s="58" t="s">
        <v>3724</v>
      </c>
      <c r="BX131" s="58"/>
    </row>
    <row r="132" spans="1:76" ht="15" customHeight="1" x14ac:dyDescent="0.25">
      <c r="A132" s="61" t="str">
        <f t="shared" ref="A132:A148" si="2">G132</f>
        <v>083308007237</v>
      </c>
      <c r="B132" s="58">
        <v>130</v>
      </c>
      <c r="C132" s="58"/>
      <c r="D132" s="58"/>
      <c r="E132" s="58"/>
      <c r="F132" s="58" t="s">
        <v>2344</v>
      </c>
      <c r="G132" s="58" t="s">
        <v>2342</v>
      </c>
      <c r="H132" s="58" t="s">
        <v>2338</v>
      </c>
      <c r="I132" s="58" t="s">
        <v>2339</v>
      </c>
      <c r="J132" s="58" t="s">
        <v>2908</v>
      </c>
      <c r="K132" s="58" t="s">
        <v>278</v>
      </c>
      <c r="L132" s="58" t="s">
        <v>2341</v>
      </c>
      <c r="M132" s="58" t="s">
        <v>3802</v>
      </c>
      <c r="N132" s="58" t="s">
        <v>1851</v>
      </c>
      <c r="O132" s="58" t="s">
        <v>3803</v>
      </c>
      <c r="P132" s="58" t="s">
        <v>376</v>
      </c>
      <c r="Q132" s="58"/>
      <c r="R132" s="58"/>
      <c r="S132" s="58"/>
      <c r="T132" s="58"/>
      <c r="U132" s="58"/>
      <c r="V132" s="58"/>
      <c r="W132" s="58"/>
      <c r="X132" s="59"/>
      <c r="Y132" s="59"/>
      <c r="Z132" s="58"/>
      <c r="AA132" s="58"/>
      <c r="AB132" s="58"/>
      <c r="AC132" s="58"/>
      <c r="AD132" s="58">
        <v>2026</v>
      </c>
      <c r="AE132" s="58"/>
      <c r="AF132" s="58"/>
      <c r="AG132" s="58" t="s">
        <v>3296</v>
      </c>
      <c r="AH132" s="58" t="s">
        <v>3296</v>
      </c>
      <c r="AI132" s="58"/>
      <c r="AJ132" s="58"/>
      <c r="AK132" s="58"/>
      <c r="AL132" s="58"/>
      <c r="AM132" s="58"/>
      <c r="AN132" s="58" t="s">
        <v>1851</v>
      </c>
      <c r="AO132" s="60" t="s">
        <v>2345</v>
      </c>
      <c r="AP132" s="60" t="s">
        <v>2346</v>
      </c>
      <c r="AQ132" s="58" t="s">
        <v>3804</v>
      </c>
      <c r="AR132" s="58" t="s">
        <v>288</v>
      </c>
      <c r="AS132" s="58" t="s">
        <v>3330</v>
      </c>
      <c r="AT132" s="58" t="s">
        <v>3805</v>
      </c>
      <c r="AU132" s="58" t="s">
        <v>3352</v>
      </c>
      <c r="AV132" s="58" t="s">
        <v>3311</v>
      </c>
      <c r="AW132" s="58"/>
      <c r="AX132" s="58"/>
      <c r="AY132" s="58"/>
      <c r="AZ132" s="58" t="s">
        <v>3806</v>
      </c>
      <c r="BA132" s="58" t="s">
        <v>3339</v>
      </c>
      <c r="BB132" s="58"/>
      <c r="BC132" s="58"/>
      <c r="BD132" s="58"/>
      <c r="BE132" s="58"/>
      <c r="BF132" s="58"/>
      <c r="BG132" s="58"/>
      <c r="BH132" s="58"/>
      <c r="BI132" s="58"/>
      <c r="BJ132" s="58"/>
      <c r="BK132" s="58"/>
      <c r="BL132" s="58"/>
      <c r="BM132" s="58"/>
      <c r="BN132" s="58"/>
      <c r="BO132" s="58"/>
      <c r="BP132" s="58"/>
      <c r="BQ132" s="58"/>
      <c r="BR132" s="58" t="s">
        <v>3762</v>
      </c>
      <c r="BS132" s="58"/>
      <c r="BT132" s="58" t="s">
        <v>1851</v>
      </c>
      <c r="BU132" s="58" t="s">
        <v>2345</v>
      </c>
      <c r="BV132" s="58" t="s">
        <v>1851</v>
      </c>
      <c r="BW132" s="58" t="s">
        <v>2345</v>
      </c>
      <c r="BX132" s="58"/>
    </row>
    <row r="133" spans="1:76" ht="15" customHeight="1" x14ac:dyDescent="0.25">
      <c r="A133" s="61" t="str">
        <f t="shared" si="2"/>
        <v>087308000717</v>
      </c>
      <c r="B133" s="58">
        <v>131</v>
      </c>
      <c r="C133" s="58"/>
      <c r="D133" s="58"/>
      <c r="E133" s="58"/>
      <c r="F133" s="58" t="s">
        <v>2957</v>
      </c>
      <c r="G133" s="58" t="s">
        <v>2955</v>
      </c>
      <c r="H133" s="58" t="s">
        <v>2951</v>
      </c>
      <c r="I133" s="58" t="s">
        <v>2952</v>
      </c>
      <c r="J133" s="58" t="s">
        <v>2908</v>
      </c>
      <c r="K133" s="58" t="s">
        <v>278</v>
      </c>
      <c r="L133" s="58" t="s">
        <v>2954</v>
      </c>
      <c r="M133" s="58" t="s">
        <v>2953</v>
      </c>
      <c r="N133" s="58" t="s">
        <v>1822</v>
      </c>
      <c r="O133" s="58" t="s">
        <v>3807</v>
      </c>
      <c r="P133" s="58" t="s">
        <v>376</v>
      </c>
      <c r="Q133" s="58"/>
      <c r="R133" s="58"/>
      <c r="S133" s="58"/>
      <c r="T133" s="58"/>
      <c r="U133" s="58"/>
      <c r="V133" s="58"/>
      <c r="W133" s="58"/>
      <c r="X133" s="59"/>
      <c r="Y133" s="59"/>
      <c r="Z133" s="58"/>
      <c r="AA133" s="58"/>
      <c r="AB133" s="58"/>
      <c r="AC133" s="58"/>
      <c r="AD133" s="58">
        <v>2026</v>
      </c>
      <c r="AE133" s="58"/>
      <c r="AF133" s="58"/>
      <c r="AG133" s="58" t="s">
        <v>3313</v>
      </c>
      <c r="AH133" s="58" t="s">
        <v>3296</v>
      </c>
      <c r="AI133" s="58"/>
      <c r="AJ133" s="58"/>
      <c r="AK133" s="58"/>
      <c r="AL133" s="58"/>
      <c r="AM133" s="58"/>
      <c r="AN133" s="58" t="s">
        <v>1822</v>
      </c>
      <c r="AO133" s="60" t="s">
        <v>523</v>
      </c>
      <c r="AP133" s="60" t="s">
        <v>524</v>
      </c>
      <c r="AQ133" s="58" t="s">
        <v>3808</v>
      </c>
      <c r="AR133" s="58" t="s">
        <v>288</v>
      </c>
      <c r="AS133" s="58" t="s">
        <v>3298</v>
      </c>
      <c r="AT133" s="58" t="s">
        <v>3809</v>
      </c>
      <c r="AU133" s="58" t="s">
        <v>3325</v>
      </c>
      <c r="AV133" s="58" t="s">
        <v>3344</v>
      </c>
      <c r="AW133" s="58"/>
      <c r="AX133" s="58" t="s">
        <v>3361</v>
      </c>
      <c r="AY133" s="58" t="s">
        <v>3473</v>
      </c>
      <c r="AZ133" s="58"/>
      <c r="BA133" s="58"/>
      <c r="BB133" s="58"/>
      <c r="BC133" s="58"/>
      <c r="BD133" s="58"/>
      <c r="BE133" s="58"/>
      <c r="BF133" s="58"/>
      <c r="BG133" s="58"/>
      <c r="BH133" s="58"/>
      <c r="BI133" s="58"/>
      <c r="BJ133" s="58"/>
      <c r="BK133" s="58"/>
      <c r="BL133" s="58"/>
      <c r="BM133" s="58"/>
      <c r="BN133" s="58"/>
      <c r="BO133" s="58"/>
      <c r="BP133" s="58"/>
      <c r="BQ133" s="58"/>
      <c r="BR133" s="58" t="s">
        <v>3810</v>
      </c>
      <c r="BS133" s="58"/>
      <c r="BT133" s="58" t="s">
        <v>1822</v>
      </c>
      <c r="BU133" s="58" t="s">
        <v>521</v>
      </c>
      <c r="BV133" s="58" t="s">
        <v>1822</v>
      </c>
      <c r="BW133" s="58" t="s">
        <v>521</v>
      </c>
      <c r="BX133" s="58"/>
    </row>
    <row r="134" spans="1:76" ht="15" customHeight="1" x14ac:dyDescent="0.25">
      <c r="A134" s="61" t="str">
        <f t="shared" si="2"/>
        <v>079206039090</v>
      </c>
      <c r="B134" s="58">
        <v>132</v>
      </c>
      <c r="C134" s="58"/>
      <c r="D134" s="58"/>
      <c r="E134" s="58"/>
      <c r="F134" s="58" t="s">
        <v>3811</v>
      </c>
      <c r="G134" s="58" t="s">
        <v>2968</v>
      </c>
      <c r="H134" s="58" t="s">
        <v>2964</v>
      </c>
      <c r="I134" s="58" t="s">
        <v>2965</v>
      </c>
      <c r="J134" s="58" t="s">
        <v>2909</v>
      </c>
      <c r="K134" s="58" t="s">
        <v>278</v>
      </c>
      <c r="L134" s="58" t="s">
        <v>2967</v>
      </c>
      <c r="M134" s="58" t="s">
        <v>2966</v>
      </c>
      <c r="N134" s="58" t="s">
        <v>799</v>
      </c>
      <c r="O134" s="58" t="s">
        <v>3812</v>
      </c>
      <c r="P134" s="58" t="s">
        <v>314</v>
      </c>
      <c r="Q134" s="58"/>
      <c r="R134" s="58"/>
      <c r="S134" s="58"/>
      <c r="T134" s="58"/>
      <c r="U134" s="58"/>
      <c r="V134" s="58"/>
      <c r="W134" s="58"/>
      <c r="X134" s="59"/>
      <c r="Y134" s="59"/>
      <c r="Z134" s="58"/>
      <c r="AA134" s="58"/>
      <c r="AB134" s="58"/>
      <c r="AC134" s="58"/>
      <c r="AD134" s="58">
        <v>2024</v>
      </c>
      <c r="AE134" s="58"/>
      <c r="AF134" s="58"/>
      <c r="AG134" s="58" t="s">
        <v>3313</v>
      </c>
      <c r="AH134" s="58" t="s">
        <v>3296</v>
      </c>
      <c r="AI134" s="58"/>
      <c r="AJ134" s="58"/>
      <c r="AK134" s="58"/>
      <c r="AL134" s="58"/>
      <c r="AM134" s="58"/>
      <c r="AN134" s="58" t="s">
        <v>799</v>
      </c>
      <c r="AO134" s="60" t="s">
        <v>1955</v>
      </c>
      <c r="AP134" s="60" t="s">
        <v>2970</v>
      </c>
      <c r="AQ134" s="58" t="s">
        <v>3813</v>
      </c>
      <c r="AR134" s="58" t="s">
        <v>288</v>
      </c>
      <c r="AS134" s="58" t="s">
        <v>3371</v>
      </c>
      <c r="AT134" s="58" t="s">
        <v>3814</v>
      </c>
      <c r="AU134" s="58"/>
      <c r="AV134" s="58" t="s">
        <v>3325</v>
      </c>
      <c r="AW134" s="58"/>
      <c r="AX134" s="58"/>
      <c r="AY134" s="58"/>
      <c r="AZ134" s="58" t="s">
        <v>3344</v>
      </c>
      <c r="BA134" s="58" t="s">
        <v>3361</v>
      </c>
      <c r="BB134" s="58"/>
      <c r="BC134" s="58"/>
      <c r="BD134" s="58"/>
      <c r="BE134" s="58"/>
      <c r="BF134" s="58"/>
      <c r="BG134" s="58"/>
      <c r="BH134" s="58"/>
      <c r="BI134" s="58"/>
      <c r="BJ134" s="58"/>
      <c r="BK134" s="58"/>
      <c r="BL134" s="58"/>
      <c r="BM134" s="58"/>
      <c r="BN134" s="58"/>
      <c r="BO134" s="58"/>
      <c r="BP134" s="58"/>
      <c r="BQ134" s="58"/>
      <c r="BR134" s="58"/>
      <c r="BS134" s="58"/>
      <c r="BT134" s="58" t="s">
        <v>799</v>
      </c>
      <c r="BU134" s="58" t="s">
        <v>1955</v>
      </c>
      <c r="BV134" s="58" t="s">
        <v>799</v>
      </c>
      <c r="BW134" s="58" t="s">
        <v>1955</v>
      </c>
      <c r="BX134" s="58"/>
    </row>
    <row r="135" spans="1:76" ht="15" customHeight="1" x14ac:dyDescent="0.25">
      <c r="A135" s="61" t="str">
        <f t="shared" si="2"/>
        <v>066206017635</v>
      </c>
      <c r="B135" s="58">
        <v>133</v>
      </c>
      <c r="C135" s="58"/>
      <c r="D135" s="58"/>
      <c r="E135" s="58"/>
      <c r="F135" s="58" t="s">
        <v>2983</v>
      </c>
      <c r="G135" s="58" t="s">
        <v>2981</v>
      </c>
      <c r="H135" s="58" t="s">
        <v>2977</v>
      </c>
      <c r="I135" s="58" t="s">
        <v>2978</v>
      </c>
      <c r="J135" s="58" t="s">
        <v>2909</v>
      </c>
      <c r="K135" s="58" t="s">
        <v>278</v>
      </c>
      <c r="L135" s="58" t="s">
        <v>2980</v>
      </c>
      <c r="M135" s="58" t="s">
        <v>2979</v>
      </c>
      <c r="N135" s="58" t="s">
        <v>1486</v>
      </c>
      <c r="O135" s="58" t="s">
        <v>3815</v>
      </c>
      <c r="P135" s="58" t="s">
        <v>314</v>
      </c>
      <c r="Q135" s="58"/>
      <c r="R135" s="58"/>
      <c r="S135" s="58"/>
      <c r="T135" s="58"/>
      <c r="U135" s="58"/>
      <c r="V135" s="58"/>
      <c r="W135" s="58"/>
      <c r="X135" s="59"/>
      <c r="Y135" s="59"/>
      <c r="Z135" s="58"/>
      <c r="AA135" s="58"/>
      <c r="AB135" s="58"/>
      <c r="AC135" s="58"/>
      <c r="AD135" s="58">
        <v>2024</v>
      </c>
      <c r="AE135" s="58"/>
      <c r="AF135" s="58"/>
      <c r="AG135" s="58" t="s">
        <v>3566</v>
      </c>
      <c r="AH135" s="58" t="s">
        <v>3296</v>
      </c>
      <c r="AI135" s="58"/>
      <c r="AJ135" s="58"/>
      <c r="AK135" s="58"/>
      <c r="AL135" s="58"/>
      <c r="AM135" s="58"/>
      <c r="AN135" s="58" t="s">
        <v>1486</v>
      </c>
      <c r="AO135" s="60" t="s">
        <v>2318</v>
      </c>
      <c r="AP135" s="60" t="s">
        <v>2986</v>
      </c>
      <c r="AQ135" s="58" t="s">
        <v>3816</v>
      </c>
      <c r="AR135" s="58" t="s">
        <v>288</v>
      </c>
      <c r="AS135" s="58" t="s">
        <v>3545</v>
      </c>
      <c r="AT135" s="58" t="s">
        <v>3817</v>
      </c>
      <c r="AU135" s="58" t="s">
        <v>3324</v>
      </c>
      <c r="AV135" s="58" t="s">
        <v>3340</v>
      </c>
      <c r="AW135" s="58" t="s">
        <v>3301</v>
      </c>
      <c r="AX135" s="58"/>
      <c r="AY135" s="58"/>
      <c r="AZ135" s="58"/>
      <c r="BA135" s="58"/>
      <c r="BB135" s="58" t="s">
        <v>3333</v>
      </c>
      <c r="BC135" s="58" t="s">
        <v>3304</v>
      </c>
      <c r="BD135" s="58"/>
      <c r="BE135" s="58"/>
      <c r="BF135" s="58"/>
      <c r="BG135" s="58"/>
      <c r="BH135" s="58"/>
      <c r="BI135" s="58"/>
      <c r="BJ135" s="58"/>
      <c r="BK135" s="58"/>
      <c r="BL135" s="58"/>
      <c r="BM135" s="58"/>
      <c r="BN135" s="58"/>
      <c r="BO135" s="58"/>
      <c r="BP135" s="58"/>
      <c r="BQ135" s="58"/>
      <c r="BR135" s="58"/>
      <c r="BS135" s="58"/>
      <c r="BT135" s="58" t="s">
        <v>1486</v>
      </c>
      <c r="BU135" s="58" t="s">
        <v>2318</v>
      </c>
      <c r="BV135" s="58" t="s">
        <v>1486</v>
      </c>
      <c r="BW135" s="58" t="s">
        <v>2318</v>
      </c>
      <c r="BX135" s="58"/>
    </row>
    <row r="136" spans="1:76" ht="15" customHeight="1" x14ac:dyDescent="0.25">
      <c r="A136" s="61">
        <f t="shared" si="2"/>
        <v>0</v>
      </c>
      <c r="B136" s="58">
        <v>134</v>
      </c>
      <c r="C136" s="58"/>
      <c r="D136" s="58"/>
      <c r="E136" s="58"/>
      <c r="F136" s="58" t="s">
        <v>2995</v>
      </c>
      <c r="G136" s="58"/>
      <c r="H136" s="58"/>
      <c r="I136" s="58"/>
      <c r="J136" s="58" t="s">
        <v>3552</v>
      </c>
      <c r="K136" s="58"/>
      <c r="L136" s="58"/>
      <c r="M136" s="58"/>
      <c r="N136" s="58"/>
      <c r="O136" s="58"/>
      <c r="P136" s="58"/>
      <c r="Q136" s="58"/>
      <c r="R136" s="58"/>
      <c r="S136" s="58"/>
      <c r="T136" s="58"/>
      <c r="U136" s="58"/>
      <c r="V136" s="58"/>
      <c r="W136" s="58"/>
      <c r="X136" s="59"/>
      <c r="Y136" s="59"/>
      <c r="Z136" s="58"/>
      <c r="AA136" s="58"/>
      <c r="AB136" s="58"/>
      <c r="AC136" s="58"/>
      <c r="AD136" s="58"/>
      <c r="AE136" s="58"/>
      <c r="AF136" s="58"/>
      <c r="AG136" s="58"/>
      <c r="AH136" s="58"/>
      <c r="AI136" s="58"/>
      <c r="AJ136" s="58"/>
      <c r="AK136" s="58"/>
      <c r="AL136" s="58"/>
      <c r="AM136" s="58"/>
      <c r="AN136" s="58"/>
      <c r="AO136" s="60"/>
      <c r="AP136" s="60"/>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row>
    <row r="137" spans="1:76" ht="15" customHeight="1" x14ac:dyDescent="0.25">
      <c r="A137" s="61" t="str">
        <f t="shared" si="2"/>
        <v>040208024160</v>
      </c>
      <c r="B137" s="58">
        <v>135</v>
      </c>
      <c r="C137" s="58"/>
      <c r="D137" s="58"/>
      <c r="E137" s="58"/>
      <c r="F137" s="58" t="s">
        <v>3006</v>
      </c>
      <c r="G137" s="58" t="s">
        <v>2919</v>
      </c>
      <c r="H137" s="58" t="s">
        <v>3001</v>
      </c>
      <c r="I137" s="58" t="s">
        <v>3002</v>
      </c>
      <c r="J137" s="58" t="s">
        <v>2909</v>
      </c>
      <c r="K137" s="58" t="s">
        <v>278</v>
      </c>
      <c r="L137" s="58" t="s">
        <v>3004</v>
      </c>
      <c r="M137" s="58" t="s">
        <v>3818</v>
      </c>
      <c r="N137" s="58" t="s">
        <v>1089</v>
      </c>
      <c r="O137" s="58" t="s">
        <v>3819</v>
      </c>
      <c r="P137" s="58" t="s">
        <v>3295</v>
      </c>
      <c r="Q137" s="58"/>
      <c r="R137" s="58"/>
      <c r="S137" s="58"/>
      <c r="T137" s="58"/>
      <c r="U137" s="58"/>
      <c r="V137" s="58"/>
      <c r="W137" s="58"/>
      <c r="X137" s="59"/>
      <c r="Y137" s="59"/>
      <c r="Z137" s="58"/>
      <c r="AA137" s="58"/>
      <c r="AB137" s="58"/>
      <c r="AC137" s="58"/>
      <c r="AD137" s="58">
        <v>2026</v>
      </c>
      <c r="AE137" s="58"/>
      <c r="AF137" s="58"/>
      <c r="AG137" s="58" t="s">
        <v>3296</v>
      </c>
      <c r="AH137" s="58" t="s">
        <v>3296</v>
      </c>
      <c r="AI137" s="58"/>
      <c r="AJ137" s="58"/>
      <c r="AK137" s="58"/>
      <c r="AL137" s="58"/>
      <c r="AM137" s="58"/>
      <c r="AN137" s="58" t="s">
        <v>1089</v>
      </c>
      <c r="AO137" s="60" t="s">
        <v>3008</v>
      </c>
      <c r="AP137" s="60" t="s">
        <v>3009</v>
      </c>
      <c r="AQ137" s="58" t="s">
        <v>3820</v>
      </c>
      <c r="AR137" s="58" t="s">
        <v>288</v>
      </c>
      <c r="AS137" s="58" t="s">
        <v>3821</v>
      </c>
      <c r="AT137" s="58" t="s">
        <v>3822</v>
      </c>
      <c r="AU137" s="58" t="s">
        <v>3551</v>
      </c>
      <c r="AV137" s="58" t="s">
        <v>3338</v>
      </c>
      <c r="AW137" s="58"/>
      <c r="AX137" s="58"/>
      <c r="AY137" s="58"/>
      <c r="AZ137" s="58"/>
      <c r="BA137" s="58" t="s">
        <v>3338</v>
      </c>
      <c r="BB137" s="58" t="s">
        <v>3534</v>
      </c>
      <c r="BC137" s="58" t="s">
        <v>3304</v>
      </c>
      <c r="BD137" s="58"/>
      <c r="BE137" s="58"/>
      <c r="BF137" s="58"/>
      <c r="BG137" s="58"/>
      <c r="BH137" s="58"/>
      <c r="BI137" s="58"/>
      <c r="BJ137" s="58"/>
      <c r="BK137" s="58"/>
      <c r="BL137" s="58"/>
      <c r="BM137" s="58"/>
      <c r="BN137" s="58"/>
      <c r="BO137" s="58"/>
      <c r="BP137" s="58"/>
      <c r="BQ137" s="58"/>
      <c r="BR137" s="58" t="s">
        <v>710</v>
      </c>
      <c r="BS137" s="58"/>
      <c r="BT137" s="58" t="s">
        <v>1089</v>
      </c>
      <c r="BU137" s="58" t="s">
        <v>3008</v>
      </c>
      <c r="BV137" s="58" t="s">
        <v>1089</v>
      </c>
      <c r="BW137" s="58" t="s">
        <v>3008</v>
      </c>
      <c r="BX137" s="58"/>
    </row>
    <row r="138" spans="1:76" ht="15" customHeight="1" x14ac:dyDescent="0.25">
      <c r="A138" s="61" t="str">
        <f t="shared" si="2"/>
        <v>082308004573</v>
      </c>
      <c r="B138" s="58">
        <v>136</v>
      </c>
      <c r="C138" s="58"/>
      <c r="D138" s="58"/>
      <c r="E138" s="58"/>
      <c r="F138" s="58" t="s">
        <v>3018</v>
      </c>
      <c r="G138" s="58" t="s">
        <v>3016</v>
      </c>
      <c r="H138" s="58" t="s">
        <v>3013</v>
      </c>
      <c r="I138" s="58" t="s">
        <v>718</v>
      </c>
      <c r="J138" s="58" t="s">
        <v>2908</v>
      </c>
      <c r="K138" s="58" t="s">
        <v>278</v>
      </c>
      <c r="L138" s="58" t="s">
        <v>3015</v>
      </c>
      <c r="M138" s="58" t="s">
        <v>3014</v>
      </c>
      <c r="N138" s="58" t="s">
        <v>1822</v>
      </c>
      <c r="O138" s="58" t="s">
        <v>3823</v>
      </c>
      <c r="P138" s="58" t="s">
        <v>3295</v>
      </c>
      <c r="Q138" s="58"/>
      <c r="R138" s="58"/>
      <c r="S138" s="58"/>
      <c r="T138" s="58"/>
      <c r="U138" s="58"/>
      <c r="V138" s="58"/>
      <c r="W138" s="58"/>
      <c r="X138" s="59"/>
      <c r="Y138" s="59"/>
      <c r="Z138" s="58"/>
      <c r="AA138" s="58"/>
      <c r="AB138" s="58"/>
      <c r="AC138" s="58"/>
      <c r="AD138" s="58">
        <v>2026</v>
      </c>
      <c r="AE138" s="58"/>
      <c r="AF138" s="58"/>
      <c r="AG138" s="58" t="s">
        <v>3296</v>
      </c>
      <c r="AH138" s="58" t="s">
        <v>3296</v>
      </c>
      <c r="AI138" s="58"/>
      <c r="AJ138" s="58"/>
      <c r="AK138" s="58"/>
      <c r="AL138" s="58"/>
      <c r="AM138" s="58"/>
      <c r="AN138" s="58" t="s">
        <v>1822</v>
      </c>
      <c r="AO138" s="60" t="s">
        <v>3019</v>
      </c>
      <c r="AP138" s="60" t="s">
        <v>3020</v>
      </c>
      <c r="AQ138" s="58" t="s">
        <v>3824</v>
      </c>
      <c r="AR138" s="58" t="s">
        <v>288</v>
      </c>
      <c r="AS138" s="58" t="s">
        <v>3298</v>
      </c>
      <c r="AT138" s="58" t="s">
        <v>3825</v>
      </c>
      <c r="AU138" s="58" t="s">
        <v>3311</v>
      </c>
      <c r="AV138" s="58" t="s">
        <v>3344</v>
      </c>
      <c r="AW138" s="58"/>
      <c r="AX138" s="58"/>
      <c r="AY138" s="58"/>
      <c r="AZ138" s="58" t="s">
        <v>3826</v>
      </c>
      <c r="BA138" s="58"/>
      <c r="BB138" s="58" t="s">
        <v>3384</v>
      </c>
      <c r="BC138" s="58" t="s">
        <v>3304</v>
      </c>
      <c r="BD138" s="58"/>
      <c r="BE138" s="58"/>
      <c r="BF138" s="58"/>
      <c r="BG138" s="58"/>
      <c r="BH138" s="58"/>
      <c r="BI138" s="58"/>
      <c r="BJ138" s="58"/>
      <c r="BK138" s="58"/>
      <c r="BL138" s="58"/>
      <c r="BM138" s="58"/>
      <c r="BN138" s="58"/>
      <c r="BO138" s="58"/>
      <c r="BP138" s="58"/>
      <c r="BQ138" s="58"/>
      <c r="BR138" s="58" t="s">
        <v>3353</v>
      </c>
      <c r="BS138" s="58"/>
      <c r="BT138" s="58" t="s">
        <v>1822</v>
      </c>
      <c r="BU138" s="58" t="s">
        <v>3019</v>
      </c>
      <c r="BV138" s="58" t="s">
        <v>1822</v>
      </c>
      <c r="BW138" s="58" t="s">
        <v>3019</v>
      </c>
      <c r="BX138" s="58"/>
    </row>
    <row r="139" spans="1:76" ht="15" customHeight="1" x14ac:dyDescent="0.25">
      <c r="A139" s="61" t="str">
        <f t="shared" si="2"/>
        <v>093308002659</v>
      </c>
      <c r="B139" s="58">
        <v>137</v>
      </c>
      <c r="C139" s="58"/>
      <c r="D139" s="58"/>
      <c r="E139" s="58"/>
      <c r="F139" s="58" t="s">
        <v>3029</v>
      </c>
      <c r="G139" s="58" t="s">
        <v>3027</v>
      </c>
      <c r="H139" s="58" t="s">
        <v>3024</v>
      </c>
      <c r="I139" s="58" t="s">
        <v>1945</v>
      </c>
      <c r="J139" s="58" t="s">
        <v>2908</v>
      </c>
      <c r="K139" s="58" t="s">
        <v>278</v>
      </c>
      <c r="L139" s="58" t="s">
        <v>3026</v>
      </c>
      <c r="M139" s="58" t="s">
        <v>3025</v>
      </c>
      <c r="N139" s="58" t="s">
        <v>1870</v>
      </c>
      <c r="O139" s="58" t="s">
        <v>3827</v>
      </c>
      <c r="P139" s="58" t="s">
        <v>3295</v>
      </c>
      <c r="Q139" s="58"/>
      <c r="R139" s="58"/>
      <c r="S139" s="58"/>
      <c r="T139" s="58"/>
      <c r="U139" s="58"/>
      <c r="V139" s="58"/>
      <c r="W139" s="58"/>
      <c r="X139" s="59"/>
      <c r="Y139" s="59"/>
      <c r="Z139" s="58"/>
      <c r="AA139" s="58"/>
      <c r="AB139" s="58"/>
      <c r="AC139" s="58"/>
      <c r="AD139" s="58">
        <v>2026</v>
      </c>
      <c r="AE139" s="58"/>
      <c r="AF139" s="58"/>
      <c r="AG139" s="58" t="s">
        <v>3296</v>
      </c>
      <c r="AH139" s="58" t="s">
        <v>3296</v>
      </c>
      <c r="AI139" s="58"/>
      <c r="AJ139" s="58"/>
      <c r="AK139" s="58"/>
      <c r="AL139" s="58"/>
      <c r="AM139" s="58"/>
      <c r="AN139" s="58" t="s">
        <v>1870</v>
      </c>
      <c r="AO139" s="60" t="s">
        <v>2058</v>
      </c>
      <c r="AP139" s="60" t="s">
        <v>3828</v>
      </c>
      <c r="AQ139" s="58" t="s">
        <v>3829</v>
      </c>
      <c r="AR139" s="58" t="s">
        <v>288</v>
      </c>
      <c r="AS139" s="58" t="s">
        <v>3315</v>
      </c>
      <c r="AT139" s="58" t="s">
        <v>3830</v>
      </c>
      <c r="AU139" s="58" t="s">
        <v>3311</v>
      </c>
      <c r="AV139" s="58" t="s">
        <v>3340</v>
      </c>
      <c r="AW139" s="58" t="s">
        <v>3333</v>
      </c>
      <c r="AX139" s="58"/>
      <c r="AY139" s="58"/>
      <c r="AZ139" s="58" t="s">
        <v>3332</v>
      </c>
      <c r="BA139" s="58"/>
      <c r="BB139" s="58"/>
      <c r="BC139" s="58"/>
      <c r="BD139" s="58"/>
      <c r="BE139" s="58"/>
      <c r="BF139" s="58"/>
      <c r="BG139" s="58"/>
      <c r="BH139" s="58"/>
      <c r="BI139" s="58"/>
      <c r="BJ139" s="58"/>
      <c r="BK139" s="58"/>
      <c r="BL139" s="58"/>
      <c r="BM139" s="58"/>
      <c r="BN139" s="58"/>
      <c r="BO139" s="58"/>
      <c r="BP139" s="58"/>
      <c r="BQ139" s="58"/>
      <c r="BR139" s="58" t="s">
        <v>3509</v>
      </c>
      <c r="BS139" s="58"/>
      <c r="BT139" s="58" t="s">
        <v>1870</v>
      </c>
      <c r="BU139" s="58" t="s">
        <v>3032</v>
      </c>
      <c r="BV139" s="58" t="s">
        <v>1870</v>
      </c>
      <c r="BW139" s="58" t="s">
        <v>3032</v>
      </c>
      <c r="BX139" s="58"/>
    </row>
    <row r="140" spans="1:76" ht="15" customHeight="1" x14ac:dyDescent="0.25">
      <c r="A140" s="61" t="str">
        <f t="shared" si="2"/>
        <v>079208042443</v>
      </c>
      <c r="B140" s="58">
        <v>138</v>
      </c>
      <c r="C140" s="58"/>
      <c r="D140" s="58"/>
      <c r="E140" s="58"/>
      <c r="F140" s="58" t="s">
        <v>3042</v>
      </c>
      <c r="G140" s="58" t="s">
        <v>2916</v>
      </c>
      <c r="H140" s="58" t="s">
        <v>3038</v>
      </c>
      <c r="I140" s="58" t="s">
        <v>2056</v>
      </c>
      <c r="J140" s="58" t="s">
        <v>2909</v>
      </c>
      <c r="K140" s="58" t="s">
        <v>278</v>
      </c>
      <c r="L140" s="58" t="s">
        <v>3040</v>
      </c>
      <c r="M140" s="58" t="s">
        <v>3039</v>
      </c>
      <c r="N140" s="58" t="s">
        <v>1709</v>
      </c>
      <c r="O140" s="58" t="s">
        <v>3831</v>
      </c>
      <c r="P140" s="58" t="s">
        <v>314</v>
      </c>
      <c r="Q140" s="58"/>
      <c r="R140" s="58"/>
      <c r="S140" s="58"/>
      <c r="T140" s="58"/>
      <c r="U140" s="58"/>
      <c r="V140" s="58"/>
      <c r="W140" s="58"/>
      <c r="X140" s="59"/>
      <c r="Y140" s="59"/>
      <c r="Z140" s="58"/>
      <c r="AA140" s="58"/>
      <c r="AB140" s="58"/>
      <c r="AC140" s="58"/>
      <c r="AD140" s="58">
        <v>2026</v>
      </c>
      <c r="AE140" s="58"/>
      <c r="AF140" s="58"/>
      <c r="AG140" s="58" t="s">
        <v>3296</v>
      </c>
      <c r="AH140" s="58" t="s">
        <v>3296</v>
      </c>
      <c r="AI140" s="58"/>
      <c r="AJ140" s="58"/>
      <c r="AK140" s="58"/>
      <c r="AL140" s="58"/>
      <c r="AM140" s="58"/>
      <c r="AN140" s="58" t="s">
        <v>1709</v>
      </c>
      <c r="AO140" s="60" t="s">
        <v>3049</v>
      </c>
      <c r="AP140" s="60" t="s">
        <v>2238</v>
      </c>
      <c r="AQ140" s="58" t="s">
        <v>3832</v>
      </c>
      <c r="AR140" s="58" t="s">
        <v>288</v>
      </c>
      <c r="AS140" s="58" t="s">
        <v>3400</v>
      </c>
      <c r="AT140" s="58" t="s">
        <v>3833</v>
      </c>
      <c r="AU140" s="58" t="s">
        <v>3451</v>
      </c>
      <c r="AV140" s="58" t="s">
        <v>3340</v>
      </c>
      <c r="AW140" s="58" t="s">
        <v>3344</v>
      </c>
      <c r="AX140" s="58"/>
      <c r="AY140" s="58"/>
      <c r="AZ140" s="58"/>
      <c r="BA140" s="58"/>
      <c r="BB140" s="58" t="s">
        <v>3317</v>
      </c>
      <c r="BC140" s="58" t="s">
        <v>3304</v>
      </c>
      <c r="BD140" s="58"/>
      <c r="BE140" s="58"/>
      <c r="BF140" s="58"/>
      <c r="BG140" s="58"/>
      <c r="BH140" s="58"/>
      <c r="BI140" s="58"/>
      <c r="BJ140" s="58"/>
      <c r="BK140" s="58"/>
      <c r="BL140" s="58"/>
      <c r="BM140" s="58"/>
      <c r="BN140" s="58"/>
      <c r="BO140" s="58"/>
      <c r="BP140" s="58"/>
      <c r="BQ140" s="58"/>
      <c r="BR140" s="58" t="s">
        <v>1407</v>
      </c>
      <c r="BS140" s="58"/>
      <c r="BT140" s="58" t="s">
        <v>1709</v>
      </c>
      <c r="BU140" s="58" t="s">
        <v>3049</v>
      </c>
      <c r="BV140" s="58" t="s">
        <v>1709</v>
      </c>
      <c r="BW140" s="58" t="s">
        <v>3049</v>
      </c>
      <c r="BX140" s="58"/>
    </row>
    <row r="141" spans="1:76" ht="15" customHeight="1" x14ac:dyDescent="0.25">
      <c r="A141" s="61" t="str">
        <f t="shared" si="2"/>
        <v>096307008557</v>
      </c>
      <c r="B141" s="58">
        <v>139</v>
      </c>
      <c r="C141" s="58"/>
      <c r="D141" s="58"/>
      <c r="E141" s="58"/>
      <c r="F141" s="58" t="s">
        <v>3834</v>
      </c>
      <c r="G141" s="58" t="s">
        <v>3058</v>
      </c>
      <c r="H141" s="58" t="s">
        <v>3054</v>
      </c>
      <c r="I141" s="58" t="s">
        <v>3055</v>
      </c>
      <c r="J141" s="58" t="s">
        <v>2908</v>
      </c>
      <c r="K141" s="58" t="s">
        <v>278</v>
      </c>
      <c r="L141" s="58" t="s">
        <v>3057</v>
      </c>
      <c r="M141" s="58" t="s">
        <v>3056</v>
      </c>
      <c r="N141" s="58" t="s">
        <v>1933</v>
      </c>
      <c r="O141" s="58" t="s">
        <v>3835</v>
      </c>
      <c r="P141" s="58" t="s">
        <v>278</v>
      </c>
      <c r="Q141" s="58"/>
      <c r="R141" s="58"/>
      <c r="S141" s="58"/>
      <c r="T141" s="58"/>
      <c r="U141" s="58"/>
      <c r="V141" s="58"/>
      <c r="W141" s="58"/>
      <c r="X141" s="59"/>
      <c r="Y141" s="59"/>
      <c r="Z141" s="58"/>
      <c r="AA141" s="58"/>
      <c r="AB141" s="58"/>
      <c r="AC141" s="58"/>
      <c r="AD141" s="58">
        <v>2025</v>
      </c>
      <c r="AE141" s="58"/>
      <c r="AF141" s="58"/>
      <c r="AG141" s="58" t="s">
        <v>3313</v>
      </c>
      <c r="AH141" s="58" t="s">
        <v>3296</v>
      </c>
      <c r="AI141" s="58"/>
      <c r="AJ141" s="58"/>
      <c r="AK141" s="58"/>
      <c r="AL141" s="58"/>
      <c r="AM141" s="58"/>
      <c r="AN141" s="58" t="s">
        <v>1933</v>
      </c>
      <c r="AO141" s="60" t="s">
        <v>2334</v>
      </c>
      <c r="AP141" s="60" t="s">
        <v>3061</v>
      </c>
      <c r="AQ141" s="58" t="s">
        <v>3836</v>
      </c>
      <c r="AR141" s="58" t="s">
        <v>288</v>
      </c>
      <c r="AS141" s="58" t="s">
        <v>3389</v>
      </c>
      <c r="AT141" s="58" t="s">
        <v>3837</v>
      </c>
      <c r="AU141" s="58"/>
      <c r="AV141" s="58" t="s">
        <v>3333</v>
      </c>
      <c r="AW141" s="58"/>
      <c r="AX141" s="58"/>
      <c r="AY141" s="58"/>
      <c r="AZ141" s="58" t="s">
        <v>3838</v>
      </c>
      <c r="BA141" s="58" t="s">
        <v>3362</v>
      </c>
      <c r="BB141" s="58"/>
      <c r="BC141" s="58"/>
      <c r="BD141" s="58"/>
      <c r="BE141" s="58"/>
      <c r="BF141" s="58"/>
      <c r="BG141" s="58"/>
      <c r="BH141" s="58"/>
      <c r="BI141" s="58"/>
      <c r="BJ141" s="58"/>
      <c r="BK141" s="58"/>
      <c r="BL141" s="58"/>
      <c r="BM141" s="58"/>
      <c r="BN141" s="58"/>
      <c r="BO141" s="58"/>
      <c r="BP141" s="58"/>
      <c r="BQ141" s="58"/>
      <c r="BR141" s="58"/>
      <c r="BS141" s="58"/>
      <c r="BT141" s="58" t="s">
        <v>1933</v>
      </c>
      <c r="BU141" s="58" t="s">
        <v>2334</v>
      </c>
      <c r="BV141" s="58" t="s">
        <v>1933</v>
      </c>
      <c r="BW141" s="58" t="s">
        <v>2334</v>
      </c>
      <c r="BX141" s="58"/>
    </row>
    <row r="142" spans="1:76" ht="15" customHeight="1" x14ac:dyDescent="0.25">
      <c r="A142" s="61" t="str">
        <f t="shared" si="2"/>
        <v>044208010722</v>
      </c>
      <c r="B142" s="58">
        <v>140</v>
      </c>
      <c r="C142" s="58"/>
      <c r="D142" s="58"/>
      <c r="E142" s="58"/>
      <c r="F142" s="58" t="s">
        <v>3072</v>
      </c>
      <c r="G142" s="58" t="s">
        <v>2918</v>
      </c>
      <c r="H142" s="58" t="s">
        <v>3068</v>
      </c>
      <c r="I142" s="58" t="s">
        <v>2112</v>
      </c>
      <c r="J142" s="58" t="s">
        <v>2909</v>
      </c>
      <c r="K142" s="58" t="s">
        <v>278</v>
      </c>
      <c r="L142" s="58" t="s">
        <v>3070</v>
      </c>
      <c r="M142" s="58" t="s">
        <v>3069</v>
      </c>
      <c r="N142" s="58" t="s">
        <v>1154</v>
      </c>
      <c r="O142" s="58" t="s">
        <v>3839</v>
      </c>
      <c r="P142" s="58" t="s">
        <v>3295</v>
      </c>
      <c r="Q142" s="58"/>
      <c r="R142" s="58"/>
      <c r="S142" s="58"/>
      <c r="T142" s="58"/>
      <c r="U142" s="58"/>
      <c r="V142" s="58"/>
      <c r="W142" s="58"/>
      <c r="X142" s="59"/>
      <c r="Y142" s="59"/>
      <c r="Z142" s="58"/>
      <c r="AA142" s="58"/>
      <c r="AB142" s="58"/>
      <c r="AC142" s="58"/>
      <c r="AD142" s="58">
        <v>2026</v>
      </c>
      <c r="AE142" s="58"/>
      <c r="AF142" s="58"/>
      <c r="AG142" s="58" t="s">
        <v>3296</v>
      </c>
      <c r="AH142" s="58" t="s">
        <v>3296</v>
      </c>
      <c r="AI142" s="58"/>
      <c r="AJ142" s="58"/>
      <c r="AK142" s="58"/>
      <c r="AL142" s="58"/>
      <c r="AM142" s="58"/>
      <c r="AN142" s="58" t="s">
        <v>1154</v>
      </c>
      <c r="AO142" s="60" t="s">
        <v>3080</v>
      </c>
      <c r="AP142" s="60" t="s">
        <v>3081</v>
      </c>
      <c r="AQ142" s="58" t="s">
        <v>3840</v>
      </c>
      <c r="AR142" s="58" t="s">
        <v>288</v>
      </c>
      <c r="AS142" s="58" t="s">
        <v>3841</v>
      </c>
      <c r="AT142" s="58" t="s">
        <v>3842</v>
      </c>
      <c r="AU142" s="58" t="s">
        <v>3324</v>
      </c>
      <c r="AV142" s="58" t="s">
        <v>3317</v>
      </c>
      <c r="AW142" s="58" t="s">
        <v>3349</v>
      </c>
      <c r="AX142" s="58"/>
      <c r="AY142" s="58"/>
      <c r="AZ142" s="58"/>
      <c r="BA142" s="58"/>
      <c r="BB142" s="58" t="s">
        <v>3338</v>
      </c>
      <c r="BC142" s="58" t="s">
        <v>3304</v>
      </c>
      <c r="BD142" s="58"/>
      <c r="BE142" s="58"/>
      <c r="BF142" s="58"/>
      <c r="BG142" s="58"/>
      <c r="BH142" s="58"/>
      <c r="BI142" s="58"/>
      <c r="BJ142" s="58"/>
      <c r="BK142" s="58"/>
      <c r="BL142" s="58"/>
      <c r="BM142" s="58"/>
      <c r="BN142" s="58"/>
      <c r="BO142" s="58"/>
      <c r="BP142" s="58"/>
      <c r="BQ142" s="58"/>
      <c r="BR142" s="58" t="s">
        <v>861</v>
      </c>
      <c r="BS142" s="58"/>
      <c r="BT142" s="58" t="s">
        <v>1154</v>
      </c>
      <c r="BU142" s="58" t="s">
        <v>3080</v>
      </c>
      <c r="BV142" s="58" t="s">
        <v>1154</v>
      </c>
      <c r="BW142" s="58" t="s">
        <v>3080</v>
      </c>
      <c r="BX142" s="58"/>
    </row>
    <row r="143" spans="1:76" ht="15" customHeight="1" x14ac:dyDescent="0.25">
      <c r="A143" s="61" t="str">
        <f t="shared" si="2"/>
        <v>066308006122</v>
      </c>
      <c r="B143" s="58">
        <v>141</v>
      </c>
      <c r="C143" s="58"/>
      <c r="D143" s="58"/>
      <c r="E143" s="58"/>
      <c r="F143" s="58" t="s">
        <v>3091</v>
      </c>
      <c r="G143" s="58" t="s">
        <v>2917</v>
      </c>
      <c r="H143" s="58" t="s">
        <v>3086</v>
      </c>
      <c r="I143" s="58" t="s">
        <v>2206</v>
      </c>
      <c r="J143" s="58" t="s">
        <v>2908</v>
      </c>
      <c r="K143" s="58" t="s">
        <v>736</v>
      </c>
      <c r="L143" s="58" t="s">
        <v>3088</v>
      </c>
      <c r="M143" s="58" t="s">
        <v>3087</v>
      </c>
      <c r="N143" s="58" t="s">
        <v>1486</v>
      </c>
      <c r="O143" s="58" t="s">
        <v>3843</v>
      </c>
      <c r="P143" s="58" t="s">
        <v>278</v>
      </c>
      <c r="Q143" s="58" t="s">
        <v>477</v>
      </c>
      <c r="R143" s="58"/>
      <c r="S143" s="58"/>
      <c r="T143" s="58"/>
      <c r="U143" s="58"/>
      <c r="V143" s="58"/>
      <c r="W143" s="58"/>
      <c r="X143" s="59"/>
      <c r="Y143" s="59"/>
      <c r="Z143" s="58"/>
      <c r="AA143" s="58"/>
      <c r="AB143" s="58"/>
      <c r="AC143" s="58"/>
      <c r="AD143" s="58">
        <v>2026</v>
      </c>
      <c r="AE143" s="58"/>
      <c r="AF143" s="58"/>
      <c r="AG143" s="58" t="s">
        <v>3296</v>
      </c>
      <c r="AH143" s="58" t="s">
        <v>3296</v>
      </c>
      <c r="AI143" s="58"/>
      <c r="AJ143" s="58"/>
      <c r="AK143" s="58"/>
      <c r="AL143" s="58"/>
      <c r="AM143" s="58"/>
      <c r="AN143" s="58" t="s">
        <v>1486</v>
      </c>
      <c r="AO143" s="60" t="s">
        <v>3092</v>
      </c>
      <c r="AP143" s="60" t="s">
        <v>3093</v>
      </c>
      <c r="AQ143" s="58" t="s">
        <v>3844</v>
      </c>
      <c r="AR143" s="58" t="s">
        <v>3845</v>
      </c>
      <c r="AS143" s="58" t="s">
        <v>3545</v>
      </c>
      <c r="AT143" s="58" t="s">
        <v>3846</v>
      </c>
      <c r="AU143" s="58" t="s">
        <v>3300</v>
      </c>
      <c r="AV143" s="58" t="s">
        <v>3301</v>
      </c>
      <c r="AW143" s="58"/>
      <c r="AX143" s="58"/>
      <c r="AY143" s="58"/>
      <c r="AZ143" s="58" t="s">
        <v>3325</v>
      </c>
      <c r="BA143" s="58"/>
      <c r="BB143" s="58" t="s">
        <v>3428</v>
      </c>
      <c r="BC143" s="58" t="s">
        <v>3304</v>
      </c>
      <c r="BD143" s="58"/>
      <c r="BE143" s="58"/>
      <c r="BF143" s="58"/>
      <c r="BG143" s="58"/>
      <c r="BH143" s="58"/>
      <c r="BI143" s="58"/>
      <c r="BJ143" s="58"/>
      <c r="BK143" s="58"/>
      <c r="BL143" s="58"/>
      <c r="BM143" s="58"/>
      <c r="BN143" s="58"/>
      <c r="BO143" s="58"/>
      <c r="BP143" s="58"/>
      <c r="BQ143" s="58"/>
      <c r="BR143" s="58" t="s">
        <v>729</v>
      </c>
      <c r="BS143" s="58"/>
      <c r="BT143" s="58" t="s">
        <v>1486</v>
      </c>
      <c r="BU143" s="58" t="s">
        <v>3092</v>
      </c>
      <c r="BV143" s="58" t="s">
        <v>1486</v>
      </c>
      <c r="BW143" s="58" t="s">
        <v>3092</v>
      </c>
      <c r="BX143" s="58"/>
    </row>
    <row r="144" spans="1:76" ht="15" customHeight="1" x14ac:dyDescent="0.25">
      <c r="A144" s="61" t="str">
        <f t="shared" si="2"/>
        <v>079208045387</v>
      </c>
      <c r="B144" s="58">
        <v>142</v>
      </c>
      <c r="C144" s="58"/>
      <c r="D144" s="58"/>
      <c r="E144" s="58"/>
      <c r="F144" s="58" t="s">
        <v>3102</v>
      </c>
      <c r="G144" s="58" t="s">
        <v>3100</v>
      </c>
      <c r="H144" s="58" t="s">
        <v>3097</v>
      </c>
      <c r="I144" s="58" t="s">
        <v>1945</v>
      </c>
      <c r="J144" s="58" t="s">
        <v>2909</v>
      </c>
      <c r="K144" s="58" t="s">
        <v>278</v>
      </c>
      <c r="L144" s="58" t="s">
        <v>3099</v>
      </c>
      <c r="M144" s="58" t="s">
        <v>3098</v>
      </c>
      <c r="N144" s="58" t="s">
        <v>1709</v>
      </c>
      <c r="O144" s="58" t="s">
        <v>3847</v>
      </c>
      <c r="P144" s="58" t="s">
        <v>3295</v>
      </c>
      <c r="Q144" s="58"/>
      <c r="R144" s="58"/>
      <c r="S144" s="58"/>
      <c r="T144" s="58"/>
      <c r="U144" s="58"/>
      <c r="V144" s="58"/>
      <c r="W144" s="58"/>
      <c r="X144" s="59"/>
      <c r="Y144" s="59"/>
      <c r="Z144" s="58"/>
      <c r="AA144" s="58"/>
      <c r="AB144" s="58"/>
      <c r="AC144" s="58"/>
      <c r="AD144" s="58">
        <v>2026</v>
      </c>
      <c r="AE144" s="58"/>
      <c r="AF144" s="58"/>
      <c r="AG144" s="58" t="s">
        <v>3296</v>
      </c>
      <c r="AH144" s="58" t="s">
        <v>3296</v>
      </c>
      <c r="AI144" s="58"/>
      <c r="AJ144" s="58"/>
      <c r="AK144" s="58"/>
      <c r="AL144" s="58"/>
      <c r="AM144" s="58"/>
      <c r="AN144" s="58" t="s">
        <v>1822</v>
      </c>
      <c r="AO144" s="60" t="s">
        <v>324</v>
      </c>
      <c r="AP144" s="60" t="s">
        <v>325</v>
      </c>
      <c r="AQ144" s="58" t="s">
        <v>3848</v>
      </c>
      <c r="AR144" s="58" t="s">
        <v>288</v>
      </c>
      <c r="AS144" s="58" t="s">
        <v>3400</v>
      </c>
      <c r="AT144" s="58" t="s">
        <v>3849</v>
      </c>
      <c r="AU144" s="58" t="s">
        <v>3324</v>
      </c>
      <c r="AV144" s="58" t="s">
        <v>3368</v>
      </c>
      <c r="AW144" s="58"/>
      <c r="AX144" s="58" t="s">
        <v>3530</v>
      </c>
      <c r="AY144" s="58"/>
      <c r="AZ144" s="58" t="s">
        <v>3850</v>
      </c>
      <c r="BA144" s="58"/>
      <c r="BB144" s="58"/>
      <c r="BC144" s="58"/>
      <c r="BD144" s="58"/>
      <c r="BE144" s="58"/>
      <c r="BF144" s="58"/>
      <c r="BG144" s="58"/>
      <c r="BH144" s="58"/>
      <c r="BI144" s="58"/>
      <c r="BJ144" s="58"/>
      <c r="BK144" s="58"/>
      <c r="BL144" s="58"/>
      <c r="BM144" s="58"/>
      <c r="BN144" s="58"/>
      <c r="BO144" s="58"/>
      <c r="BP144" s="58"/>
      <c r="BQ144" s="58"/>
      <c r="BR144" s="58" t="s">
        <v>3103</v>
      </c>
      <c r="BS144" s="58"/>
      <c r="BT144" s="58" t="s">
        <v>1822</v>
      </c>
      <c r="BU144" s="58" t="s">
        <v>324</v>
      </c>
      <c r="BV144" s="58" t="s">
        <v>1822</v>
      </c>
      <c r="BW144" s="58" t="s">
        <v>324</v>
      </c>
      <c r="BX144" s="58"/>
    </row>
    <row r="145" spans="1:76" ht="15" customHeight="1" x14ac:dyDescent="0.25">
      <c r="A145" s="61" t="str">
        <f t="shared" si="2"/>
        <v>091308007372</v>
      </c>
      <c r="B145" s="58">
        <v>143</v>
      </c>
      <c r="C145" s="58"/>
      <c r="D145" s="58"/>
      <c r="E145" s="58"/>
      <c r="F145" s="58" t="s">
        <v>3113</v>
      </c>
      <c r="G145" s="58" t="s">
        <v>3111</v>
      </c>
      <c r="H145" s="58" t="s">
        <v>3108</v>
      </c>
      <c r="I145" s="58" t="s">
        <v>617</v>
      </c>
      <c r="J145" s="58" t="s">
        <v>2908</v>
      </c>
      <c r="K145" s="58" t="s">
        <v>278</v>
      </c>
      <c r="L145" s="58" t="s">
        <v>3110</v>
      </c>
      <c r="M145" s="58" t="s">
        <v>3109</v>
      </c>
      <c r="N145" s="58" t="s">
        <v>1809</v>
      </c>
      <c r="O145" s="58" t="s">
        <v>3851</v>
      </c>
      <c r="P145" s="58" t="s">
        <v>3295</v>
      </c>
      <c r="Q145" s="58"/>
      <c r="R145" s="58"/>
      <c r="S145" s="58"/>
      <c r="T145" s="58"/>
      <c r="U145" s="58"/>
      <c r="V145" s="58"/>
      <c r="W145" s="58"/>
      <c r="X145" s="59"/>
      <c r="Y145" s="59"/>
      <c r="Z145" s="58"/>
      <c r="AA145" s="58"/>
      <c r="AB145" s="58"/>
      <c r="AC145" s="58"/>
      <c r="AD145" s="58">
        <v>2026</v>
      </c>
      <c r="AE145" s="58"/>
      <c r="AF145" s="58"/>
      <c r="AG145" s="58" t="s">
        <v>3313</v>
      </c>
      <c r="AH145" s="58" t="s">
        <v>3296</v>
      </c>
      <c r="AI145" s="58"/>
      <c r="AJ145" s="58"/>
      <c r="AK145" s="58"/>
      <c r="AL145" s="58"/>
      <c r="AM145" s="58"/>
      <c r="AN145" s="58" t="s">
        <v>1809</v>
      </c>
      <c r="AO145" s="60" t="s">
        <v>3118</v>
      </c>
      <c r="AP145" s="60" t="s">
        <v>3119</v>
      </c>
      <c r="AQ145" s="58" t="s">
        <v>3852</v>
      </c>
      <c r="AR145" s="58" t="s">
        <v>288</v>
      </c>
      <c r="AS145" s="58" t="s">
        <v>3321</v>
      </c>
      <c r="AT145" s="58" t="s">
        <v>3853</v>
      </c>
      <c r="AU145" s="58" t="s">
        <v>3300</v>
      </c>
      <c r="AV145" s="58" t="s">
        <v>3338</v>
      </c>
      <c r="AW145" s="58" t="s">
        <v>3395</v>
      </c>
      <c r="AX145" s="58"/>
      <c r="AY145" s="58"/>
      <c r="AZ145" s="58" t="s">
        <v>3571</v>
      </c>
      <c r="BA145" s="58"/>
      <c r="BB145" s="58"/>
      <c r="BC145" s="58"/>
      <c r="BD145" s="58"/>
      <c r="BE145" s="58"/>
      <c r="BF145" s="58"/>
      <c r="BG145" s="58"/>
      <c r="BH145" s="58"/>
      <c r="BI145" s="58"/>
      <c r="BJ145" s="58"/>
      <c r="BK145" s="58"/>
      <c r="BL145" s="58"/>
      <c r="BM145" s="58"/>
      <c r="BN145" s="58"/>
      <c r="BO145" s="58"/>
      <c r="BP145" s="58"/>
      <c r="BQ145" s="58"/>
      <c r="BR145" s="58" t="s">
        <v>1846</v>
      </c>
      <c r="BS145" s="58"/>
      <c r="BT145" s="58" t="s">
        <v>1809</v>
      </c>
      <c r="BU145" s="58" t="s">
        <v>3114</v>
      </c>
      <c r="BV145" s="58" t="s">
        <v>1809</v>
      </c>
      <c r="BW145" s="58" t="s">
        <v>3116</v>
      </c>
      <c r="BX145" s="58"/>
    </row>
    <row r="146" spans="1:76" ht="15" customHeight="1" x14ac:dyDescent="0.25">
      <c r="A146" s="61" t="str">
        <f t="shared" si="2"/>
        <v>091208003108</v>
      </c>
      <c r="B146" s="58">
        <v>144</v>
      </c>
      <c r="C146" s="58"/>
      <c r="D146" s="58"/>
      <c r="E146" s="58"/>
      <c r="F146" s="58" t="s">
        <v>3146</v>
      </c>
      <c r="G146" s="58" t="s">
        <v>3144</v>
      </c>
      <c r="H146" s="58" t="s">
        <v>3141</v>
      </c>
      <c r="I146" s="58" t="s">
        <v>2998</v>
      </c>
      <c r="J146" s="58" t="s">
        <v>2909</v>
      </c>
      <c r="K146" s="58" t="s">
        <v>278</v>
      </c>
      <c r="L146" s="58" t="s">
        <v>3143</v>
      </c>
      <c r="M146" s="58" t="s">
        <v>3142</v>
      </c>
      <c r="N146" s="58" t="s">
        <v>1809</v>
      </c>
      <c r="O146" s="58" t="s">
        <v>3668</v>
      </c>
      <c r="P146" s="58" t="s">
        <v>3295</v>
      </c>
      <c r="Q146" s="58"/>
      <c r="R146" s="58"/>
      <c r="S146" s="58"/>
      <c r="T146" s="58"/>
      <c r="U146" s="58"/>
      <c r="V146" s="58"/>
      <c r="W146" s="58"/>
      <c r="X146" s="59"/>
      <c r="Y146" s="59"/>
      <c r="Z146" s="58"/>
      <c r="AA146" s="58"/>
      <c r="AB146" s="58"/>
      <c r="AC146" s="58"/>
      <c r="AD146" s="58">
        <v>2026</v>
      </c>
      <c r="AE146" s="58"/>
      <c r="AF146" s="58"/>
      <c r="AG146" s="58" t="s">
        <v>3296</v>
      </c>
      <c r="AH146" s="58" t="s">
        <v>3296</v>
      </c>
      <c r="AI146" s="58"/>
      <c r="AJ146" s="58"/>
      <c r="AK146" s="58"/>
      <c r="AL146" s="58"/>
      <c r="AM146" s="58"/>
      <c r="AN146" s="58" t="s">
        <v>1809</v>
      </c>
      <c r="AO146" s="60" t="s">
        <v>1861</v>
      </c>
      <c r="AP146" s="60" t="s">
        <v>1862</v>
      </c>
      <c r="AQ146" s="58" t="s">
        <v>3854</v>
      </c>
      <c r="AR146" s="58" t="s">
        <v>288</v>
      </c>
      <c r="AS146" s="58" t="s">
        <v>3321</v>
      </c>
      <c r="AT146" s="58" t="s">
        <v>3670</v>
      </c>
      <c r="AU146" s="58" t="s">
        <v>3324</v>
      </c>
      <c r="AV146" s="58" t="s">
        <v>3317</v>
      </c>
      <c r="AW146" s="58" t="s">
        <v>3361</v>
      </c>
      <c r="AX146" s="58"/>
      <c r="AY146" s="58"/>
      <c r="AZ146" s="58"/>
      <c r="BA146" s="58"/>
      <c r="BB146" s="58" t="s">
        <v>3428</v>
      </c>
      <c r="BC146" s="58" t="s">
        <v>3304</v>
      </c>
      <c r="BD146" s="58"/>
      <c r="BE146" s="58"/>
      <c r="BF146" s="58"/>
      <c r="BG146" s="58"/>
      <c r="BH146" s="58"/>
      <c r="BI146" s="58"/>
      <c r="BJ146" s="58"/>
      <c r="BK146" s="58"/>
      <c r="BL146" s="58"/>
      <c r="BM146" s="58"/>
      <c r="BN146" s="58"/>
      <c r="BO146" s="58"/>
      <c r="BP146" s="58"/>
      <c r="BQ146" s="58"/>
      <c r="BR146" s="58" t="s">
        <v>3855</v>
      </c>
      <c r="BS146" s="58"/>
      <c r="BT146" s="58" t="s">
        <v>1809</v>
      </c>
      <c r="BU146" s="58" t="s">
        <v>3147</v>
      </c>
      <c r="BV146" s="58" t="s">
        <v>1809</v>
      </c>
      <c r="BW146" s="58" t="s">
        <v>3147</v>
      </c>
      <c r="BX146" s="58"/>
    </row>
    <row r="147" spans="1:76" ht="15" customHeight="1" x14ac:dyDescent="0.25">
      <c r="A147" s="61" t="str">
        <f t="shared" si="2"/>
        <v>079306007462</v>
      </c>
      <c r="B147" s="58">
        <v>145</v>
      </c>
      <c r="C147" s="58"/>
      <c r="D147" s="58"/>
      <c r="E147" s="58"/>
      <c r="F147" s="58" t="s">
        <v>3856</v>
      </c>
      <c r="G147" s="58" t="s">
        <v>3195</v>
      </c>
      <c r="H147" s="58" t="s">
        <v>3191</v>
      </c>
      <c r="I147" s="58" t="s">
        <v>3192</v>
      </c>
      <c r="J147" s="58" t="s">
        <v>2908</v>
      </c>
      <c r="K147" s="58" t="s">
        <v>278</v>
      </c>
      <c r="L147" s="58" t="s">
        <v>3194</v>
      </c>
      <c r="M147" s="58" t="s">
        <v>3193</v>
      </c>
      <c r="N147" s="58" t="s">
        <v>1709</v>
      </c>
      <c r="O147" s="58" t="s">
        <v>3857</v>
      </c>
      <c r="P147" s="58" t="s">
        <v>314</v>
      </c>
      <c r="Q147" s="58"/>
      <c r="R147" s="58"/>
      <c r="S147" s="58"/>
      <c r="T147" s="58"/>
      <c r="U147" s="58"/>
      <c r="V147" s="58"/>
      <c r="W147" s="58"/>
      <c r="X147" s="59"/>
      <c r="Y147" s="59"/>
      <c r="Z147" s="58"/>
      <c r="AA147" s="58"/>
      <c r="AB147" s="58"/>
      <c r="AC147" s="58"/>
      <c r="AD147" s="58">
        <v>2024</v>
      </c>
      <c r="AE147" s="58"/>
      <c r="AF147" s="58"/>
      <c r="AG147" s="58" t="s">
        <v>3313</v>
      </c>
      <c r="AH147" s="58" t="s">
        <v>3296</v>
      </c>
      <c r="AI147" s="58"/>
      <c r="AJ147" s="58"/>
      <c r="AK147" s="58"/>
      <c r="AL147" s="58"/>
      <c r="AM147" s="58"/>
      <c r="AN147" s="58" t="s">
        <v>1709</v>
      </c>
      <c r="AO147" s="60" t="s">
        <v>1182</v>
      </c>
      <c r="AP147" s="60" t="s">
        <v>2218</v>
      </c>
      <c r="AQ147" s="58" t="s">
        <v>3858</v>
      </c>
      <c r="AR147" s="58" t="s">
        <v>288</v>
      </c>
      <c r="AS147" s="58" t="s">
        <v>3400</v>
      </c>
      <c r="AT147" s="58" t="s">
        <v>3859</v>
      </c>
      <c r="AU147" s="58" t="s">
        <v>3333</v>
      </c>
      <c r="AV147" s="58" t="s">
        <v>3300</v>
      </c>
      <c r="AW147" s="58"/>
      <c r="AX147" s="58"/>
      <c r="AY147" s="58"/>
      <c r="AZ147" s="58"/>
      <c r="BA147" s="58"/>
      <c r="BB147" s="58" t="s">
        <v>3326</v>
      </c>
      <c r="BC147" s="58" t="s">
        <v>3304</v>
      </c>
      <c r="BD147" s="58"/>
      <c r="BE147" s="58"/>
      <c r="BF147" s="58"/>
      <c r="BG147" s="58"/>
      <c r="BH147" s="58"/>
      <c r="BI147" s="58"/>
      <c r="BJ147" s="58"/>
      <c r="BK147" s="58"/>
      <c r="BL147" s="58"/>
      <c r="BM147" s="58"/>
      <c r="BN147" s="58"/>
      <c r="BO147" s="58"/>
      <c r="BP147" s="58"/>
      <c r="BQ147" s="58"/>
      <c r="BR147" s="58"/>
      <c r="BS147" s="58"/>
      <c r="BT147" s="58" t="s">
        <v>1709</v>
      </c>
      <c r="BU147" s="58" t="s">
        <v>1182</v>
      </c>
      <c r="BV147" s="58" t="s">
        <v>1709</v>
      </c>
      <c r="BW147" s="58" t="s">
        <v>1182</v>
      </c>
      <c r="BX147" s="58"/>
    </row>
    <row r="148" spans="1:76" ht="15" customHeight="1" x14ac:dyDescent="0.25">
      <c r="A148" s="61" t="str">
        <f t="shared" si="2"/>
        <v>083308007749</v>
      </c>
      <c r="B148" s="58">
        <v>146</v>
      </c>
      <c r="C148" s="58"/>
      <c r="D148" s="58"/>
      <c r="E148" s="58"/>
      <c r="F148" s="58" t="s">
        <v>3211</v>
      </c>
      <c r="G148" s="58" t="s">
        <v>3188</v>
      </c>
      <c r="H148" s="58" t="s">
        <v>3206</v>
      </c>
      <c r="I148" s="58" t="s">
        <v>3207</v>
      </c>
      <c r="J148" s="58" t="s">
        <v>2908</v>
      </c>
      <c r="K148" s="58" t="s">
        <v>278</v>
      </c>
      <c r="L148" s="58" t="s">
        <v>3209</v>
      </c>
      <c r="M148" s="58" t="s">
        <v>3208</v>
      </c>
      <c r="N148" s="58" t="s">
        <v>1851</v>
      </c>
      <c r="O148" s="58" t="s">
        <v>3860</v>
      </c>
      <c r="P148" s="58" t="s">
        <v>3295</v>
      </c>
      <c r="Q148" s="58"/>
      <c r="R148" s="58"/>
      <c r="S148" s="58"/>
      <c r="T148" s="58"/>
      <c r="U148" s="58"/>
      <c r="V148" s="58"/>
      <c r="W148" s="58"/>
      <c r="X148" s="59"/>
      <c r="Y148" s="59"/>
      <c r="Z148" s="58"/>
      <c r="AA148" s="58"/>
      <c r="AB148" s="58"/>
      <c r="AC148" s="58"/>
      <c r="AD148" s="58">
        <v>2026</v>
      </c>
      <c r="AE148" s="58"/>
      <c r="AF148" s="58"/>
      <c r="AG148" s="58" t="s">
        <v>3296</v>
      </c>
      <c r="AH148" s="58" t="s">
        <v>3296</v>
      </c>
      <c r="AI148" s="58"/>
      <c r="AJ148" s="58"/>
      <c r="AK148" s="58"/>
      <c r="AL148" s="58"/>
      <c r="AM148" s="58"/>
      <c r="AN148" s="58" t="s">
        <v>1851</v>
      </c>
      <c r="AO148" s="60" t="s">
        <v>439</v>
      </c>
      <c r="AP148" s="60" t="s">
        <v>440</v>
      </c>
      <c r="AQ148" s="58" t="s">
        <v>3861</v>
      </c>
      <c r="AR148" s="58" t="s">
        <v>288</v>
      </c>
      <c r="AS148" s="58" t="s">
        <v>3330</v>
      </c>
      <c r="AT148" s="58" t="s">
        <v>3862</v>
      </c>
      <c r="AU148" s="58" t="s">
        <v>3349</v>
      </c>
      <c r="AV148" s="58" t="s">
        <v>3332</v>
      </c>
      <c r="AW148" s="58"/>
      <c r="AX148" s="58"/>
      <c r="AY148" s="58"/>
      <c r="AZ148" s="58"/>
      <c r="BA148" s="58"/>
      <c r="BB148" s="58" t="s">
        <v>3301</v>
      </c>
      <c r="BC148" s="58" t="s">
        <v>3304</v>
      </c>
      <c r="BD148" s="58" t="s">
        <v>3340</v>
      </c>
      <c r="BE148" s="58"/>
      <c r="BF148" s="58"/>
      <c r="BG148" s="58"/>
      <c r="BH148" s="58"/>
      <c r="BI148" s="58"/>
      <c r="BJ148" s="58"/>
      <c r="BK148" s="58"/>
      <c r="BL148" s="58"/>
      <c r="BM148" s="58"/>
      <c r="BN148" s="58"/>
      <c r="BO148" s="58"/>
      <c r="BP148" s="58"/>
      <c r="BQ148" s="58"/>
      <c r="BR148" s="58" t="s">
        <v>892</v>
      </c>
      <c r="BS148" s="58"/>
      <c r="BT148" s="58" t="s">
        <v>1851</v>
      </c>
      <c r="BU148" s="58" t="s">
        <v>439</v>
      </c>
      <c r="BV148" s="58" t="s">
        <v>1851</v>
      </c>
      <c r="BW148" s="58" t="s">
        <v>439</v>
      </c>
      <c r="BX148" s="58"/>
    </row>
    <row r="150" spans="1:76" ht="35.25" customHeight="1" x14ac:dyDescent="0.25">
      <c r="C150" s="62" t="s">
        <v>3863</v>
      </c>
      <c r="D150" s="62"/>
      <c r="E150" s="62"/>
      <c r="F150" s="62"/>
      <c r="G150" s="62"/>
      <c r="H150" s="62"/>
      <c r="I150" s="62"/>
      <c r="J150" s="62"/>
      <c r="K150" s="62"/>
      <c r="L150" s="62"/>
    </row>
  </sheetData>
  <mergeCells count="1">
    <mergeCell ref="C150:L150"/>
  </mergeCells>
  <phoneticPr fontId="24" type="noConversion"/>
  <pageMargins left="0.7" right="0.7" top="0.75" bottom="0.75" header="0.3" footer="0.3"/>
  <pageSetup paperSize="8" orientation="landscape"/>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F21E-44D2-45FB-80BE-9EDE786997CA}">
  <sheetPr>
    <outlinePr summaryBelow="0" summaryRight="0"/>
  </sheetPr>
  <dimension ref="A1:M757"/>
  <sheetViews>
    <sheetView workbookViewId="0">
      <pane ySplit="2" topLeftCell="A3" activePane="bottomLeft" state="frozen"/>
      <selection pane="bottomLeft" activeCell="A3" sqref="A3"/>
    </sheetView>
  </sheetViews>
  <sheetFormatPr defaultColWidth="38.42578125" defaultRowHeight="15" x14ac:dyDescent="0.25"/>
  <cols>
    <col min="1" max="1" width="38.42578125" style="4"/>
    <col min="2" max="2" width="8.140625" style="4" bestFit="1" customWidth="1"/>
    <col min="3" max="3" width="19.42578125" style="4" customWidth="1"/>
    <col min="4" max="4" width="38.42578125" style="4"/>
    <col min="5" max="5" width="22.85546875" style="4" bestFit="1" customWidth="1"/>
    <col min="6" max="6" width="13.7109375" style="4" bestFit="1" customWidth="1"/>
    <col min="7" max="7" width="38.42578125" style="4"/>
    <col min="8" max="8" width="13.42578125" customWidth="1"/>
    <col min="9" max="9" width="25.140625" customWidth="1"/>
    <col min="10" max="10" width="41" customWidth="1"/>
    <col min="11" max="11" width="10.140625" customWidth="1"/>
    <col min="12" max="12" width="12.85546875" customWidth="1"/>
    <col min="13" max="13" width="20.5703125" customWidth="1"/>
    <col min="14" max="16384" width="38.42578125" style="4"/>
  </cols>
  <sheetData>
    <row r="1" spans="1:13" x14ac:dyDescent="0.25">
      <c r="D1" s="4">
        <v>1</v>
      </c>
      <c r="E1" s="4">
        <v>2</v>
      </c>
      <c r="F1" s="4">
        <v>3</v>
      </c>
      <c r="G1" s="4">
        <v>4</v>
      </c>
      <c r="H1" s="4">
        <v>5</v>
      </c>
      <c r="I1" s="4">
        <v>6</v>
      </c>
      <c r="J1" s="4">
        <v>7</v>
      </c>
      <c r="K1" s="4">
        <v>8</v>
      </c>
      <c r="L1" s="4">
        <v>9</v>
      </c>
      <c r="M1" s="4">
        <v>10</v>
      </c>
    </row>
    <row r="2" spans="1:13" ht="16.5" x14ac:dyDescent="0.25">
      <c r="B2" s="2" t="s">
        <v>2360</v>
      </c>
      <c r="C2" s="2" t="s">
        <v>7</v>
      </c>
      <c r="D2" s="2" t="s">
        <v>2361</v>
      </c>
      <c r="E2" s="3" t="s">
        <v>2362</v>
      </c>
      <c r="F2" s="2" t="s">
        <v>2363</v>
      </c>
      <c r="G2" s="2" t="s">
        <v>2364</v>
      </c>
      <c r="H2" t="s">
        <v>7</v>
      </c>
      <c r="I2" t="s">
        <v>2365</v>
      </c>
      <c r="J2" t="s">
        <v>125</v>
      </c>
      <c r="K2" t="s">
        <v>2366</v>
      </c>
      <c r="L2" t="s">
        <v>2367</v>
      </c>
      <c r="M2" t="s">
        <v>2368</v>
      </c>
    </row>
    <row r="3" spans="1:13" ht="16.5" x14ac:dyDescent="0.25">
      <c r="A3" s="4" t="str">
        <f>L3</f>
        <v>0766963034</v>
      </c>
      <c r="B3" s="5">
        <v>1</v>
      </c>
      <c r="C3" s="6">
        <v>31261570407</v>
      </c>
      <c r="D3" s="7" t="s">
        <v>2369</v>
      </c>
      <c r="E3" s="11" t="s">
        <v>1543</v>
      </c>
      <c r="F3" s="9">
        <v>7480201</v>
      </c>
      <c r="G3" s="10" t="s">
        <v>546</v>
      </c>
      <c r="H3" t="s">
        <v>2370</v>
      </c>
      <c r="I3" t="s">
        <v>2369</v>
      </c>
      <c r="J3" t="s">
        <v>2371</v>
      </c>
      <c r="K3" t="s">
        <v>2372</v>
      </c>
      <c r="L3" s="48" t="s">
        <v>1543</v>
      </c>
      <c r="M3" t="s">
        <v>2373</v>
      </c>
    </row>
    <row r="4" spans="1:13" ht="16.5" x14ac:dyDescent="0.25">
      <c r="A4" s="4" t="str">
        <f t="shared" ref="A4:A67" si="0">L4</f>
        <v>943959098</v>
      </c>
      <c r="B4" s="5">
        <v>2</v>
      </c>
      <c r="C4" s="6">
        <v>31261570408</v>
      </c>
      <c r="D4" s="7" t="s">
        <v>2374</v>
      </c>
      <c r="E4" s="8" t="s">
        <v>2375</v>
      </c>
      <c r="F4" s="9">
        <v>7480201</v>
      </c>
      <c r="G4" s="9" t="s">
        <v>546</v>
      </c>
      <c r="H4" t="s">
        <v>2376</v>
      </c>
      <c r="I4" t="s">
        <v>2374</v>
      </c>
      <c r="J4" t="s">
        <v>2377</v>
      </c>
      <c r="K4" t="s">
        <v>2378</v>
      </c>
      <c r="L4" t="s">
        <v>2375</v>
      </c>
      <c r="M4" t="s">
        <v>2373</v>
      </c>
    </row>
    <row r="5" spans="1:13" ht="16.5" x14ac:dyDescent="0.25">
      <c r="A5" s="4" t="str">
        <f t="shared" si="0"/>
        <v>0336042094</v>
      </c>
      <c r="B5" s="5">
        <v>3</v>
      </c>
      <c r="C5" s="6">
        <v>31261570409</v>
      </c>
      <c r="D5" s="7" t="s">
        <v>2379</v>
      </c>
      <c r="E5" s="8" t="s">
        <v>923</v>
      </c>
      <c r="F5" s="9">
        <v>7480201</v>
      </c>
      <c r="G5" s="9" t="s">
        <v>546</v>
      </c>
      <c r="H5" t="s">
        <v>2380</v>
      </c>
      <c r="I5" t="s">
        <v>2379</v>
      </c>
      <c r="J5" t="s">
        <v>2381</v>
      </c>
      <c r="K5" t="s">
        <v>2382</v>
      </c>
      <c r="L5" t="s">
        <v>923</v>
      </c>
      <c r="M5" t="s">
        <v>2373</v>
      </c>
    </row>
    <row r="6" spans="1:13" ht="16.5" x14ac:dyDescent="0.25">
      <c r="A6" s="4" t="str">
        <f t="shared" si="0"/>
        <v>0783615145</v>
      </c>
      <c r="B6" s="5">
        <v>4</v>
      </c>
      <c r="C6" s="6">
        <v>31261570410</v>
      </c>
      <c r="D6" s="7" t="s">
        <v>2383</v>
      </c>
      <c r="E6" s="11" t="s">
        <v>554</v>
      </c>
      <c r="F6" s="9">
        <v>7480201</v>
      </c>
      <c r="G6" s="12" t="s">
        <v>546</v>
      </c>
      <c r="H6" t="s">
        <v>2384</v>
      </c>
      <c r="I6" t="s">
        <v>2385</v>
      </c>
      <c r="J6" t="s">
        <v>553</v>
      </c>
      <c r="K6" t="s">
        <v>2386</v>
      </c>
      <c r="L6" t="s">
        <v>554</v>
      </c>
      <c r="M6" t="s">
        <v>2373</v>
      </c>
    </row>
    <row r="7" spans="1:13" ht="16.5" x14ac:dyDescent="0.25">
      <c r="A7" s="4" t="str">
        <f t="shared" si="0"/>
        <v>0335022209</v>
      </c>
      <c r="B7" s="5">
        <v>5</v>
      </c>
      <c r="C7" s="6">
        <v>31261570411</v>
      </c>
      <c r="D7" s="7" t="s">
        <v>2387</v>
      </c>
      <c r="E7" s="8" t="s">
        <v>433</v>
      </c>
      <c r="F7" s="9">
        <v>7340301</v>
      </c>
      <c r="G7" s="10" t="s">
        <v>350</v>
      </c>
      <c r="H7" t="s">
        <v>2388</v>
      </c>
      <c r="I7" t="s">
        <v>2387</v>
      </c>
      <c r="J7" t="s">
        <v>2389</v>
      </c>
      <c r="K7" t="s">
        <v>2390</v>
      </c>
      <c r="L7" t="s">
        <v>433</v>
      </c>
      <c r="M7" t="s">
        <v>2373</v>
      </c>
    </row>
    <row r="8" spans="1:13" ht="18.75" x14ac:dyDescent="0.3">
      <c r="A8" s="4" t="str">
        <f t="shared" si="0"/>
        <v>0795498899</v>
      </c>
      <c r="B8" s="5">
        <v>6</v>
      </c>
      <c r="C8" s="6">
        <v>31261570412</v>
      </c>
      <c r="D8" s="13" t="s">
        <v>2391</v>
      </c>
      <c r="E8" s="11" t="s">
        <v>882</v>
      </c>
      <c r="F8" s="9">
        <v>7340301</v>
      </c>
      <c r="G8" s="10" t="s">
        <v>350</v>
      </c>
      <c r="H8" t="s">
        <v>2392</v>
      </c>
      <c r="I8" t="s">
        <v>2391</v>
      </c>
      <c r="J8" t="s">
        <v>2393</v>
      </c>
      <c r="K8" t="s">
        <v>2394</v>
      </c>
      <c r="L8" t="s">
        <v>882</v>
      </c>
      <c r="M8" t="s">
        <v>2373</v>
      </c>
    </row>
    <row r="9" spans="1:13" ht="18.75" x14ac:dyDescent="0.3">
      <c r="A9" s="4" t="str">
        <f t="shared" si="0"/>
        <v>0765003017</v>
      </c>
      <c r="B9" s="5">
        <v>7</v>
      </c>
      <c r="C9" s="6">
        <v>31261570413</v>
      </c>
      <c r="D9" s="14" t="s">
        <v>2395</v>
      </c>
      <c r="E9" s="11" t="s">
        <v>380</v>
      </c>
      <c r="F9" s="9">
        <v>7340301</v>
      </c>
      <c r="G9" s="10" t="s">
        <v>350</v>
      </c>
      <c r="H9" t="s">
        <v>2396</v>
      </c>
      <c r="I9" t="s">
        <v>2395</v>
      </c>
      <c r="J9" t="s">
        <v>2397</v>
      </c>
      <c r="K9" t="s">
        <v>2398</v>
      </c>
      <c r="L9" t="s">
        <v>380</v>
      </c>
      <c r="M9" t="s">
        <v>2373</v>
      </c>
    </row>
    <row r="10" spans="1:13" ht="16.5" x14ac:dyDescent="0.25">
      <c r="A10" s="4" t="str">
        <f t="shared" si="0"/>
        <v>0948703245</v>
      </c>
      <c r="B10" s="5">
        <v>8</v>
      </c>
      <c r="C10" s="6">
        <v>31261570414</v>
      </c>
      <c r="D10" s="7" t="s">
        <v>2399</v>
      </c>
      <c r="E10" s="8" t="s">
        <v>1580</v>
      </c>
      <c r="F10" s="9">
        <v>7340301</v>
      </c>
      <c r="G10" s="10" t="s">
        <v>350</v>
      </c>
      <c r="H10" t="s">
        <v>2400</v>
      </c>
      <c r="I10" t="s">
        <v>2399</v>
      </c>
      <c r="J10" t="s">
        <v>2401</v>
      </c>
      <c r="K10" t="s">
        <v>2402</v>
      </c>
      <c r="L10" t="s">
        <v>1580</v>
      </c>
      <c r="M10" t="s">
        <v>2373</v>
      </c>
    </row>
    <row r="11" spans="1:13" ht="18.75" x14ac:dyDescent="0.3">
      <c r="A11" s="4" t="str">
        <f t="shared" si="0"/>
        <v>0917887439</v>
      </c>
      <c r="B11" s="5">
        <v>9</v>
      </c>
      <c r="C11" s="6">
        <v>31261570415</v>
      </c>
      <c r="D11" s="13" t="s">
        <v>2403</v>
      </c>
      <c r="E11" s="11" t="s">
        <v>2404</v>
      </c>
      <c r="F11" s="9">
        <v>7340301</v>
      </c>
      <c r="G11" s="10" t="s">
        <v>350</v>
      </c>
      <c r="H11" t="s">
        <v>2405</v>
      </c>
      <c r="I11" t="s">
        <v>2403</v>
      </c>
      <c r="J11" t="s">
        <v>2406</v>
      </c>
      <c r="K11" t="s">
        <v>2407</v>
      </c>
      <c r="L11" t="s">
        <v>2404</v>
      </c>
      <c r="M11" t="s">
        <v>2373</v>
      </c>
    </row>
    <row r="12" spans="1:13" ht="16.5" x14ac:dyDescent="0.25">
      <c r="A12" s="4" t="str">
        <f t="shared" si="0"/>
        <v>0383170265</v>
      </c>
      <c r="B12" s="5">
        <v>10</v>
      </c>
      <c r="C12" s="6">
        <v>31261570416</v>
      </c>
      <c r="D12" s="7" t="s">
        <v>2408</v>
      </c>
      <c r="E12" s="11" t="s">
        <v>495</v>
      </c>
      <c r="F12" s="9">
        <v>7340301</v>
      </c>
      <c r="G12" s="12" t="s">
        <v>350</v>
      </c>
      <c r="H12" t="s">
        <v>2409</v>
      </c>
      <c r="I12" t="s">
        <v>2410</v>
      </c>
      <c r="J12" t="s">
        <v>2411</v>
      </c>
      <c r="K12" t="s">
        <v>2412</v>
      </c>
      <c r="L12" t="s">
        <v>495</v>
      </c>
      <c r="M12" t="s">
        <v>2373</v>
      </c>
    </row>
    <row r="13" spans="1:13" ht="16.5" x14ac:dyDescent="0.25">
      <c r="A13" s="4" t="str">
        <f t="shared" si="0"/>
        <v>0858694515</v>
      </c>
      <c r="B13" s="5">
        <v>11</v>
      </c>
      <c r="C13" s="6">
        <v>31261570417</v>
      </c>
      <c r="D13" s="7" t="s">
        <v>2413</v>
      </c>
      <c r="E13" s="8" t="s">
        <v>1199</v>
      </c>
      <c r="F13" s="9">
        <v>7620114</v>
      </c>
      <c r="G13" s="9" t="s">
        <v>373</v>
      </c>
      <c r="H13" t="s">
        <v>2414</v>
      </c>
      <c r="I13" t="s">
        <v>2413</v>
      </c>
      <c r="J13" t="s">
        <v>2415</v>
      </c>
      <c r="K13" t="s">
        <v>2416</v>
      </c>
      <c r="L13" t="s">
        <v>1199</v>
      </c>
      <c r="M13" t="s">
        <v>2373</v>
      </c>
    </row>
    <row r="14" spans="1:13" ht="16.5" x14ac:dyDescent="0.25">
      <c r="A14" s="4" t="str">
        <f t="shared" si="0"/>
        <v>0908530645</v>
      </c>
      <c r="B14" s="5">
        <v>12</v>
      </c>
      <c r="C14" s="6">
        <v>31261570418</v>
      </c>
      <c r="D14" s="7" t="s">
        <v>2417</v>
      </c>
      <c r="E14" s="11" t="s">
        <v>1037</v>
      </c>
      <c r="F14" s="9">
        <v>7620114</v>
      </c>
      <c r="G14" s="12" t="s">
        <v>2418</v>
      </c>
      <c r="H14" t="s">
        <v>2419</v>
      </c>
      <c r="I14" t="s">
        <v>2417</v>
      </c>
      <c r="J14" t="s">
        <v>2420</v>
      </c>
      <c r="K14" t="s">
        <v>2421</v>
      </c>
      <c r="L14" t="s">
        <v>1037</v>
      </c>
      <c r="M14" t="s">
        <v>2373</v>
      </c>
    </row>
    <row r="15" spans="1:13" ht="18.75" x14ac:dyDescent="0.3">
      <c r="A15" s="4" t="str">
        <f t="shared" si="0"/>
        <v>0792322399</v>
      </c>
      <c r="B15" s="5">
        <v>13</v>
      </c>
      <c r="C15" s="6">
        <v>31261570419</v>
      </c>
      <c r="D15" s="13" t="s">
        <v>2422</v>
      </c>
      <c r="E15" s="11" t="s">
        <v>2423</v>
      </c>
      <c r="F15" s="9">
        <v>7620114</v>
      </c>
      <c r="G15" s="15" t="s">
        <v>2418</v>
      </c>
      <c r="H15" t="s">
        <v>2424</v>
      </c>
      <c r="I15" t="s">
        <v>2422</v>
      </c>
      <c r="J15" t="s">
        <v>2425</v>
      </c>
      <c r="K15" t="s">
        <v>2426</v>
      </c>
      <c r="L15" t="s">
        <v>2423</v>
      </c>
      <c r="M15" t="s">
        <v>2373</v>
      </c>
    </row>
    <row r="16" spans="1:13" ht="18.75" x14ac:dyDescent="0.3">
      <c r="A16" s="4" t="str">
        <f t="shared" si="0"/>
        <v>0818335529</v>
      </c>
      <c r="B16" s="5">
        <v>14</v>
      </c>
      <c r="C16" s="6">
        <v>31261570420</v>
      </c>
      <c r="D16" s="13" t="s">
        <v>2427</v>
      </c>
      <c r="E16" s="11" t="s">
        <v>398</v>
      </c>
      <c r="F16" s="9">
        <v>7340120</v>
      </c>
      <c r="G16" s="15" t="s">
        <v>309</v>
      </c>
      <c r="H16" t="s">
        <v>2428</v>
      </c>
      <c r="I16" t="s">
        <v>2427</v>
      </c>
      <c r="J16" t="s">
        <v>2429</v>
      </c>
      <c r="K16" t="s">
        <v>2430</v>
      </c>
      <c r="L16" t="s">
        <v>398</v>
      </c>
      <c r="M16" t="s">
        <v>2373</v>
      </c>
    </row>
    <row r="17" spans="1:13" ht="16.5" x14ac:dyDescent="0.25">
      <c r="A17" s="4" t="str">
        <f t="shared" si="0"/>
        <v>0786982418</v>
      </c>
      <c r="B17" s="5">
        <v>15</v>
      </c>
      <c r="C17" s="6">
        <v>31261570421</v>
      </c>
      <c r="D17" s="7" t="s">
        <v>2431</v>
      </c>
      <c r="E17" s="8" t="s">
        <v>2432</v>
      </c>
      <c r="F17" s="9">
        <v>7220201</v>
      </c>
      <c r="G17" s="9" t="s">
        <v>333</v>
      </c>
      <c r="H17" t="s">
        <v>2433</v>
      </c>
      <c r="I17" t="s">
        <v>2431</v>
      </c>
      <c r="J17" t="s">
        <v>2434</v>
      </c>
      <c r="K17" t="s">
        <v>2435</v>
      </c>
      <c r="L17" t="s">
        <v>2432</v>
      </c>
      <c r="M17" t="s">
        <v>2373</v>
      </c>
    </row>
    <row r="18" spans="1:13" ht="18.75" x14ac:dyDescent="0.3">
      <c r="A18" s="4" t="str">
        <f t="shared" si="0"/>
        <v>0819523730</v>
      </c>
      <c r="B18" s="5">
        <v>16</v>
      </c>
      <c r="C18" s="6">
        <v>31261570422</v>
      </c>
      <c r="D18" s="13" t="s">
        <v>2436</v>
      </c>
      <c r="E18" s="8" t="s">
        <v>1346</v>
      </c>
      <c r="F18" s="9">
        <v>7340120</v>
      </c>
      <c r="G18" s="15" t="s">
        <v>309</v>
      </c>
      <c r="H18" t="s">
        <v>2437</v>
      </c>
      <c r="I18" t="s">
        <v>2436</v>
      </c>
      <c r="J18" t="s">
        <v>2438</v>
      </c>
      <c r="K18" t="s">
        <v>2439</v>
      </c>
      <c r="L18" t="s">
        <v>1346</v>
      </c>
      <c r="M18" t="s">
        <v>2373</v>
      </c>
    </row>
    <row r="19" spans="1:13" ht="18.75" x14ac:dyDescent="0.3">
      <c r="A19" s="4" t="str">
        <f t="shared" si="0"/>
        <v>0792398749</v>
      </c>
      <c r="B19" s="5">
        <v>17</v>
      </c>
      <c r="C19" s="6">
        <v>31261570423</v>
      </c>
      <c r="D19" s="13" t="s">
        <v>2440</v>
      </c>
      <c r="E19" s="11" t="s">
        <v>789</v>
      </c>
      <c r="F19" s="9">
        <v>7340120</v>
      </c>
      <c r="G19" s="15" t="s">
        <v>309</v>
      </c>
      <c r="H19" t="s">
        <v>2441</v>
      </c>
      <c r="I19" t="s">
        <v>2440</v>
      </c>
      <c r="J19" t="s">
        <v>2442</v>
      </c>
      <c r="K19" t="s">
        <v>2443</v>
      </c>
      <c r="L19" t="s">
        <v>789</v>
      </c>
      <c r="M19" t="s">
        <v>2373</v>
      </c>
    </row>
    <row r="20" spans="1:13" ht="18.75" x14ac:dyDescent="0.3">
      <c r="A20" s="4" t="str">
        <f t="shared" si="0"/>
        <v>0944125404</v>
      </c>
      <c r="B20" s="5">
        <v>18</v>
      </c>
      <c r="C20" s="6">
        <v>31261570424</v>
      </c>
      <c r="D20" s="13" t="s">
        <v>2444</v>
      </c>
      <c r="E20" s="11" t="s">
        <v>2445</v>
      </c>
      <c r="F20" s="9">
        <v>7340120</v>
      </c>
      <c r="G20" s="15" t="s">
        <v>309</v>
      </c>
      <c r="H20" t="s">
        <v>2446</v>
      </c>
      <c r="I20" t="s">
        <v>2444</v>
      </c>
      <c r="J20" t="s">
        <v>2447</v>
      </c>
      <c r="K20" t="s">
        <v>2448</v>
      </c>
      <c r="L20" t="s">
        <v>2445</v>
      </c>
      <c r="M20" t="s">
        <v>2373</v>
      </c>
    </row>
    <row r="21" spans="1:13" ht="18.75" x14ac:dyDescent="0.3">
      <c r="A21" s="4" t="str">
        <f t="shared" si="0"/>
        <v>0907819646</v>
      </c>
      <c r="B21" s="5">
        <v>19</v>
      </c>
      <c r="C21" s="6">
        <v>31261570425</v>
      </c>
      <c r="D21" s="13" t="s">
        <v>2449</v>
      </c>
      <c r="E21" s="11" t="s">
        <v>1556</v>
      </c>
      <c r="F21" s="9">
        <v>7340120</v>
      </c>
      <c r="G21" s="15" t="s">
        <v>309</v>
      </c>
      <c r="H21" t="s">
        <v>2450</v>
      </c>
      <c r="I21" t="s">
        <v>2449</v>
      </c>
      <c r="J21" t="s">
        <v>2451</v>
      </c>
      <c r="K21" t="s">
        <v>2452</v>
      </c>
      <c r="L21" t="s">
        <v>1556</v>
      </c>
      <c r="M21" t="s">
        <v>2373</v>
      </c>
    </row>
    <row r="22" spans="1:13" ht="18.75" x14ac:dyDescent="0.25">
      <c r="A22" s="4" t="str">
        <f t="shared" si="0"/>
        <v>0948531883</v>
      </c>
      <c r="B22" s="5">
        <v>20</v>
      </c>
      <c r="C22" s="6">
        <v>31261570426</v>
      </c>
      <c r="D22" s="7" t="s">
        <v>2453</v>
      </c>
      <c r="E22" s="11" t="s">
        <v>2454</v>
      </c>
      <c r="F22" s="9">
        <v>7340120</v>
      </c>
      <c r="G22" s="15" t="s">
        <v>309</v>
      </c>
      <c r="H22" t="s">
        <v>2455</v>
      </c>
      <c r="I22" t="s">
        <v>2453</v>
      </c>
      <c r="J22" t="s">
        <v>2456</v>
      </c>
      <c r="K22" t="s">
        <v>2457</v>
      </c>
      <c r="L22" t="s">
        <v>2454</v>
      </c>
      <c r="M22" t="s">
        <v>2373</v>
      </c>
    </row>
    <row r="23" spans="1:13" ht="18.75" x14ac:dyDescent="0.25">
      <c r="A23" s="4" t="str">
        <f t="shared" si="0"/>
        <v>0813218460</v>
      </c>
      <c r="B23" s="5">
        <v>21</v>
      </c>
      <c r="C23" s="6">
        <v>31261570427</v>
      </c>
      <c r="D23" s="7" t="s">
        <v>616</v>
      </c>
      <c r="E23" s="11" t="s">
        <v>619</v>
      </c>
      <c r="F23" s="9">
        <v>7340120</v>
      </c>
      <c r="G23" s="15" t="s">
        <v>309</v>
      </c>
      <c r="H23" t="s">
        <v>2458</v>
      </c>
      <c r="I23" t="s">
        <v>2459</v>
      </c>
      <c r="J23" t="s">
        <v>2460</v>
      </c>
      <c r="K23" t="s">
        <v>2461</v>
      </c>
      <c r="L23" t="s">
        <v>619</v>
      </c>
      <c r="M23" t="s">
        <v>2373</v>
      </c>
    </row>
    <row r="24" spans="1:13" ht="18.75" x14ac:dyDescent="0.25">
      <c r="A24" s="4" t="str">
        <f t="shared" si="0"/>
        <v>0333690063</v>
      </c>
      <c r="B24" s="5">
        <v>22</v>
      </c>
      <c r="C24" s="6">
        <v>31261570428</v>
      </c>
      <c r="D24" s="7" t="s">
        <v>2462</v>
      </c>
      <c r="E24" s="11" t="s">
        <v>1747</v>
      </c>
      <c r="F24" s="9">
        <v>7340120</v>
      </c>
      <c r="G24" s="15" t="s">
        <v>309</v>
      </c>
      <c r="H24" t="s">
        <v>2463</v>
      </c>
      <c r="I24" t="s">
        <v>2462</v>
      </c>
      <c r="J24" t="s">
        <v>2464</v>
      </c>
      <c r="K24" t="s">
        <v>2465</v>
      </c>
      <c r="L24" t="s">
        <v>1747</v>
      </c>
      <c r="M24" t="s">
        <v>2373</v>
      </c>
    </row>
    <row r="25" spans="1:13" ht="18.75" x14ac:dyDescent="0.25">
      <c r="A25" s="4" t="str">
        <f t="shared" si="0"/>
        <v>0974510157</v>
      </c>
      <c r="B25" s="5">
        <v>23</v>
      </c>
      <c r="C25" s="6">
        <v>31261570429</v>
      </c>
      <c r="D25" s="7" t="s">
        <v>2466</v>
      </c>
      <c r="E25" s="11" t="s">
        <v>1730</v>
      </c>
      <c r="F25" s="9">
        <v>7340120</v>
      </c>
      <c r="G25" s="15" t="s">
        <v>309</v>
      </c>
      <c r="H25" t="s">
        <v>2467</v>
      </c>
      <c r="I25" t="s">
        <v>2468</v>
      </c>
      <c r="J25" t="s">
        <v>2469</v>
      </c>
      <c r="K25" t="s">
        <v>2470</v>
      </c>
      <c r="L25" t="s">
        <v>1730</v>
      </c>
      <c r="M25" t="s">
        <v>2373</v>
      </c>
    </row>
    <row r="26" spans="1:13" ht="18.75" x14ac:dyDescent="0.3">
      <c r="A26" s="4" t="str">
        <f t="shared" si="0"/>
        <v>0813281882</v>
      </c>
      <c r="B26" s="5">
        <v>24</v>
      </c>
      <c r="C26" s="6">
        <v>31261570430</v>
      </c>
      <c r="D26" s="13" t="s">
        <v>2471</v>
      </c>
      <c r="E26" s="11" t="s">
        <v>958</v>
      </c>
      <c r="F26" s="9">
        <v>734020103</v>
      </c>
      <c r="G26" s="15" t="s">
        <v>611</v>
      </c>
      <c r="H26" t="s">
        <v>2472</v>
      </c>
      <c r="I26" t="s">
        <v>2471</v>
      </c>
      <c r="J26" t="s">
        <v>2473</v>
      </c>
      <c r="K26" t="s">
        <v>2474</v>
      </c>
      <c r="L26" t="s">
        <v>958</v>
      </c>
      <c r="M26" t="s">
        <v>2373</v>
      </c>
    </row>
    <row r="27" spans="1:13" ht="18.75" x14ac:dyDescent="0.3">
      <c r="A27" s="4" t="str">
        <f t="shared" si="0"/>
        <v>0949360904</v>
      </c>
      <c r="B27" s="5">
        <v>25</v>
      </c>
      <c r="C27" s="6">
        <v>31261570431</v>
      </c>
      <c r="D27" s="14" t="s">
        <v>2475</v>
      </c>
      <c r="E27" s="11" t="s">
        <v>1855</v>
      </c>
      <c r="F27" s="9">
        <v>7340120</v>
      </c>
      <c r="G27" s="15" t="s">
        <v>309</v>
      </c>
      <c r="H27" t="s">
        <v>2476</v>
      </c>
      <c r="I27" t="s">
        <v>2475</v>
      </c>
      <c r="J27" t="s">
        <v>2477</v>
      </c>
      <c r="K27" t="s">
        <v>2478</v>
      </c>
      <c r="L27" t="s">
        <v>1855</v>
      </c>
      <c r="M27" t="s">
        <v>2373</v>
      </c>
    </row>
    <row r="28" spans="1:13" ht="16.5" x14ac:dyDescent="0.25">
      <c r="A28" s="4" t="str">
        <f t="shared" si="0"/>
        <v>906326749</v>
      </c>
      <c r="B28" s="5">
        <v>26</v>
      </c>
      <c r="C28" s="6">
        <v>31261570432</v>
      </c>
      <c r="D28" s="7" t="s">
        <v>2479</v>
      </c>
      <c r="E28" s="8" t="s">
        <v>2480</v>
      </c>
      <c r="F28" s="9">
        <v>7340120</v>
      </c>
      <c r="G28" s="9" t="s">
        <v>2481</v>
      </c>
      <c r="H28" t="s">
        <v>2482</v>
      </c>
      <c r="I28" t="s">
        <v>2479</v>
      </c>
      <c r="J28" t="s">
        <v>2483</v>
      </c>
      <c r="K28" t="s">
        <v>2484</v>
      </c>
      <c r="L28" t="s">
        <v>2480</v>
      </c>
      <c r="M28" t="s">
        <v>2373</v>
      </c>
    </row>
    <row r="29" spans="1:13" ht="18.75" x14ac:dyDescent="0.3">
      <c r="A29" s="4" t="str">
        <f t="shared" si="0"/>
        <v>0333440298</v>
      </c>
      <c r="B29" s="5">
        <v>27</v>
      </c>
      <c r="C29" s="6">
        <v>31261570433</v>
      </c>
      <c r="D29" s="13" t="s">
        <v>2485</v>
      </c>
      <c r="E29" s="11" t="s">
        <v>2486</v>
      </c>
      <c r="F29" s="9">
        <v>7340120</v>
      </c>
      <c r="G29" s="15" t="s">
        <v>2481</v>
      </c>
      <c r="H29" t="s">
        <v>2487</v>
      </c>
      <c r="I29" t="s">
        <v>2488</v>
      </c>
      <c r="J29" t="s">
        <v>2489</v>
      </c>
      <c r="K29" t="s">
        <v>2490</v>
      </c>
      <c r="L29" t="s">
        <v>2486</v>
      </c>
      <c r="M29" t="s">
        <v>2373</v>
      </c>
    </row>
    <row r="30" spans="1:13" ht="18.75" x14ac:dyDescent="0.25">
      <c r="A30" s="4" t="str">
        <f t="shared" si="0"/>
        <v>0919311306</v>
      </c>
      <c r="B30" s="5">
        <v>28</v>
      </c>
      <c r="C30" s="6">
        <v>31261570434</v>
      </c>
      <c r="D30" s="7" t="s">
        <v>828</v>
      </c>
      <c r="E30" s="11" t="s">
        <v>831</v>
      </c>
      <c r="F30" s="9">
        <v>7340120</v>
      </c>
      <c r="G30" s="15" t="s">
        <v>2481</v>
      </c>
      <c r="H30" t="s">
        <v>2491</v>
      </c>
      <c r="I30" t="s">
        <v>2492</v>
      </c>
      <c r="J30" t="s">
        <v>2493</v>
      </c>
      <c r="K30" t="s">
        <v>2494</v>
      </c>
      <c r="L30" t="s">
        <v>831</v>
      </c>
      <c r="M30" t="s">
        <v>2373</v>
      </c>
    </row>
    <row r="31" spans="1:13" ht="16.5" x14ac:dyDescent="0.25">
      <c r="A31" s="4" t="str">
        <f t="shared" si="0"/>
        <v>0973900764</v>
      </c>
      <c r="B31" s="5">
        <v>29</v>
      </c>
      <c r="C31" s="6">
        <v>31261570435</v>
      </c>
      <c r="D31" s="7" t="s">
        <v>2495</v>
      </c>
      <c r="E31" s="8" t="s">
        <v>850</v>
      </c>
      <c r="F31" s="9">
        <v>7380107</v>
      </c>
      <c r="G31" s="12" t="s">
        <v>2496</v>
      </c>
      <c r="H31" t="s">
        <v>2497</v>
      </c>
      <c r="I31" t="s">
        <v>2495</v>
      </c>
      <c r="J31" t="s">
        <v>2498</v>
      </c>
      <c r="K31" t="s">
        <v>2499</v>
      </c>
      <c r="L31" t="s">
        <v>850</v>
      </c>
      <c r="M31" t="s">
        <v>2373</v>
      </c>
    </row>
    <row r="32" spans="1:13" ht="16.5" x14ac:dyDescent="0.25">
      <c r="A32" s="4" t="str">
        <f t="shared" si="0"/>
        <v>0393309526</v>
      </c>
      <c r="B32" s="5">
        <v>30</v>
      </c>
      <c r="C32" s="6">
        <v>31261570436</v>
      </c>
      <c r="D32" s="7" t="s">
        <v>2500</v>
      </c>
      <c r="E32" s="11" t="s">
        <v>2501</v>
      </c>
      <c r="F32" s="9">
        <v>7380107</v>
      </c>
      <c r="G32" s="12" t="s">
        <v>2496</v>
      </c>
      <c r="H32" t="s">
        <v>2502</v>
      </c>
      <c r="I32" t="s">
        <v>2500</v>
      </c>
      <c r="J32" t="s">
        <v>2503</v>
      </c>
      <c r="K32" t="s">
        <v>2504</v>
      </c>
      <c r="L32" t="s">
        <v>2501</v>
      </c>
      <c r="M32" t="s">
        <v>2373</v>
      </c>
    </row>
    <row r="33" spans="1:13" ht="18.75" x14ac:dyDescent="0.3">
      <c r="A33" s="4" t="str">
        <f t="shared" si="0"/>
        <v>0325243150</v>
      </c>
      <c r="B33" s="5">
        <v>31</v>
      </c>
      <c r="C33" s="6">
        <v>31261570437</v>
      </c>
      <c r="D33" s="13" t="s">
        <v>2505</v>
      </c>
      <c r="E33" s="11" t="s">
        <v>1468</v>
      </c>
      <c r="F33" s="9">
        <v>7340122</v>
      </c>
      <c r="G33" s="9" t="s">
        <v>2506</v>
      </c>
      <c r="H33" t="s">
        <v>2507</v>
      </c>
      <c r="I33" t="s">
        <v>2508</v>
      </c>
      <c r="J33" t="s">
        <v>2509</v>
      </c>
      <c r="K33" t="s">
        <v>2510</v>
      </c>
      <c r="L33" t="s">
        <v>1468</v>
      </c>
      <c r="M33" t="s">
        <v>2373</v>
      </c>
    </row>
    <row r="34" spans="1:13" ht="18.75" x14ac:dyDescent="0.3">
      <c r="A34" s="4" t="str">
        <f t="shared" si="0"/>
        <v>0332488869</v>
      </c>
      <c r="B34" s="5">
        <v>32</v>
      </c>
      <c r="C34" s="6">
        <v>31261570438</v>
      </c>
      <c r="D34" s="13" t="s">
        <v>2511</v>
      </c>
      <c r="E34" s="11" t="s">
        <v>2512</v>
      </c>
      <c r="F34" s="16">
        <v>7340101</v>
      </c>
      <c r="G34" s="12" t="s">
        <v>307</v>
      </c>
      <c r="H34" t="s">
        <v>2513</v>
      </c>
      <c r="I34" t="s">
        <v>2511</v>
      </c>
      <c r="J34" t="s">
        <v>2514</v>
      </c>
      <c r="K34" t="s">
        <v>2515</v>
      </c>
      <c r="L34" t="s">
        <v>2512</v>
      </c>
      <c r="M34" t="s">
        <v>2373</v>
      </c>
    </row>
    <row r="35" spans="1:13" ht="16.5" x14ac:dyDescent="0.25">
      <c r="A35" s="4" t="str">
        <f t="shared" si="0"/>
        <v>0763307374</v>
      </c>
      <c r="B35" s="5">
        <v>33</v>
      </c>
      <c r="C35" s="6">
        <v>31261570439</v>
      </c>
      <c r="D35" s="7" t="s">
        <v>2516</v>
      </c>
      <c r="E35" s="8" t="s">
        <v>454</v>
      </c>
      <c r="F35" s="9">
        <v>7340115</v>
      </c>
      <c r="G35" s="9" t="s">
        <v>311</v>
      </c>
      <c r="H35" t="s">
        <v>2517</v>
      </c>
      <c r="I35" t="s">
        <v>2516</v>
      </c>
      <c r="J35" t="s">
        <v>2518</v>
      </c>
      <c r="K35" t="s">
        <v>2519</v>
      </c>
      <c r="L35" t="s">
        <v>454</v>
      </c>
      <c r="M35" t="s">
        <v>2373</v>
      </c>
    </row>
    <row r="36" spans="1:13" ht="18.75" x14ac:dyDescent="0.3">
      <c r="A36" s="4" t="str">
        <f t="shared" si="0"/>
        <v>0395625080</v>
      </c>
      <c r="B36" s="5">
        <v>34</v>
      </c>
      <c r="C36" s="6">
        <v>31261570440</v>
      </c>
      <c r="D36" s="13" t="s">
        <v>2520</v>
      </c>
      <c r="E36" s="11" t="s">
        <v>679</v>
      </c>
      <c r="F36" s="9">
        <v>7340115</v>
      </c>
      <c r="G36" s="15" t="s">
        <v>311</v>
      </c>
      <c r="H36" t="s">
        <v>2521</v>
      </c>
      <c r="I36" t="s">
        <v>2520</v>
      </c>
      <c r="J36" t="s">
        <v>678</v>
      </c>
      <c r="K36" t="s">
        <v>2522</v>
      </c>
      <c r="L36" t="s">
        <v>679</v>
      </c>
      <c r="M36" t="s">
        <v>2373</v>
      </c>
    </row>
    <row r="37" spans="1:13" ht="18.75" x14ac:dyDescent="0.3">
      <c r="A37" s="4" t="str">
        <f t="shared" si="0"/>
        <v>0901242703</v>
      </c>
      <c r="B37" s="5">
        <v>35</v>
      </c>
      <c r="C37" s="6">
        <v>31261570441</v>
      </c>
      <c r="D37" s="14" t="s">
        <v>2523</v>
      </c>
      <c r="E37" s="11" t="s">
        <v>1759</v>
      </c>
      <c r="F37" s="9">
        <v>7340115</v>
      </c>
      <c r="G37" s="12" t="s">
        <v>311</v>
      </c>
      <c r="H37" t="s">
        <v>2524</v>
      </c>
      <c r="I37" t="s">
        <v>2523</v>
      </c>
      <c r="J37" t="s">
        <v>2525</v>
      </c>
      <c r="K37" t="s">
        <v>2526</v>
      </c>
      <c r="L37" t="s">
        <v>1759</v>
      </c>
      <c r="M37" t="s">
        <v>2373</v>
      </c>
    </row>
    <row r="38" spans="1:13" ht="18.75" x14ac:dyDescent="0.3">
      <c r="A38" s="4" t="str">
        <f t="shared" si="0"/>
        <v>0817680847</v>
      </c>
      <c r="B38" s="5">
        <v>36</v>
      </c>
      <c r="C38" s="6">
        <v>31261570442</v>
      </c>
      <c r="D38" s="14" t="s">
        <v>2527</v>
      </c>
      <c r="E38" s="11" t="s">
        <v>2528</v>
      </c>
      <c r="F38" s="9">
        <v>7340115</v>
      </c>
      <c r="G38" s="12" t="s">
        <v>311</v>
      </c>
      <c r="H38" t="s">
        <v>2529</v>
      </c>
      <c r="I38" t="s">
        <v>2530</v>
      </c>
      <c r="J38" t="s">
        <v>2531</v>
      </c>
      <c r="K38" t="s">
        <v>2532</v>
      </c>
      <c r="L38" t="s">
        <v>2528</v>
      </c>
      <c r="M38" t="s">
        <v>2373</v>
      </c>
    </row>
    <row r="39" spans="1:13" ht="18.75" x14ac:dyDescent="0.3">
      <c r="A39" s="4" t="str">
        <f t="shared" si="0"/>
        <v>0792518575</v>
      </c>
      <c r="B39" s="5">
        <v>37</v>
      </c>
      <c r="C39" s="6">
        <v>31261570443</v>
      </c>
      <c r="D39" s="14" t="s">
        <v>2533</v>
      </c>
      <c r="E39" s="11" t="s">
        <v>1593</v>
      </c>
      <c r="F39" s="9">
        <v>7340115</v>
      </c>
      <c r="G39" s="12" t="s">
        <v>311</v>
      </c>
      <c r="H39" t="s">
        <v>2534</v>
      </c>
      <c r="I39" t="s">
        <v>2533</v>
      </c>
      <c r="J39" t="s">
        <v>2535</v>
      </c>
      <c r="K39" t="s">
        <v>2536</v>
      </c>
      <c r="L39" t="s">
        <v>1593</v>
      </c>
      <c r="M39" t="s">
        <v>2373</v>
      </c>
    </row>
    <row r="40" spans="1:13" ht="18.75" x14ac:dyDescent="0.3">
      <c r="A40" s="4" t="str">
        <f t="shared" si="0"/>
        <v>0777129981</v>
      </c>
      <c r="B40" s="5">
        <v>38</v>
      </c>
      <c r="C40" s="6">
        <v>31261570444</v>
      </c>
      <c r="D40" s="14" t="s">
        <v>2537</v>
      </c>
      <c r="E40" s="11" t="s">
        <v>720</v>
      </c>
      <c r="F40" s="9">
        <v>7340115</v>
      </c>
      <c r="G40" s="12" t="s">
        <v>311</v>
      </c>
      <c r="H40" t="s">
        <v>2538</v>
      </c>
      <c r="I40" t="s">
        <v>2539</v>
      </c>
      <c r="J40" t="s">
        <v>2540</v>
      </c>
      <c r="K40" t="s">
        <v>2541</v>
      </c>
      <c r="L40" t="s">
        <v>720</v>
      </c>
      <c r="M40" t="s">
        <v>2373</v>
      </c>
    </row>
    <row r="41" spans="1:13" ht="18.75" x14ac:dyDescent="0.3">
      <c r="A41" s="4" t="str">
        <f t="shared" si="0"/>
        <v>0816794748</v>
      </c>
      <c r="B41" s="5">
        <v>39</v>
      </c>
      <c r="C41" s="6">
        <v>31261570445</v>
      </c>
      <c r="D41" s="13" t="s">
        <v>2542</v>
      </c>
      <c r="E41" s="11" t="s">
        <v>2543</v>
      </c>
      <c r="F41" s="9">
        <v>7810201</v>
      </c>
      <c r="G41" s="15" t="s">
        <v>609</v>
      </c>
      <c r="H41" t="s">
        <v>2544</v>
      </c>
      <c r="I41" t="s">
        <v>2545</v>
      </c>
      <c r="J41" t="s">
        <v>2546</v>
      </c>
      <c r="K41" t="s">
        <v>2547</v>
      </c>
      <c r="L41" t="s">
        <v>2543</v>
      </c>
      <c r="M41" t="s">
        <v>2373</v>
      </c>
    </row>
    <row r="42" spans="1:13" ht="16.5" x14ac:dyDescent="0.25">
      <c r="A42" s="4" t="str">
        <f t="shared" si="0"/>
        <v>0702900402</v>
      </c>
      <c r="B42" s="5">
        <v>40</v>
      </c>
      <c r="C42" s="6">
        <v>31261570446</v>
      </c>
      <c r="D42" s="7" t="s">
        <v>2548</v>
      </c>
      <c r="E42" s="11" t="s">
        <v>2549</v>
      </c>
      <c r="F42" s="9">
        <v>734020101</v>
      </c>
      <c r="G42" s="9" t="s">
        <v>527</v>
      </c>
      <c r="H42" t="s">
        <v>2550</v>
      </c>
      <c r="I42" t="s">
        <v>2548</v>
      </c>
      <c r="J42" t="s">
        <v>2551</v>
      </c>
      <c r="K42" t="s">
        <v>2552</v>
      </c>
      <c r="L42" t="s">
        <v>2549</v>
      </c>
      <c r="M42" t="s">
        <v>2373</v>
      </c>
    </row>
    <row r="43" spans="1:13" ht="18.75" x14ac:dyDescent="0.3">
      <c r="A43" s="4" t="str">
        <f t="shared" si="0"/>
        <v>0933026760</v>
      </c>
      <c r="B43" s="5">
        <v>41</v>
      </c>
      <c r="C43" s="6">
        <v>31261570447</v>
      </c>
      <c r="D43" s="13" t="s">
        <v>2553</v>
      </c>
      <c r="E43" s="11" t="s">
        <v>818</v>
      </c>
      <c r="F43" s="9">
        <v>734020101</v>
      </c>
      <c r="G43" s="15" t="s">
        <v>527</v>
      </c>
      <c r="H43" t="s">
        <v>2554</v>
      </c>
      <c r="I43" t="s">
        <v>2553</v>
      </c>
      <c r="J43" t="s">
        <v>2555</v>
      </c>
      <c r="K43" t="s">
        <v>2556</v>
      </c>
      <c r="L43" t="s">
        <v>818</v>
      </c>
      <c r="M43" t="s">
        <v>2373</v>
      </c>
    </row>
    <row r="44" spans="1:13" ht="18.75" x14ac:dyDescent="0.3">
      <c r="A44" s="4" t="str">
        <f t="shared" si="0"/>
        <v>0332670210</v>
      </c>
      <c r="B44" s="5">
        <v>42</v>
      </c>
      <c r="C44" s="6">
        <v>31261570448</v>
      </c>
      <c r="D44" s="13" t="s">
        <v>2557</v>
      </c>
      <c r="E44" s="11" t="s">
        <v>514</v>
      </c>
      <c r="F44" s="9">
        <v>734020101</v>
      </c>
      <c r="G44" s="9" t="s">
        <v>352</v>
      </c>
      <c r="H44" t="s">
        <v>2558</v>
      </c>
      <c r="I44" t="s">
        <v>2557</v>
      </c>
      <c r="J44" t="s">
        <v>2559</v>
      </c>
      <c r="K44" t="s">
        <v>2560</v>
      </c>
      <c r="L44" t="s">
        <v>514</v>
      </c>
      <c r="M44" t="s">
        <v>2373</v>
      </c>
    </row>
    <row r="45" spans="1:13" ht="18.75" x14ac:dyDescent="0.3">
      <c r="A45" s="4" t="str">
        <f t="shared" si="0"/>
        <v>0332197153</v>
      </c>
      <c r="B45" s="5">
        <v>43</v>
      </c>
      <c r="C45" s="6">
        <v>31261570449</v>
      </c>
      <c r="D45" s="13" t="s">
        <v>2561</v>
      </c>
      <c r="E45" s="11" t="s">
        <v>2562</v>
      </c>
      <c r="F45" s="9">
        <v>734020101</v>
      </c>
      <c r="G45" s="15" t="s">
        <v>527</v>
      </c>
      <c r="H45" t="s">
        <v>2563</v>
      </c>
      <c r="I45" t="s">
        <v>2561</v>
      </c>
      <c r="J45" t="s">
        <v>2564</v>
      </c>
      <c r="K45" t="s">
        <v>2565</v>
      </c>
      <c r="L45" t="s">
        <v>2562</v>
      </c>
      <c r="M45" t="s">
        <v>2373</v>
      </c>
    </row>
    <row r="46" spans="1:13" ht="18.75" x14ac:dyDescent="0.3">
      <c r="A46" s="4" t="str">
        <f t="shared" si="0"/>
        <v>0376435793</v>
      </c>
      <c r="B46" s="5">
        <v>44</v>
      </c>
      <c r="C46" s="6">
        <v>31261570450</v>
      </c>
      <c r="D46" s="13" t="s">
        <v>2566</v>
      </c>
      <c r="E46" s="11" t="s">
        <v>1623</v>
      </c>
      <c r="F46" s="9">
        <v>734020101</v>
      </c>
      <c r="G46" s="15" t="s">
        <v>527</v>
      </c>
      <c r="H46" t="s">
        <v>2567</v>
      </c>
      <c r="I46" t="s">
        <v>2566</v>
      </c>
      <c r="J46" t="s">
        <v>2568</v>
      </c>
      <c r="K46" t="s">
        <v>2569</v>
      </c>
      <c r="L46" t="s">
        <v>1623</v>
      </c>
      <c r="M46" t="s">
        <v>2373</v>
      </c>
    </row>
    <row r="47" spans="1:13" ht="18.75" x14ac:dyDescent="0.3">
      <c r="A47" s="4" t="str">
        <f t="shared" si="0"/>
        <v>0913332461</v>
      </c>
      <c r="B47" s="5">
        <v>45</v>
      </c>
      <c r="C47" s="6">
        <v>31261570451</v>
      </c>
      <c r="D47" s="13" t="s">
        <v>2570</v>
      </c>
      <c r="E47" s="11" t="s">
        <v>1450</v>
      </c>
      <c r="F47" s="9">
        <v>734020101</v>
      </c>
      <c r="G47" s="15" t="s">
        <v>527</v>
      </c>
      <c r="H47" t="s">
        <v>2571</v>
      </c>
      <c r="I47" t="s">
        <v>2570</v>
      </c>
      <c r="J47" t="s">
        <v>2572</v>
      </c>
      <c r="K47" t="s">
        <v>2573</v>
      </c>
      <c r="L47" t="s">
        <v>1450</v>
      </c>
      <c r="M47" t="s">
        <v>2373</v>
      </c>
    </row>
    <row r="48" spans="1:13" ht="18.75" x14ac:dyDescent="0.3">
      <c r="A48" s="4" t="str">
        <f t="shared" si="0"/>
        <v>0929499740</v>
      </c>
      <c r="B48" s="5">
        <v>46</v>
      </c>
      <c r="C48" s="6">
        <v>31261570452</v>
      </c>
      <c r="D48" s="14" t="s">
        <v>2574</v>
      </c>
      <c r="E48" s="11" t="s">
        <v>1777</v>
      </c>
      <c r="F48" s="17">
        <v>7340101</v>
      </c>
      <c r="G48" s="12" t="s">
        <v>307</v>
      </c>
      <c r="H48" t="s">
        <v>2575</v>
      </c>
      <c r="I48" t="s">
        <v>2574</v>
      </c>
      <c r="J48" t="s">
        <v>2576</v>
      </c>
      <c r="K48" t="s">
        <v>2577</v>
      </c>
      <c r="L48" t="s">
        <v>1777</v>
      </c>
      <c r="M48" t="s">
        <v>2373</v>
      </c>
    </row>
    <row r="49" spans="1:13" ht="18.75" x14ac:dyDescent="0.3">
      <c r="A49" s="4" t="str">
        <f t="shared" si="0"/>
        <v>0845628142</v>
      </c>
      <c r="B49" s="5">
        <v>47</v>
      </c>
      <c r="C49" s="6">
        <v>31261570453</v>
      </c>
      <c r="D49" s="14" t="s">
        <v>2578</v>
      </c>
      <c r="E49" s="11" t="s">
        <v>1791</v>
      </c>
      <c r="F49" s="16">
        <v>7340101</v>
      </c>
      <c r="G49" s="12" t="s">
        <v>307</v>
      </c>
      <c r="H49" t="s">
        <v>2579</v>
      </c>
      <c r="I49" t="s">
        <v>2580</v>
      </c>
      <c r="J49" t="s">
        <v>2581</v>
      </c>
      <c r="K49" t="s">
        <v>2582</v>
      </c>
      <c r="L49" t="s">
        <v>1791</v>
      </c>
      <c r="M49" t="s">
        <v>2373</v>
      </c>
    </row>
    <row r="50" spans="1:13" ht="18.75" x14ac:dyDescent="0.3">
      <c r="A50" s="4" t="str">
        <f t="shared" si="0"/>
        <v>0779852871</v>
      </c>
      <c r="B50" s="5">
        <v>48</v>
      </c>
      <c r="C50" s="6">
        <v>31261570454</v>
      </c>
      <c r="D50" s="13" t="s">
        <v>2583</v>
      </c>
      <c r="E50" s="11" t="s">
        <v>2584</v>
      </c>
      <c r="F50" s="9">
        <v>7810201</v>
      </c>
      <c r="G50" s="15" t="s">
        <v>609</v>
      </c>
      <c r="H50" t="s">
        <v>2585</v>
      </c>
      <c r="I50" t="s">
        <v>2586</v>
      </c>
      <c r="J50" t="s">
        <v>2587</v>
      </c>
      <c r="K50" t="s">
        <v>2588</v>
      </c>
      <c r="L50" t="s">
        <v>2584</v>
      </c>
      <c r="M50" t="s">
        <v>2373</v>
      </c>
    </row>
    <row r="51" spans="1:13" ht="16.5" x14ac:dyDescent="0.25">
      <c r="A51" s="4" t="str">
        <f t="shared" si="0"/>
        <v>0385470713</v>
      </c>
      <c r="B51" s="5">
        <v>49</v>
      </c>
      <c r="C51" s="6">
        <v>31261570455</v>
      </c>
      <c r="D51" s="7" t="s">
        <v>2589</v>
      </c>
      <c r="E51" s="11" t="s">
        <v>2590</v>
      </c>
      <c r="F51" s="9">
        <v>7480107</v>
      </c>
      <c r="G51" s="18" t="s">
        <v>2591</v>
      </c>
      <c r="H51" t="s">
        <v>2592</v>
      </c>
      <c r="I51" t="s">
        <v>2589</v>
      </c>
      <c r="J51" t="s">
        <v>2593</v>
      </c>
      <c r="K51" t="s">
        <v>2594</v>
      </c>
      <c r="L51" t="s">
        <v>2590</v>
      </c>
      <c r="M51" t="s">
        <v>2373</v>
      </c>
    </row>
    <row r="52" spans="1:13" ht="16.5" x14ac:dyDescent="0.25">
      <c r="A52" s="4" t="str">
        <f t="shared" si="0"/>
        <v xml:space="preserve">0842428848 </v>
      </c>
      <c r="B52" s="5">
        <v>50</v>
      </c>
      <c r="C52" s="6">
        <v>31261570456</v>
      </c>
      <c r="D52" s="7" t="s">
        <v>2595</v>
      </c>
      <c r="E52" s="8" t="s">
        <v>2596</v>
      </c>
      <c r="F52" s="9">
        <v>7480107</v>
      </c>
      <c r="G52" s="12" t="s">
        <v>2597</v>
      </c>
      <c r="H52" t="s">
        <v>2598</v>
      </c>
      <c r="I52" t="s">
        <v>2595</v>
      </c>
      <c r="J52" t="s">
        <v>2599</v>
      </c>
      <c r="K52" t="s">
        <v>2600</v>
      </c>
      <c r="L52" t="s">
        <v>2596</v>
      </c>
      <c r="M52" t="s">
        <v>2373</v>
      </c>
    </row>
    <row r="53" spans="1:13" ht="18.75" x14ac:dyDescent="0.3">
      <c r="A53" s="4" t="str">
        <f t="shared" si="0"/>
        <v>0966321017</v>
      </c>
      <c r="B53" s="5">
        <v>51</v>
      </c>
      <c r="C53" s="6">
        <v>31261570457</v>
      </c>
      <c r="D53" s="14" t="s">
        <v>2601</v>
      </c>
      <c r="E53" s="11" t="s">
        <v>2602</v>
      </c>
      <c r="F53" s="9">
        <v>7480107</v>
      </c>
      <c r="G53" s="12" t="s">
        <v>2597</v>
      </c>
      <c r="H53" t="s">
        <v>2603</v>
      </c>
      <c r="I53" t="s">
        <v>2604</v>
      </c>
      <c r="J53" t="s">
        <v>2605</v>
      </c>
      <c r="K53" t="s">
        <v>2606</v>
      </c>
      <c r="L53" t="s">
        <v>2602</v>
      </c>
      <c r="M53" t="s">
        <v>2373</v>
      </c>
    </row>
    <row r="54" spans="1:13" ht="18.75" x14ac:dyDescent="0.3">
      <c r="A54" s="4" t="str">
        <f t="shared" si="0"/>
        <v>0706102665</v>
      </c>
      <c r="B54" s="5">
        <v>52</v>
      </c>
      <c r="C54" s="6">
        <v>31261570458</v>
      </c>
      <c r="D54" s="13" t="s">
        <v>2607</v>
      </c>
      <c r="E54" s="11" t="s">
        <v>2608</v>
      </c>
      <c r="F54" s="9">
        <v>7480107</v>
      </c>
      <c r="G54" s="12" t="s">
        <v>2597</v>
      </c>
      <c r="H54" t="s">
        <v>2609</v>
      </c>
      <c r="I54" t="s">
        <v>2607</v>
      </c>
      <c r="J54" t="s">
        <v>2610</v>
      </c>
      <c r="K54" t="s">
        <v>2611</v>
      </c>
      <c r="L54" t="s">
        <v>2608</v>
      </c>
      <c r="M54" t="s">
        <v>2373</v>
      </c>
    </row>
    <row r="55" spans="1:13" ht="18.75" x14ac:dyDescent="0.3">
      <c r="A55" s="4" t="str">
        <f t="shared" si="0"/>
        <v>0338283869</v>
      </c>
      <c r="B55" s="5">
        <v>53</v>
      </c>
      <c r="C55" s="6">
        <v>31261570459</v>
      </c>
      <c r="D55" s="14" t="s">
        <v>2612</v>
      </c>
      <c r="E55" s="11" t="s">
        <v>2613</v>
      </c>
      <c r="F55" s="9">
        <v>7480107</v>
      </c>
      <c r="G55" s="12" t="s">
        <v>2597</v>
      </c>
      <c r="H55" t="s">
        <v>2614</v>
      </c>
      <c r="I55" t="s">
        <v>2612</v>
      </c>
      <c r="J55" t="s">
        <v>2615</v>
      </c>
      <c r="K55" t="s">
        <v>2616</v>
      </c>
      <c r="L55" t="s">
        <v>2613</v>
      </c>
      <c r="M55" t="s">
        <v>2373</v>
      </c>
    </row>
    <row r="56" spans="1:13" ht="16.5" x14ac:dyDescent="0.25">
      <c r="A56" s="4" t="str">
        <f t="shared" si="0"/>
        <v>388512100</v>
      </c>
      <c r="B56" s="5">
        <v>54</v>
      </c>
      <c r="C56" s="6">
        <v>31261570460</v>
      </c>
      <c r="D56" s="7" t="s">
        <v>2617</v>
      </c>
      <c r="E56" s="8" t="s">
        <v>2618</v>
      </c>
      <c r="F56" s="9">
        <v>7480107</v>
      </c>
      <c r="G56" s="12" t="s">
        <v>2597</v>
      </c>
      <c r="H56" t="s">
        <v>2619</v>
      </c>
      <c r="I56" t="s">
        <v>2617</v>
      </c>
      <c r="J56" t="s">
        <v>2620</v>
      </c>
      <c r="K56" t="s">
        <v>2621</v>
      </c>
      <c r="L56" t="s">
        <v>2618</v>
      </c>
      <c r="M56" t="s">
        <v>2373</v>
      </c>
    </row>
    <row r="57" spans="1:13" ht="16.5" x14ac:dyDescent="0.25">
      <c r="A57" s="4" t="str">
        <f t="shared" si="0"/>
        <v>349068909</v>
      </c>
      <c r="B57" s="5">
        <v>55</v>
      </c>
      <c r="C57" s="6">
        <v>31261570461</v>
      </c>
      <c r="D57" s="7" t="s">
        <v>2622</v>
      </c>
      <c r="E57" s="8" t="s">
        <v>2623</v>
      </c>
      <c r="F57" s="9">
        <v>7480107</v>
      </c>
      <c r="G57" s="12" t="s">
        <v>2597</v>
      </c>
      <c r="H57" t="s">
        <v>2624</v>
      </c>
      <c r="I57" t="s">
        <v>2622</v>
      </c>
      <c r="J57" t="s">
        <v>2625</v>
      </c>
      <c r="K57" t="s">
        <v>2626</v>
      </c>
      <c r="L57" t="s">
        <v>2623</v>
      </c>
      <c r="M57" t="s">
        <v>2373</v>
      </c>
    </row>
    <row r="58" spans="1:13" ht="18.75" x14ac:dyDescent="0.3">
      <c r="A58" s="4" t="str">
        <f t="shared" si="0"/>
        <v>0377413356</v>
      </c>
      <c r="B58" s="5">
        <v>56</v>
      </c>
      <c r="C58" s="6">
        <v>31261570462</v>
      </c>
      <c r="D58" s="14" t="s">
        <v>2627</v>
      </c>
      <c r="E58" s="11" t="s">
        <v>1188</v>
      </c>
      <c r="F58" s="9">
        <v>7340301</v>
      </c>
      <c r="G58" s="10" t="s">
        <v>350</v>
      </c>
      <c r="H58" t="s">
        <v>2628</v>
      </c>
      <c r="I58" t="s">
        <v>2627</v>
      </c>
      <c r="J58" t="s">
        <v>2629</v>
      </c>
      <c r="K58" t="s">
        <v>2630</v>
      </c>
      <c r="L58" t="s">
        <v>1188</v>
      </c>
      <c r="M58" t="s">
        <v>2373</v>
      </c>
    </row>
    <row r="59" spans="1:13" ht="18.75" x14ac:dyDescent="0.3">
      <c r="A59" s="4" t="str">
        <f t="shared" si="0"/>
        <v>0822760225</v>
      </c>
      <c r="B59" s="5">
        <v>57</v>
      </c>
      <c r="C59" s="6">
        <v>31261570463</v>
      </c>
      <c r="D59" s="14" t="s">
        <v>2631</v>
      </c>
      <c r="E59" s="11" t="s">
        <v>869</v>
      </c>
      <c r="F59" s="9">
        <v>7480107</v>
      </c>
      <c r="G59" s="12" t="s">
        <v>2597</v>
      </c>
      <c r="H59" t="s">
        <v>2632</v>
      </c>
      <c r="I59" t="s">
        <v>2631</v>
      </c>
      <c r="J59" t="s">
        <v>868</v>
      </c>
      <c r="K59" t="s">
        <v>2633</v>
      </c>
      <c r="L59" t="s">
        <v>869</v>
      </c>
      <c r="M59" t="s">
        <v>2373</v>
      </c>
    </row>
    <row r="60" spans="1:13" ht="18.75" x14ac:dyDescent="0.3">
      <c r="A60" s="4" t="str">
        <f t="shared" si="0"/>
        <v>0363644359</v>
      </c>
      <c r="B60" s="5">
        <v>58</v>
      </c>
      <c r="C60" s="6">
        <v>31261570464</v>
      </c>
      <c r="D60" s="14" t="s">
        <v>2634</v>
      </c>
      <c r="E60" s="11" t="s">
        <v>1315</v>
      </c>
      <c r="F60" s="9">
        <v>7480107</v>
      </c>
      <c r="G60" s="12" t="s">
        <v>2597</v>
      </c>
      <c r="H60" t="s">
        <v>2635</v>
      </c>
      <c r="I60" t="s">
        <v>2636</v>
      </c>
      <c r="J60" t="s">
        <v>2637</v>
      </c>
      <c r="K60" t="s">
        <v>2638</v>
      </c>
      <c r="L60" t="s">
        <v>1315</v>
      </c>
      <c r="M60" t="s">
        <v>2373</v>
      </c>
    </row>
    <row r="61" spans="1:13" ht="16.5" x14ac:dyDescent="0.25">
      <c r="A61" s="4" t="str">
        <f t="shared" si="0"/>
        <v>0846226400</v>
      </c>
      <c r="B61" s="5">
        <v>59</v>
      </c>
      <c r="C61" s="6">
        <v>31261570465</v>
      </c>
      <c r="D61" s="7" t="s">
        <v>471</v>
      </c>
      <c r="E61" s="8" t="s">
        <v>474</v>
      </c>
      <c r="F61" s="9">
        <v>734020102</v>
      </c>
      <c r="G61" s="9" t="s">
        <v>352</v>
      </c>
      <c r="H61" t="s">
        <v>2639</v>
      </c>
      <c r="I61" t="s">
        <v>2640</v>
      </c>
      <c r="J61" t="s">
        <v>2641</v>
      </c>
      <c r="K61" t="s">
        <v>2642</v>
      </c>
      <c r="L61" t="s">
        <v>474</v>
      </c>
      <c r="M61" t="s">
        <v>2373</v>
      </c>
    </row>
    <row r="62" spans="1:13" ht="16.5" x14ac:dyDescent="0.25">
      <c r="A62" s="4" t="str">
        <f t="shared" si="0"/>
        <v>948965065</v>
      </c>
      <c r="B62" s="5">
        <v>60</v>
      </c>
      <c r="C62" s="6">
        <v>31261570466</v>
      </c>
      <c r="D62" s="7" t="s">
        <v>2643</v>
      </c>
      <c r="E62" s="8" t="s">
        <v>2644</v>
      </c>
      <c r="F62" s="9">
        <v>734020101</v>
      </c>
      <c r="G62" s="9" t="s">
        <v>352</v>
      </c>
      <c r="H62" t="s">
        <v>2645</v>
      </c>
      <c r="I62" t="s">
        <v>2643</v>
      </c>
      <c r="J62" t="s">
        <v>2646</v>
      </c>
      <c r="K62" t="s">
        <v>2647</v>
      </c>
      <c r="L62" t="s">
        <v>2644</v>
      </c>
      <c r="M62" t="s">
        <v>2373</v>
      </c>
    </row>
    <row r="63" spans="1:13" ht="18.75" x14ac:dyDescent="0.3">
      <c r="A63" s="4" t="str">
        <f t="shared" si="0"/>
        <v>0907370129</v>
      </c>
      <c r="B63" s="5">
        <v>61</v>
      </c>
      <c r="C63" s="6">
        <v>31261570467</v>
      </c>
      <c r="D63" s="13" t="s">
        <v>2648</v>
      </c>
      <c r="E63" s="11" t="s">
        <v>1259</v>
      </c>
      <c r="F63" s="9">
        <v>734020102</v>
      </c>
      <c r="G63" s="9" t="s">
        <v>352</v>
      </c>
      <c r="H63" t="s">
        <v>2649</v>
      </c>
      <c r="I63" t="s">
        <v>2648</v>
      </c>
      <c r="J63" t="s">
        <v>2650</v>
      </c>
      <c r="K63" t="s">
        <v>2651</v>
      </c>
      <c r="L63" t="s">
        <v>1259</v>
      </c>
      <c r="M63" t="s">
        <v>2373</v>
      </c>
    </row>
    <row r="64" spans="1:13" ht="18.75" x14ac:dyDescent="0.3">
      <c r="A64" s="4" t="str">
        <f t="shared" si="0"/>
        <v>0387889201</v>
      </c>
      <c r="B64" s="5">
        <v>62</v>
      </c>
      <c r="C64" s="6">
        <v>31261570468</v>
      </c>
      <c r="D64" s="14" t="s">
        <v>2652</v>
      </c>
      <c r="E64" s="11" t="s">
        <v>2653</v>
      </c>
      <c r="F64" s="9">
        <v>7340120</v>
      </c>
      <c r="G64" s="12" t="s">
        <v>309</v>
      </c>
      <c r="H64" t="s">
        <v>2654</v>
      </c>
      <c r="I64" t="s">
        <v>2652</v>
      </c>
      <c r="J64" t="s">
        <v>2655</v>
      </c>
      <c r="K64" t="s">
        <v>2656</v>
      </c>
      <c r="L64" t="s">
        <v>2653</v>
      </c>
      <c r="M64" t="s">
        <v>2373</v>
      </c>
    </row>
    <row r="65" spans="1:13" ht="18.75" x14ac:dyDescent="0.3">
      <c r="A65" s="4" t="str">
        <f t="shared" si="0"/>
        <v>0932466792</v>
      </c>
      <c r="B65" s="5">
        <v>63</v>
      </c>
      <c r="C65" s="6">
        <v>31261570469</v>
      </c>
      <c r="D65" s="14" t="s">
        <v>2657</v>
      </c>
      <c r="E65" s="11" t="s">
        <v>1366</v>
      </c>
      <c r="F65" s="9">
        <v>7340301</v>
      </c>
      <c r="G65" s="10" t="s">
        <v>350</v>
      </c>
      <c r="H65" t="s">
        <v>2658</v>
      </c>
      <c r="I65" t="s">
        <v>2659</v>
      </c>
      <c r="J65" t="s">
        <v>1365</v>
      </c>
      <c r="K65" t="s">
        <v>2660</v>
      </c>
      <c r="L65" t="s">
        <v>1366</v>
      </c>
      <c r="M65" t="s">
        <v>2373</v>
      </c>
    </row>
    <row r="66" spans="1:13" ht="18.75" x14ac:dyDescent="0.3">
      <c r="A66" s="4" t="str">
        <f t="shared" si="0"/>
        <v>0765945936</v>
      </c>
      <c r="B66" s="5">
        <v>64</v>
      </c>
      <c r="C66" s="6">
        <v>31261570470</v>
      </c>
      <c r="D66" s="14" t="s">
        <v>2661</v>
      </c>
      <c r="E66" s="8" t="s">
        <v>1128</v>
      </c>
      <c r="F66" s="9">
        <v>734020102</v>
      </c>
      <c r="G66" s="9" t="s">
        <v>352</v>
      </c>
      <c r="H66" t="s">
        <v>2662</v>
      </c>
      <c r="I66" t="s">
        <v>2661</v>
      </c>
      <c r="J66" t="s">
        <v>2663</v>
      </c>
      <c r="K66" t="s">
        <v>2664</v>
      </c>
      <c r="L66" t="s">
        <v>1128</v>
      </c>
      <c r="M66" t="s">
        <v>2373</v>
      </c>
    </row>
    <row r="67" spans="1:13" ht="16.5" x14ac:dyDescent="0.25">
      <c r="A67" s="4" t="str">
        <f t="shared" si="0"/>
        <v>079 2392660</v>
      </c>
      <c r="B67" s="5">
        <v>65</v>
      </c>
      <c r="C67" s="6">
        <v>31261570471</v>
      </c>
      <c r="D67" s="7" t="s">
        <v>2665</v>
      </c>
      <c r="E67" s="8" t="s">
        <v>2666</v>
      </c>
      <c r="F67" s="9">
        <v>7620114</v>
      </c>
      <c r="G67" s="12" t="s">
        <v>2418</v>
      </c>
      <c r="H67" t="s">
        <v>2667</v>
      </c>
      <c r="I67" t="s">
        <v>2665</v>
      </c>
      <c r="J67" t="s">
        <v>2668</v>
      </c>
      <c r="K67" t="s">
        <v>2669</v>
      </c>
      <c r="L67" t="s">
        <v>2666</v>
      </c>
      <c r="M67" t="s">
        <v>2373</v>
      </c>
    </row>
    <row r="68" spans="1:13" ht="18.75" x14ac:dyDescent="0.3">
      <c r="A68" s="4" t="str">
        <f t="shared" ref="A68:A131" si="1">L68</f>
        <v>0772168769</v>
      </c>
      <c r="B68" s="5">
        <v>66</v>
      </c>
      <c r="C68" s="6">
        <v>31261570472</v>
      </c>
      <c r="D68" s="13" t="s">
        <v>2670</v>
      </c>
      <c r="E68" s="11" t="s">
        <v>997</v>
      </c>
      <c r="F68" s="9">
        <v>734020103</v>
      </c>
      <c r="G68" s="15" t="s">
        <v>611</v>
      </c>
      <c r="H68" t="s">
        <v>2671</v>
      </c>
      <c r="I68" t="s">
        <v>2670</v>
      </c>
      <c r="J68" t="s">
        <v>2672</v>
      </c>
      <c r="K68" t="s">
        <v>2673</v>
      </c>
      <c r="L68" t="s">
        <v>997</v>
      </c>
      <c r="M68" t="s">
        <v>2373</v>
      </c>
    </row>
    <row r="69" spans="1:13" ht="18.75" x14ac:dyDescent="0.3">
      <c r="A69" s="4" t="str">
        <f t="shared" si="1"/>
        <v>0397506503</v>
      </c>
      <c r="B69" s="5">
        <v>67</v>
      </c>
      <c r="C69" s="6">
        <v>31261570473</v>
      </c>
      <c r="D69" s="13" t="s">
        <v>2674</v>
      </c>
      <c r="E69" s="11" t="s">
        <v>2675</v>
      </c>
      <c r="F69" s="9">
        <v>734020103</v>
      </c>
      <c r="G69" s="15" t="s">
        <v>611</v>
      </c>
      <c r="H69" t="s">
        <v>2676</v>
      </c>
      <c r="I69" t="s">
        <v>2674</v>
      </c>
      <c r="J69" t="s">
        <v>2677</v>
      </c>
      <c r="K69" t="s">
        <v>2678</v>
      </c>
      <c r="L69" t="s">
        <v>2675</v>
      </c>
      <c r="M69" t="s">
        <v>2373</v>
      </c>
    </row>
    <row r="70" spans="1:13" ht="18.75" x14ac:dyDescent="0.3">
      <c r="A70" s="4" t="str">
        <f t="shared" si="1"/>
        <v>038 6703475</v>
      </c>
      <c r="B70" s="5">
        <v>68</v>
      </c>
      <c r="C70" s="6">
        <v>31261570474</v>
      </c>
      <c r="D70" s="19" t="s">
        <v>2679</v>
      </c>
      <c r="E70" s="20" t="s">
        <v>2680</v>
      </c>
      <c r="F70" s="9">
        <v>734020103</v>
      </c>
      <c r="G70" s="15" t="s">
        <v>611</v>
      </c>
      <c r="H70" t="s">
        <v>2681</v>
      </c>
      <c r="I70" t="s">
        <v>2679</v>
      </c>
      <c r="J70" t="s">
        <v>2682</v>
      </c>
      <c r="K70" t="s">
        <v>2683</v>
      </c>
      <c r="L70" t="s">
        <v>2680</v>
      </c>
      <c r="M70" t="s">
        <v>2373</v>
      </c>
    </row>
    <row r="71" spans="1:13" ht="18.75" x14ac:dyDescent="0.3">
      <c r="A71" s="4" t="str">
        <f t="shared" si="1"/>
        <v>0919969394</v>
      </c>
      <c r="B71" s="5">
        <v>69</v>
      </c>
      <c r="C71" s="6">
        <v>31261570475</v>
      </c>
      <c r="D71" s="21" t="s">
        <v>2684</v>
      </c>
      <c r="E71" s="22" t="s">
        <v>803</v>
      </c>
      <c r="F71" s="9">
        <v>7340120</v>
      </c>
      <c r="G71" s="12" t="s">
        <v>309</v>
      </c>
      <c r="H71" t="s">
        <v>2685</v>
      </c>
      <c r="I71" t="s">
        <v>2684</v>
      </c>
      <c r="J71" t="s">
        <v>2686</v>
      </c>
      <c r="K71" t="s">
        <v>2687</v>
      </c>
      <c r="L71" t="s">
        <v>803</v>
      </c>
      <c r="M71" t="s">
        <v>2373</v>
      </c>
    </row>
    <row r="72" spans="1:13" ht="16.5" x14ac:dyDescent="0.25">
      <c r="A72" s="4" t="str">
        <f t="shared" si="1"/>
        <v>355587517</v>
      </c>
      <c r="B72" s="5">
        <v>70</v>
      </c>
      <c r="C72" s="6">
        <v>31261570476</v>
      </c>
      <c r="D72" s="7" t="s">
        <v>2688</v>
      </c>
      <c r="E72" s="8" t="s">
        <v>2689</v>
      </c>
      <c r="F72" s="9">
        <v>7340122</v>
      </c>
      <c r="G72" s="9" t="s">
        <v>445</v>
      </c>
      <c r="H72" t="s">
        <v>2690</v>
      </c>
      <c r="I72" t="s">
        <v>2688</v>
      </c>
      <c r="J72" t="s">
        <v>2691</v>
      </c>
      <c r="K72" t="s">
        <v>2692</v>
      </c>
      <c r="L72" t="s">
        <v>2689</v>
      </c>
      <c r="M72" t="s">
        <v>2373</v>
      </c>
    </row>
    <row r="73" spans="1:13" ht="16.5" x14ac:dyDescent="0.25">
      <c r="A73" s="4" t="str">
        <f t="shared" si="1"/>
        <v>0779442965</v>
      </c>
      <c r="B73" s="5">
        <v>71</v>
      </c>
      <c r="C73" s="6">
        <v>31261570477</v>
      </c>
      <c r="D73" s="7" t="s">
        <v>2693</v>
      </c>
      <c r="E73" s="8" t="s">
        <v>1025</v>
      </c>
      <c r="F73" s="9">
        <v>7340122</v>
      </c>
      <c r="G73" s="9" t="s">
        <v>2506</v>
      </c>
      <c r="H73" t="s">
        <v>2694</v>
      </c>
      <c r="I73" t="s">
        <v>2693</v>
      </c>
      <c r="J73" t="s">
        <v>2695</v>
      </c>
      <c r="K73" t="s">
        <v>2696</v>
      </c>
      <c r="L73" t="s">
        <v>1025</v>
      </c>
      <c r="M73" t="s">
        <v>2373</v>
      </c>
    </row>
    <row r="74" spans="1:13" ht="16.5" x14ac:dyDescent="0.25">
      <c r="A74" s="4" t="str">
        <f t="shared" si="1"/>
        <v>937640023</v>
      </c>
      <c r="B74" s="5">
        <v>72</v>
      </c>
      <c r="C74" s="6">
        <v>31261570478</v>
      </c>
      <c r="D74" s="7" t="s">
        <v>2697</v>
      </c>
      <c r="E74" s="8" t="s">
        <v>2698</v>
      </c>
      <c r="F74" s="9">
        <v>7340122</v>
      </c>
      <c r="G74" s="9" t="s">
        <v>2506</v>
      </c>
      <c r="H74" t="s">
        <v>2699</v>
      </c>
      <c r="I74" t="s">
        <v>2697</v>
      </c>
      <c r="J74" t="s">
        <v>2700</v>
      </c>
      <c r="K74" t="s">
        <v>2701</v>
      </c>
      <c r="L74" t="s">
        <v>2698</v>
      </c>
      <c r="M74" t="s">
        <v>2373</v>
      </c>
    </row>
    <row r="75" spans="1:13" ht="16.5" x14ac:dyDescent="0.25">
      <c r="A75" s="4" t="str">
        <f t="shared" si="1"/>
        <v>795926478</v>
      </c>
      <c r="B75" s="5">
        <v>73</v>
      </c>
      <c r="C75" s="6">
        <v>31261570479</v>
      </c>
      <c r="D75" s="7" t="s">
        <v>2702</v>
      </c>
      <c r="E75" s="8" t="s">
        <v>2703</v>
      </c>
      <c r="F75" s="9">
        <v>7220201</v>
      </c>
      <c r="G75" s="9" t="s">
        <v>333</v>
      </c>
      <c r="H75" t="s">
        <v>2704</v>
      </c>
      <c r="I75" t="s">
        <v>2702</v>
      </c>
      <c r="J75" t="s">
        <v>2705</v>
      </c>
      <c r="K75" t="s">
        <v>2706</v>
      </c>
      <c r="L75" t="s">
        <v>2703</v>
      </c>
      <c r="M75" t="s">
        <v>2373</v>
      </c>
    </row>
    <row r="76" spans="1:13" ht="16.5" x14ac:dyDescent="0.25">
      <c r="A76" s="4" t="str">
        <f t="shared" si="1"/>
        <v>797280837</v>
      </c>
      <c r="B76" s="5">
        <v>74</v>
      </c>
      <c r="C76" s="6">
        <v>31261570480</v>
      </c>
      <c r="D76" s="7" t="s">
        <v>2707</v>
      </c>
      <c r="E76" s="8" t="s">
        <v>2708</v>
      </c>
      <c r="F76" s="9">
        <v>7220201</v>
      </c>
      <c r="G76" s="9" t="s">
        <v>333</v>
      </c>
      <c r="H76" t="s">
        <v>2709</v>
      </c>
      <c r="I76" t="s">
        <v>2707</v>
      </c>
      <c r="J76" t="s">
        <v>2710</v>
      </c>
      <c r="K76" t="s">
        <v>2711</v>
      </c>
      <c r="L76" t="s">
        <v>2708</v>
      </c>
      <c r="M76" t="s">
        <v>2373</v>
      </c>
    </row>
    <row r="77" spans="1:13" ht="18.75" x14ac:dyDescent="0.3">
      <c r="A77" s="4" t="str">
        <f t="shared" si="1"/>
        <v>0859677669</v>
      </c>
      <c r="B77" s="5">
        <v>75</v>
      </c>
      <c r="C77" s="6">
        <v>31261570481</v>
      </c>
      <c r="D77" s="14" t="s">
        <v>2712</v>
      </c>
      <c r="E77" s="11" t="s">
        <v>1490</v>
      </c>
      <c r="F77" s="9">
        <v>7220201</v>
      </c>
      <c r="G77" s="9" t="s">
        <v>333</v>
      </c>
      <c r="H77" t="s">
        <v>2713</v>
      </c>
      <c r="I77" t="s">
        <v>2712</v>
      </c>
      <c r="J77" t="s">
        <v>1489</v>
      </c>
      <c r="K77" t="s">
        <v>2714</v>
      </c>
      <c r="L77" t="s">
        <v>1490</v>
      </c>
      <c r="M77" t="s">
        <v>2373</v>
      </c>
    </row>
    <row r="78" spans="1:13" ht="19.5" x14ac:dyDescent="0.3">
      <c r="A78" s="4" t="str">
        <f t="shared" si="1"/>
        <v>0962287654</v>
      </c>
      <c r="B78" s="5">
        <v>76</v>
      </c>
      <c r="C78" s="6">
        <v>31261570482</v>
      </c>
      <c r="D78" s="23" t="s">
        <v>2715</v>
      </c>
      <c r="E78" s="11" t="s">
        <v>1395</v>
      </c>
      <c r="F78" s="9">
        <v>7340301</v>
      </c>
      <c r="G78" s="10" t="s">
        <v>350</v>
      </c>
      <c r="H78" t="s">
        <v>2716</v>
      </c>
      <c r="I78" t="s">
        <v>2715</v>
      </c>
      <c r="J78" t="s">
        <v>2717</v>
      </c>
      <c r="K78" t="s">
        <v>2718</v>
      </c>
      <c r="L78" t="s">
        <v>1395</v>
      </c>
      <c r="M78" t="s">
        <v>2373</v>
      </c>
    </row>
    <row r="79" spans="1:13" ht="19.5" x14ac:dyDescent="0.3">
      <c r="A79" s="4" t="str">
        <f t="shared" si="1"/>
        <v>0367488378</v>
      </c>
      <c r="B79" s="5">
        <v>77</v>
      </c>
      <c r="C79" s="6">
        <v>31261570483</v>
      </c>
      <c r="D79" s="23" t="s">
        <v>2719</v>
      </c>
      <c r="E79" s="11" t="s">
        <v>2720</v>
      </c>
      <c r="F79" s="9">
        <v>7480107</v>
      </c>
      <c r="G79" s="12" t="s">
        <v>2597</v>
      </c>
      <c r="H79" t="s">
        <v>2721</v>
      </c>
      <c r="I79" t="s">
        <v>2719</v>
      </c>
      <c r="J79" t="s">
        <v>2722</v>
      </c>
      <c r="K79" t="s">
        <v>2723</v>
      </c>
      <c r="L79" t="s">
        <v>2720</v>
      </c>
      <c r="M79" t="s">
        <v>2373</v>
      </c>
    </row>
    <row r="80" spans="1:13" ht="18.75" x14ac:dyDescent="0.3">
      <c r="A80" s="4" t="str">
        <f t="shared" si="1"/>
        <v>0842750031</v>
      </c>
      <c r="B80" s="5">
        <v>78</v>
      </c>
      <c r="C80" s="6">
        <v>31261570484</v>
      </c>
      <c r="D80" s="14" t="s">
        <v>2724</v>
      </c>
      <c r="E80" s="11" t="s">
        <v>940</v>
      </c>
      <c r="F80" s="9">
        <v>7220201</v>
      </c>
      <c r="G80" s="9" t="s">
        <v>333</v>
      </c>
      <c r="H80" t="s">
        <v>2725</v>
      </c>
      <c r="I80" t="s">
        <v>2724</v>
      </c>
      <c r="J80" t="s">
        <v>2726</v>
      </c>
      <c r="K80" t="s">
        <v>2727</v>
      </c>
      <c r="L80" t="s">
        <v>940</v>
      </c>
      <c r="M80" t="s">
        <v>2373</v>
      </c>
    </row>
    <row r="81" spans="1:13" ht="19.5" x14ac:dyDescent="0.3">
      <c r="A81" s="4" t="str">
        <f t="shared" si="1"/>
        <v>0837843160</v>
      </c>
      <c r="B81" s="5">
        <v>79</v>
      </c>
      <c r="C81" s="6">
        <v>31261570485</v>
      </c>
      <c r="D81" s="23" t="s">
        <v>2728</v>
      </c>
      <c r="E81" s="11" t="s">
        <v>570</v>
      </c>
      <c r="F81" s="9">
        <v>7480107</v>
      </c>
      <c r="G81" s="12" t="s">
        <v>2597</v>
      </c>
      <c r="H81" t="s">
        <v>2729</v>
      </c>
      <c r="I81" t="s">
        <v>2730</v>
      </c>
      <c r="J81" t="s">
        <v>2731</v>
      </c>
      <c r="K81" t="s">
        <v>2732</v>
      </c>
      <c r="L81" t="s">
        <v>570</v>
      </c>
      <c r="M81" t="s">
        <v>2373</v>
      </c>
    </row>
    <row r="82" spans="1:13" ht="19.5" x14ac:dyDescent="0.3">
      <c r="A82" s="4" t="str">
        <f t="shared" si="1"/>
        <v>0855729839</v>
      </c>
      <c r="B82" s="5">
        <v>80</v>
      </c>
      <c r="C82" s="6">
        <v>31261570486</v>
      </c>
      <c r="D82" s="23" t="s">
        <v>2733</v>
      </c>
      <c r="E82" s="11" t="s">
        <v>2734</v>
      </c>
      <c r="F82" s="9">
        <v>7220201</v>
      </c>
      <c r="G82" s="9" t="s">
        <v>333</v>
      </c>
      <c r="H82" t="s">
        <v>2735</v>
      </c>
      <c r="I82" t="s">
        <v>2733</v>
      </c>
      <c r="J82" t="s">
        <v>2736</v>
      </c>
      <c r="K82" t="s">
        <v>2737</v>
      </c>
      <c r="L82" t="s">
        <v>2734</v>
      </c>
      <c r="M82" t="s">
        <v>2373</v>
      </c>
    </row>
    <row r="83" spans="1:13" ht="16.5" x14ac:dyDescent="0.25">
      <c r="A83" s="4" t="str">
        <f t="shared" si="1"/>
        <v>0337891696</v>
      </c>
      <c r="B83" s="5">
        <v>81</v>
      </c>
      <c r="C83" s="6">
        <v>31261570487</v>
      </c>
      <c r="D83" s="7" t="s">
        <v>2738</v>
      </c>
      <c r="E83" s="11" t="s">
        <v>1241</v>
      </c>
      <c r="F83" s="9">
        <v>7480201</v>
      </c>
      <c r="G83" s="12" t="s">
        <v>546</v>
      </c>
      <c r="H83" t="s">
        <v>2739</v>
      </c>
      <c r="I83" t="s">
        <v>2740</v>
      </c>
      <c r="J83" t="s">
        <v>2741</v>
      </c>
      <c r="K83" t="s">
        <v>2742</v>
      </c>
      <c r="L83" t="s">
        <v>1241</v>
      </c>
      <c r="M83" t="s">
        <v>2373</v>
      </c>
    </row>
    <row r="84" spans="1:13" ht="16.5" x14ac:dyDescent="0.25">
      <c r="A84" s="4" t="str">
        <f t="shared" si="1"/>
        <v>0327399812</v>
      </c>
      <c r="B84" s="5">
        <v>82</v>
      </c>
      <c r="C84" s="6">
        <v>31261570488</v>
      </c>
      <c r="D84" s="7" t="s">
        <v>2743</v>
      </c>
      <c r="E84" s="11" t="s">
        <v>1013</v>
      </c>
      <c r="F84" s="9">
        <v>7380107</v>
      </c>
      <c r="G84" s="9" t="s">
        <v>2496</v>
      </c>
      <c r="H84" t="s">
        <v>2744</v>
      </c>
      <c r="I84" t="s">
        <v>2743</v>
      </c>
      <c r="J84" t="s">
        <v>2745</v>
      </c>
      <c r="K84" t="s">
        <v>2746</v>
      </c>
      <c r="L84" t="s">
        <v>1013</v>
      </c>
      <c r="M84" t="s">
        <v>2373</v>
      </c>
    </row>
    <row r="85" spans="1:13" ht="16.5" x14ac:dyDescent="0.25">
      <c r="A85" s="4" t="str">
        <f t="shared" si="1"/>
        <v>0397288421</v>
      </c>
      <c r="B85" s="5">
        <v>83</v>
      </c>
      <c r="C85" s="6">
        <v>31261570489</v>
      </c>
      <c r="D85" s="7" t="s">
        <v>2747</v>
      </c>
      <c r="E85" s="11" t="s">
        <v>1065</v>
      </c>
      <c r="F85" s="9">
        <v>7340120</v>
      </c>
      <c r="G85" s="12" t="s">
        <v>309</v>
      </c>
      <c r="H85" t="s">
        <v>2748</v>
      </c>
      <c r="I85" t="s">
        <v>2747</v>
      </c>
      <c r="J85" t="s">
        <v>2749</v>
      </c>
      <c r="K85" t="s">
        <v>2750</v>
      </c>
      <c r="L85" t="s">
        <v>1065</v>
      </c>
      <c r="M85" t="s">
        <v>2373</v>
      </c>
    </row>
    <row r="86" spans="1:13" ht="16.5" x14ac:dyDescent="0.25">
      <c r="A86" s="4" t="str">
        <f t="shared" si="1"/>
        <v>0705796418</v>
      </c>
      <c r="B86" s="5">
        <v>84</v>
      </c>
      <c r="C86" s="6">
        <v>31261570490</v>
      </c>
      <c r="D86" s="7" t="s">
        <v>2751</v>
      </c>
      <c r="E86" s="11" t="s">
        <v>587</v>
      </c>
      <c r="F86" s="9">
        <v>7340122</v>
      </c>
      <c r="G86" s="9" t="s">
        <v>2506</v>
      </c>
      <c r="H86" t="s">
        <v>2752</v>
      </c>
      <c r="I86" t="s">
        <v>2751</v>
      </c>
      <c r="J86" t="s">
        <v>2753</v>
      </c>
      <c r="K86" t="s">
        <v>2754</v>
      </c>
      <c r="L86" t="s">
        <v>587</v>
      </c>
      <c r="M86" t="s">
        <v>2373</v>
      </c>
    </row>
    <row r="87" spans="1:13" ht="16.5" x14ac:dyDescent="0.25">
      <c r="A87" s="4" t="str">
        <f t="shared" si="1"/>
        <v>0942523547</v>
      </c>
      <c r="B87" s="5">
        <v>85</v>
      </c>
      <c r="C87" s="6">
        <v>31261570491</v>
      </c>
      <c r="D87" s="7" t="s">
        <v>2755</v>
      </c>
      <c r="E87" s="11" t="s">
        <v>909</v>
      </c>
      <c r="F87" s="9">
        <v>7340101</v>
      </c>
      <c r="G87" s="12" t="s">
        <v>307</v>
      </c>
      <c r="H87" t="s">
        <v>2756</v>
      </c>
      <c r="I87" t="s">
        <v>2755</v>
      </c>
      <c r="J87" t="s">
        <v>2757</v>
      </c>
      <c r="K87" t="s">
        <v>2758</v>
      </c>
      <c r="L87" t="s">
        <v>909</v>
      </c>
      <c r="M87" t="s">
        <v>2373</v>
      </c>
    </row>
    <row r="88" spans="1:13" ht="16.5" x14ac:dyDescent="0.25">
      <c r="A88" s="4" t="str">
        <f t="shared" si="1"/>
        <v>0939889906</v>
      </c>
      <c r="B88" s="5">
        <v>86</v>
      </c>
      <c r="C88" s="6">
        <v>31261570492</v>
      </c>
      <c r="D88" s="7" t="s">
        <v>898</v>
      </c>
      <c r="E88" s="11" t="s">
        <v>901</v>
      </c>
      <c r="F88" s="9">
        <v>7220201</v>
      </c>
      <c r="G88" s="12" t="s">
        <v>333</v>
      </c>
      <c r="H88" t="s">
        <v>2759</v>
      </c>
      <c r="I88" t="s">
        <v>2760</v>
      </c>
      <c r="J88" t="s">
        <v>2761</v>
      </c>
      <c r="K88" t="s">
        <v>2762</v>
      </c>
      <c r="L88" t="s">
        <v>901</v>
      </c>
      <c r="M88" t="s">
        <v>2373</v>
      </c>
    </row>
    <row r="89" spans="1:13" ht="18.75" x14ac:dyDescent="0.25">
      <c r="A89" s="4" t="str">
        <f t="shared" si="1"/>
        <v>0845696526</v>
      </c>
      <c r="B89" s="5">
        <v>87</v>
      </c>
      <c r="C89" s="6">
        <v>31261570493</v>
      </c>
      <c r="D89" s="24" t="s">
        <v>2763</v>
      </c>
      <c r="E89" s="25" t="s">
        <v>1271</v>
      </c>
      <c r="F89" s="9">
        <v>734020103</v>
      </c>
      <c r="G89" s="15" t="s">
        <v>611</v>
      </c>
      <c r="H89" t="s">
        <v>2764</v>
      </c>
      <c r="I89" t="s">
        <v>2763</v>
      </c>
      <c r="J89" t="s">
        <v>2765</v>
      </c>
      <c r="K89" t="s">
        <v>2766</v>
      </c>
      <c r="L89" t="s">
        <v>1271</v>
      </c>
      <c r="M89" t="s">
        <v>2373</v>
      </c>
    </row>
    <row r="90" spans="1:13" ht="16.5" x14ac:dyDescent="0.25">
      <c r="A90" s="4" t="str">
        <f t="shared" si="1"/>
        <v>0388842508</v>
      </c>
      <c r="B90" s="5">
        <v>88</v>
      </c>
      <c r="C90" s="6">
        <v>31261570494</v>
      </c>
      <c r="D90" s="7" t="s">
        <v>2767</v>
      </c>
      <c r="E90" s="11" t="s">
        <v>2768</v>
      </c>
      <c r="F90" s="9">
        <v>7340122</v>
      </c>
      <c r="G90" s="9" t="s">
        <v>2506</v>
      </c>
      <c r="H90" t="s">
        <v>2769</v>
      </c>
      <c r="I90" t="s">
        <v>2767</v>
      </c>
      <c r="J90" t="s">
        <v>2770</v>
      </c>
      <c r="K90" t="s">
        <v>2771</v>
      </c>
      <c r="L90" t="s">
        <v>2768</v>
      </c>
      <c r="M90" t="s">
        <v>2373</v>
      </c>
    </row>
    <row r="91" spans="1:13" ht="16.5" x14ac:dyDescent="0.25">
      <c r="A91" s="4" t="str">
        <f t="shared" si="1"/>
        <v>0932162940</v>
      </c>
      <c r="B91" s="5">
        <v>89</v>
      </c>
      <c r="C91" s="6">
        <v>31261570495</v>
      </c>
      <c r="D91" s="7" t="s">
        <v>2772</v>
      </c>
      <c r="E91" s="11" t="s">
        <v>2773</v>
      </c>
      <c r="F91" s="9">
        <v>7380107</v>
      </c>
      <c r="G91" s="12" t="s">
        <v>2496</v>
      </c>
      <c r="H91" t="s">
        <v>2774</v>
      </c>
      <c r="I91" t="s">
        <v>2775</v>
      </c>
      <c r="J91" t="s">
        <v>2776</v>
      </c>
      <c r="K91" t="s">
        <v>2777</v>
      </c>
      <c r="L91" t="s">
        <v>2773</v>
      </c>
      <c r="M91" t="s">
        <v>2373</v>
      </c>
    </row>
    <row r="92" spans="1:13" ht="19.5" x14ac:dyDescent="0.3">
      <c r="A92" s="4" t="str">
        <f t="shared" si="1"/>
        <v>0788894298</v>
      </c>
      <c r="B92" s="5">
        <v>90</v>
      </c>
      <c r="C92" s="6">
        <v>31261570496</v>
      </c>
      <c r="D92" s="23" t="s">
        <v>2778</v>
      </c>
      <c r="E92" s="11" t="s">
        <v>1173</v>
      </c>
      <c r="F92" s="9">
        <v>7340301</v>
      </c>
      <c r="G92" s="10" t="s">
        <v>350</v>
      </c>
      <c r="H92" t="s">
        <v>2779</v>
      </c>
      <c r="I92" t="s">
        <v>2780</v>
      </c>
      <c r="J92" t="s">
        <v>2781</v>
      </c>
      <c r="K92" t="s">
        <v>2782</v>
      </c>
      <c r="L92" t="s">
        <v>1173</v>
      </c>
      <c r="M92" t="s">
        <v>2373</v>
      </c>
    </row>
    <row r="93" spans="1:13" ht="16.5" x14ac:dyDescent="0.25">
      <c r="A93" s="4" t="str">
        <f t="shared" si="1"/>
        <v>0829639129</v>
      </c>
      <c r="B93" s="5">
        <v>91</v>
      </c>
      <c r="C93" s="6">
        <v>31261570497</v>
      </c>
      <c r="D93" s="7" t="s">
        <v>2783</v>
      </c>
      <c r="E93" s="11" t="s">
        <v>1712</v>
      </c>
      <c r="F93" s="9">
        <v>7480107</v>
      </c>
      <c r="G93" s="12" t="s">
        <v>2597</v>
      </c>
      <c r="H93" t="s">
        <v>2784</v>
      </c>
      <c r="I93" t="s">
        <v>2783</v>
      </c>
      <c r="J93" t="s">
        <v>2785</v>
      </c>
      <c r="K93" t="s">
        <v>2786</v>
      </c>
      <c r="L93" t="s">
        <v>1712</v>
      </c>
      <c r="M93" t="s">
        <v>2373</v>
      </c>
    </row>
    <row r="94" spans="1:13" ht="19.5" x14ac:dyDescent="0.3">
      <c r="A94" s="4" t="str">
        <f t="shared" si="1"/>
        <v>0943853915</v>
      </c>
      <c r="B94" s="5">
        <v>92</v>
      </c>
      <c r="C94" s="6">
        <v>31261570498</v>
      </c>
      <c r="D94" s="23" t="s">
        <v>2787</v>
      </c>
      <c r="E94" s="11" t="s">
        <v>362</v>
      </c>
      <c r="F94" s="9">
        <v>7620114</v>
      </c>
      <c r="G94" s="10" t="s">
        <v>373</v>
      </c>
      <c r="H94" t="s">
        <v>2788</v>
      </c>
      <c r="I94" t="s">
        <v>2787</v>
      </c>
      <c r="J94" t="s">
        <v>2789</v>
      </c>
      <c r="K94" t="s">
        <v>2790</v>
      </c>
      <c r="L94" t="s">
        <v>362</v>
      </c>
      <c r="M94" t="s">
        <v>2373</v>
      </c>
    </row>
    <row r="95" spans="1:13" ht="18.75" x14ac:dyDescent="0.25">
      <c r="A95" s="4" t="str">
        <f t="shared" si="1"/>
        <v>0326558049</v>
      </c>
      <c r="B95" s="5">
        <v>93</v>
      </c>
      <c r="C95" s="6">
        <v>31261570499</v>
      </c>
      <c r="D95" s="7" t="s">
        <v>2791</v>
      </c>
      <c r="E95" s="26" t="s">
        <v>2792</v>
      </c>
      <c r="F95" s="9">
        <v>734020103</v>
      </c>
      <c r="G95" s="15" t="s">
        <v>611</v>
      </c>
      <c r="H95" t="s">
        <v>2793</v>
      </c>
      <c r="I95" t="s">
        <v>2791</v>
      </c>
      <c r="J95" t="s">
        <v>2794</v>
      </c>
      <c r="K95" t="s">
        <v>2795</v>
      </c>
      <c r="L95" t="s">
        <v>2792</v>
      </c>
      <c r="M95" t="s">
        <v>2373</v>
      </c>
    </row>
    <row r="96" spans="1:13" ht="18.75" x14ac:dyDescent="0.25">
      <c r="A96" s="4" t="str">
        <f t="shared" si="1"/>
        <v>0939802304</v>
      </c>
      <c r="B96" s="5">
        <v>94</v>
      </c>
      <c r="C96" s="6">
        <v>31261570500</v>
      </c>
      <c r="D96" s="7" t="s">
        <v>2796</v>
      </c>
      <c r="E96" s="26" t="s">
        <v>2797</v>
      </c>
      <c r="F96" s="9">
        <v>734020101</v>
      </c>
      <c r="G96" s="15" t="s">
        <v>527</v>
      </c>
      <c r="H96" t="s">
        <v>2798</v>
      </c>
      <c r="I96" t="s">
        <v>2796</v>
      </c>
      <c r="J96" t="s">
        <v>2799</v>
      </c>
      <c r="K96" t="s">
        <v>2800</v>
      </c>
      <c r="L96" t="s">
        <v>2797</v>
      </c>
      <c r="M96" t="s">
        <v>2373</v>
      </c>
    </row>
    <row r="97" spans="1:13" ht="19.5" x14ac:dyDescent="0.3">
      <c r="A97" s="4" t="str">
        <f t="shared" si="1"/>
        <v>0776806873</v>
      </c>
      <c r="B97" s="5">
        <v>95</v>
      </c>
      <c r="C97" s="6">
        <v>31261570501</v>
      </c>
      <c r="D97" s="23" t="s">
        <v>2801</v>
      </c>
      <c r="E97" s="11" t="s">
        <v>340</v>
      </c>
      <c r="F97" s="9">
        <v>7340301</v>
      </c>
      <c r="G97" s="10" t="s">
        <v>350</v>
      </c>
      <c r="H97" t="s">
        <v>2802</v>
      </c>
      <c r="I97" t="s">
        <v>2801</v>
      </c>
      <c r="J97" t="s">
        <v>2803</v>
      </c>
      <c r="K97" t="s">
        <v>2804</v>
      </c>
      <c r="L97" t="s">
        <v>340</v>
      </c>
      <c r="M97" t="s">
        <v>2373</v>
      </c>
    </row>
    <row r="98" spans="1:13" ht="19.5" x14ac:dyDescent="0.3">
      <c r="A98" s="4" t="str">
        <f t="shared" si="1"/>
        <v>0962131313</v>
      </c>
      <c r="B98" s="5">
        <v>96</v>
      </c>
      <c r="C98" s="6">
        <v>31261570502</v>
      </c>
      <c r="D98" s="23" t="s">
        <v>2805</v>
      </c>
      <c r="E98" s="11" t="s">
        <v>2806</v>
      </c>
      <c r="F98" s="9">
        <v>7340120</v>
      </c>
      <c r="G98" s="10" t="s">
        <v>309</v>
      </c>
      <c r="H98" t="s">
        <v>2807</v>
      </c>
      <c r="I98" t="s">
        <v>2805</v>
      </c>
      <c r="J98" t="s">
        <v>2808</v>
      </c>
      <c r="K98" t="s">
        <v>2809</v>
      </c>
      <c r="L98" t="s">
        <v>2806</v>
      </c>
      <c r="M98" t="s">
        <v>2373</v>
      </c>
    </row>
    <row r="99" spans="1:13" ht="15.75" x14ac:dyDescent="0.25">
      <c r="A99" s="4" t="str">
        <f t="shared" si="1"/>
        <v>0918192011</v>
      </c>
      <c r="B99" s="5">
        <v>97</v>
      </c>
      <c r="C99" s="27">
        <v>31261570503</v>
      </c>
      <c r="D99" s="28" t="s">
        <v>2810</v>
      </c>
      <c r="E99" s="29" t="s">
        <v>1093</v>
      </c>
      <c r="F99" s="30">
        <v>7340122</v>
      </c>
      <c r="G99" s="31" t="s">
        <v>2506</v>
      </c>
      <c r="H99" t="s">
        <v>2811</v>
      </c>
      <c r="I99" t="s">
        <v>2810</v>
      </c>
      <c r="J99" t="s">
        <v>2812</v>
      </c>
      <c r="K99" t="s">
        <v>2813</v>
      </c>
      <c r="L99" s="49" t="s">
        <v>1093</v>
      </c>
      <c r="M99" t="s">
        <v>2373</v>
      </c>
    </row>
    <row r="100" spans="1:13" ht="15.75" x14ac:dyDescent="0.25">
      <c r="A100" s="4" t="str">
        <f t="shared" si="1"/>
        <v>0769712280</v>
      </c>
      <c r="B100" s="5">
        <v>98</v>
      </c>
      <c r="C100" s="27">
        <v>31261570504</v>
      </c>
      <c r="D100" s="28" t="s">
        <v>2814</v>
      </c>
      <c r="E100" s="29" t="s">
        <v>1432</v>
      </c>
      <c r="F100" s="30">
        <v>7340120</v>
      </c>
      <c r="G100" s="30" t="s">
        <v>309</v>
      </c>
      <c r="H100" t="s">
        <v>2815</v>
      </c>
      <c r="I100" t="s">
        <v>2814</v>
      </c>
      <c r="J100" t="s">
        <v>2816</v>
      </c>
      <c r="K100" t="s">
        <v>2817</v>
      </c>
      <c r="L100" s="49" t="s">
        <v>1432</v>
      </c>
      <c r="M100" t="s">
        <v>2373</v>
      </c>
    </row>
    <row r="101" spans="1:13" ht="15.75" x14ac:dyDescent="0.25">
      <c r="A101" s="4" t="str">
        <f t="shared" si="1"/>
        <v>0783759499</v>
      </c>
      <c r="B101" s="5">
        <v>99</v>
      </c>
      <c r="C101" s="27">
        <v>31261570505</v>
      </c>
      <c r="D101" s="28" t="s">
        <v>2818</v>
      </c>
      <c r="E101" s="29" t="s">
        <v>1108</v>
      </c>
      <c r="F101" s="30">
        <v>7340122</v>
      </c>
      <c r="G101" s="30" t="s">
        <v>2506</v>
      </c>
      <c r="H101" t="s">
        <v>2819</v>
      </c>
      <c r="I101" t="s">
        <v>2818</v>
      </c>
      <c r="J101" t="s">
        <v>2820</v>
      </c>
      <c r="K101" t="s">
        <v>2821</v>
      </c>
      <c r="L101" s="49" t="s">
        <v>1108</v>
      </c>
      <c r="M101" t="s">
        <v>2373</v>
      </c>
    </row>
    <row r="102" spans="1:13" ht="15.75" x14ac:dyDescent="0.25">
      <c r="A102" s="4" t="str">
        <f t="shared" si="1"/>
        <v xml:space="preserve">0357794136 </v>
      </c>
      <c r="B102" s="5">
        <v>100</v>
      </c>
      <c r="C102" s="27">
        <v>31261570506</v>
      </c>
      <c r="D102" s="28" t="s">
        <v>2822</v>
      </c>
      <c r="E102" s="32" t="s">
        <v>2823</v>
      </c>
      <c r="F102" s="30">
        <v>7340301</v>
      </c>
      <c r="G102" s="30" t="s">
        <v>350</v>
      </c>
      <c r="H102" t="s">
        <v>2824</v>
      </c>
      <c r="I102" t="s">
        <v>2822</v>
      </c>
      <c r="J102" t="s">
        <v>2825</v>
      </c>
      <c r="K102" t="s">
        <v>2826</v>
      </c>
      <c r="L102" s="49" t="s">
        <v>2823</v>
      </c>
      <c r="M102" t="s">
        <v>2373</v>
      </c>
    </row>
    <row r="103" spans="1:13" ht="15.75" x14ac:dyDescent="0.25">
      <c r="A103" s="4" t="str">
        <f t="shared" si="1"/>
        <v>0395944701</v>
      </c>
      <c r="B103" s="5">
        <v>101</v>
      </c>
      <c r="C103" s="27">
        <v>31261570507</v>
      </c>
      <c r="D103" s="28" t="s">
        <v>2827</v>
      </c>
      <c r="E103" s="29" t="s">
        <v>1685</v>
      </c>
      <c r="F103" s="30">
        <v>7340301</v>
      </c>
      <c r="G103" s="31" t="s">
        <v>350</v>
      </c>
      <c r="H103" t="s">
        <v>2828</v>
      </c>
      <c r="I103" t="s">
        <v>2827</v>
      </c>
      <c r="J103" t="s">
        <v>2829</v>
      </c>
      <c r="K103" t="s">
        <v>2830</v>
      </c>
      <c r="L103" s="49" t="s">
        <v>1685</v>
      </c>
      <c r="M103" t="s">
        <v>2373</v>
      </c>
    </row>
    <row r="104" spans="1:13" ht="15.75" x14ac:dyDescent="0.25">
      <c r="A104" s="4" t="str">
        <f t="shared" si="1"/>
        <v>0915946083</v>
      </c>
      <c r="B104" s="5">
        <v>102</v>
      </c>
      <c r="C104" s="27">
        <v>31261570508</v>
      </c>
      <c r="D104" s="28" t="s">
        <v>2831</v>
      </c>
      <c r="E104" s="32" t="s">
        <v>1516</v>
      </c>
      <c r="F104" s="30">
        <v>7340120</v>
      </c>
      <c r="G104" s="31" t="s">
        <v>309</v>
      </c>
      <c r="H104" t="s">
        <v>2832</v>
      </c>
      <c r="I104" t="s">
        <v>2833</v>
      </c>
      <c r="J104" t="s">
        <v>2834</v>
      </c>
      <c r="K104" t="s">
        <v>2835</v>
      </c>
      <c r="L104" s="49" t="s">
        <v>1516</v>
      </c>
      <c r="M104" t="s">
        <v>2373</v>
      </c>
    </row>
    <row r="105" spans="1:13" ht="15.75" x14ac:dyDescent="0.25">
      <c r="A105" s="4" t="str">
        <f t="shared" si="1"/>
        <v>0796644992</v>
      </c>
      <c r="B105" s="5">
        <v>103</v>
      </c>
      <c r="C105" s="27">
        <v>31261570509</v>
      </c>
      <c r="D105" s="28" t="s">
        <v>2836</v>
      </c>
      <c r="E105" s="32" t="s">
        <v>1874</v>
      </c>
      <c r="F105" s="30">
        <v>7620114</v>
      </c>
      <c r="G105" s="31" t="s">
        <v>373</v>
      </c>
      <c r="H105" t="s">
        <v>2837</v>
      </c>
      <c r="I105" t="s">
        <v>2836</v>
      </c>
      <c r="J105" t="s">
        <v>2838</v>
      </c>
      <c r="K105" t="s">
        <v>2839</v>
      </c>
      <c r="L105" s="49" t="s">
        <v>1874</v>
      </c>
      <c r="M105" t="s">
        <v>2373</v>
      </c>
    </row>
    <row r="106" spans="1:13" ht="15.75" x14ac:dyDescent="0.25">
      <c r="A106" s="4" t="str">
        <f t="shared" si="1"/>
        <v>0903017782</v>
      </c>
      <c r="B106" s="5">
        <v>104</v>
      </c>
      <c r="C106" s="27">
        <v>31261570510</v>
      </c>
      <c r="D106" s="28" t="s">
        <v>2840</v>
      </c>
      <c r="E106" s="29" t="s">
        <v>1826</v>
      </c>
      <c r="F106" s="30" t="s">
        <v>610</v>
      </c>
      <c r="G106" s="31" t="s">
        <v>611</v>
      </c>
      <c r="H106" t="s">
        <v>2841</v>
      </c>
      <c r="I106" t="s">
        <v>2840</v>
      </c>
      <c r="J106" t="s">
        <v>2842</v>
      </c>
      <c r="K106" t="s">
        <v>2843</v>
      </c>
      <c r="L106" s="49" t="s">
        <v>1826</v>
      </c>
      <c r="M106" t="s">
        <v>2373</v>
      </c>
    </row>
    <row r="107" spans="1:13" ht="15.75" x14ac:dyDescent="0.25">
      <c r="A107" s="4" t="str">
        <f t="shared" si="1"/>
        <v>0365857417</v>
      </c>
      <c r="B107" s="5">
        <v>105</v>
      </c>
      <c r="C107" s="27">
        <v>31261570511</v>
      </c>
      <c r="D107" s="28" t="s">
        <v>2844</v>
      </c>
      <c r="E107" s="32" t="s">
        <v>2010</v>
      </c>
      <c r="F107" s="30">
        <v>7480201</v>
      </c>
      <c r="G107" s="31" t="s">
        <v>2845</v>
      </c>
      <c r="H107" t="s">
        <v>2846</v>
      </c>
      <c r="I107" t="s">
        <v>2844</v>
      </c>
      <c r="J107" t="s">
        <v>2847</v>
      </c>
      <c r="K107" t="s">
        <v>2848</v>
      </c>
      <c r="L107" s="49" t="s">
        <v>2010</v>
      </c>
      <c r="M107" t="s">
        <v>2373</v>
      </c>
    </row>
    <row r="108" spans="1:13" ht="15.75" x14ac:dyDescent="0.25">
      <c r="A108" s="4" t="str">
        <f t="shared" si="1"/>
        <v>0962190726</v>
      </c>
      <c r="B108" s="5">
        <v>106</v>
      </c>
      <c r="C108" s="27">
        <v>31261570512</v>
      </c>
      <c r="D108" s="28" t="s">
        <v>2849</v>
      </c>
      <c r="E108" s="29" t="s">
        <v>2022</v>
      </c>
      <c r="F108" s="30" t="s">
        <v>610</v>
      </c>
      <c r="G108" s="30" t="s">
        <v>611</v>
      </c>
      <c r="H108" t="s">
        <v>2850</v>
      </c>
      <c r="I108" t="s">
        <v>2849</v>
      </c>
      <c r="J108" t="s">
        <v>2851</v>
      </c>
      <c r="K108" t="s">
        <v>2852</v>
      </c>
      <c r="L108" s="49" t="s">
        <v>2022</v>
      </c>
      <c r="M108" t="s">
        <v>2373</v>
      </c>
    </row>
    <row r="109" spans="1:13" ht="15.75" x14ac:dyDescent="0.25">
      <c r="A109" s="4" t="str">
        <f t="shared" si="1"/>
        <v>0972505985</v>
      </c>
      <c r="B109" s="5">
        <v>107</v>
      </c>
      <c r="C109" s="27">
        <v>31261570513</v>
      </c>
      <c r="D109" s="28" t="s">
        <v>2853</v>
      </c>
      <c r="E109" s="32" t="s">
        <v>2032</v>
      </c>
      <c r="F109" s="30">
        <v>7220201</v>
      </c>
      <c r="G109" s="30" t="s">
        <v>333</v>
      </c>
      <c r="H109" t="s">
        <v>2854</v>
      </c>
      <c r="I109" t="s">
        <v>2853</v>
      </c>
      <c r="J109" t="s">
        <v>2855</v>
      </c>
      <c r="K109" t="s">
        <v>2856</v>
      </c>
      <c r="L109" s="49" t="s">
        <v>2032</v>
      </c>
      <c r="M109" t="s">
        <v>2373</v>
      </c>
    </row>
    <row r="110" spans="1:13" ht="15.75" x14ac:dyDescent="0.25">
      <c r="A110" s="4" t="str">
        <f t="shared" si="1"/>
        <v>0333709867</v>
      </c>
      <c r="B110" s="5">
        <v>108</v>
      </c>
      <c r="C110" s="27">
        <v>31261570514</v>
      </c>
      <c r="D110" s="28" t="s">
        <v>2857</v>
      </c>
      <c r="E110" s="32" t="s">
        <v>2119</v>
      </c>
      <c r="F110" s="30" t="s">
        <v>526</v>
      </c>
      <c r="G110" s="30" t="s">
        <v>527</v>
      </c>
      <c r="H110" t="s">
        <v>2858</v>
      </c>
      <c r="I110" t="s">
        <v>2857</v>
      </c>
      <c r="J110" t="s">
        <v>2859</v>
      </c>
      <c r="K110" t="s">
        <v>2860</v>
      </c>
      <c r="L110" s="49" t="s">
        <v>2119</v>
      </c>
      <c r="M110" t="s">
        <v>2373</v>
      </c>
    </row>
    <row r="111" spans="1:13" ht="15.75" x14ac:dyDescent="0.25">
      <c r="A111" s="4" t="str">
        <f t="shared" si="1"/>
        <v>0949848299</v>
      </c>
      <c r="B111" s="5">
        <v>109</v>
      </c>
      <c r="C111" s="27">
        <v>31261570515</v>
      </c>
      <c r="D111" s="28" t="s">
        <v>2861</v>
      </c>
      <c r="E111" s="32" t="s">
        <v>2132</v>
      </c>
      <c r="F111" s="30">
        <v>7480107</v>
      </c>
      <c r="G111" s="30" t="s">
        <v>563</v>
      </c>
      <c r="H111" t="s">
        <v>2862</v>
      </c>
      <c r="I111" t="s">
        <v>2861</v>
      </c>
      <c r="J111" t="s">
        <v>2863</v>
      </c>
      <c r="K111" t="s">
        <v>2864</v>
      </c>
      <c r="L111" s="49" t="s">
        <v>2132</v>
      </c>
      <c r="M111" t="s">
        <v>2373</v>
      </c>
    </row>
    <row r="112" spans="1:13" ht="15.75" x14ac:dyDescent="0.25">
      <c r="A112" s="4" t="str">
        <f t="shared" si="1"/>
        <v>0793872436</v>
      </c>
      <c r="B112" s="5">
        <v>110</v>
      </c>
      <c r="C112" s="27">
        <v>31261570516</v>
      </c>
      <c r="D112" s="28" t="s">
        <v>2865</v>
      </c>
      <c r="E112" s="32" t="s">
        <v>2224</v>
      </c>
      <c r="F112" s="30">
        <v>734020102</v>
      </c>
      <c r="G112" s="30" t="s">
        <v>352</v>
      </c>
      <c r="H112" s="33" t="s">
        <v>2866</v>
      </c>
      <c r="I112" t="s">
        <v>2865</v>
      </c>
      <c r="J112" t="s">
        <v>2867</v>
      </c>
      <c r="K112" t="s">
        <v>2868</v>
      </c>
      <c r="L112" s="50" t="s">
        <v>2224</v>
      </c>
      <c r="M112" t="s">
        <v>2373</v>
      </c>
    </row>
    <row r="113" spans="1:13" ht="15.75" x14ac:dyDescent="0.25">
      <c r="A113" s="4" t="str">
        <f t="shared" si="1"/>
        <v>0948179207</v>
      </c>
      <c r="B113" s="5">
        <v>111</v>
      </c>
      <c r="C113" s="41">
        <v>31261570517</v>
      </c>
      <c r="D113" s="42" t="s">
        <v>2869</v>
      </c>
      <c r="E113" s="43" t="s">
        <v>1158</v>
      </c>
      <c r="F113" s="44">
        <v>7340122</v>
      </c>
      <c r="G113" s="44" t="s">
        <v>445</v>
      </c>
      <c r="H113" s="46" t="s">
        <v>2870</v>
      </c>
      <c r="I113" s="46" t="s">
        <v>2871</v>
      </c>
      <c r="J113" s="46" t="s">
        <v>2872</v>
      </c>
      <c r="K113" s="46" t="s">
        <v>2873</v>
      </c>
      <c r="L113" s="51" t="s">
        <v>1158</v>
      </c>
      <c r="M113" s="46" t="s">
        <v>2373</v>
      </c>
    </row>
    <row r="114" spans="1:13" ht="15.75" x14ac:dyDescent="0.25">
      <c r="A114" s="4" t="str">
        <f t="shared" si="1"/>
        <v>0333651011</v>
      </c>
      <c r="B114" s="5">
        <v>112</v>
      </c>
      <c r="C114" s="41">
        <v>31261570518</v>
      </c>
      <c r="D114" s="42" t="s">
        <v>2874</v>
      </c>
      <c r="E114" s="43" t="s">
        <v>2293</v>
      </c>
      <c r="F114" s="44">
        <v>7810201</v>
      </c>
      <c r="G114" s="44" t="s">
        <v>609</v>
      </c>
      <c r="H114" s="46" t="s">
        <v>2875</v>
      </c>
      <c r="I114" s="46" t="s">
        <v>2876</v>
      </c>
      <c r="J114" s="46" t="s">
        <v>2877</v>
      </c>
      <c r="K114" s="46" t="s">
        <v>2878</v>
      </c>
      <c r="L114" s="51" t="s">
        <v>2293</v>
      </c>
      <c r="M114" s="46" t="s">
        <v>2373</v>
      </c>
    </row>
    <row r="115" spans="1:13" ht="15.75" x14ac:dyDescent="0.25">
      <c r="A115" s="4" t="str">
        <f t="shared" si="1"/>
        <v>0948664820</v>
      </c>
      <c r="B115" s="5">
        <v>113</v>
      </c>
      <c r="C115" s="41">
        <v>31261570519</v>
      </c>
      <c r="D115" s="42" t="s">
        <v>2879</v>
      </c>
      <c r="E115" s="43" t="s">
        <v>1915</v>
      </c>
      <c r="F115" s="44">
        <v>7220201</v>
      </c>
      <c r="G115" s="44" t="s">
        <v>2880</v>
      </c>
      <c r="H115" s="46" t="s">
        <v>2881</v>
      </c>
      <c r="I115" s="46" t="s">
        <v>2882</v>
      </c>
      <c r="J115" s="46" t="s">
        <v>2883</v>
      </c>
      <c r="K115" s="46" t="s">
        <v>2884</v>
      </c>
      <c r="L115" s="51" t="s">
        <v>1915</v>
      </c>
      <c r="M115" s="46" t="s">
        <v>2373</v>
      </c>
    </row>
    <row r="116" spans="1:13" ht="15.75" x14ac:dyDescent="0.25">
      <c r="A116" s="4" t="str">
        <f t="shared" si="1"/>
        <v>0382731611</v>
      </c>
      <c r="B116" s="5">
        <v>114</v>
      </c>
      <c r="C116" s="41">
        <v>31261570520</v>
      </c>
      <c r="D116" s="42" t="s">
        <v>2885</v>
      </c>
      <c r="E116" s="43" t="s">
        <v>1975</v>
      </c>
      <c r="F116" s="44" t="s">
        <v>610</v>
      </c>
      <c r="G116" s="44" t="s">
        <v>611</v>
      </c>
      <c r="H116" s="46" t="s">
        <v>2886</v>
      </c>
      <c r="I116" s="46" t="s">
        <v>2887</v>
      </c>
      <c r="J116" s="46" t="s">
        <v>2888</v>
      </c>
      <c r="K116" s="46" t="s">
        <v>2889</v>
      </c>
      <c r="L116" s="51" t="s">
        <v>1975</v>
      </c>
      <c r="M116" s="46" t="s">
        <v>2373</v>
      </c>
    </row>
    <row r="117" spans="1:13" ht="15.75" x14ac:dyDescent="0.25">
      <c r="A117" s="4" t="str">
        <f t="shared" si="1"/>
        <v>0325730409</v>
      </c>
      <c r="B117" s="5">
        <v>115</v>
      </c>
      <c r="C117" s="41">
        <v>31261570521</v>
      </c>
      <c r="D117" s="42" t="s">
        <v>2890</v>
      </c>
      <c r="E117" s="43" t="s">
        <v>1995</v>
      </c>
      <c r="F117" s="44">
        <v>7380107</v>
      </c>
      <c r="G117" s="44" t="s">
        <v>331</v>
      </c>
      <c r="H117" s="46" t="s">
        <v>2891</v>
      </c>
      <c r="I117" s="46" t="s">
        <v>2892</v>
      </c>
      <c r="J117" s="46" t="s">
        <v>2893</v>
      </c>
      <c r="K117" s="46" t="s">
        <v>2894</v>
      </c>
      <c r="L117" s="51" t="s">
        <v>1995</v>
      </c>
      <c r="M117" s="46" t="s">
        <v>2373</v>
      </c>
    </row>
    <row r="118" spans="1:13" ht="15.75" x14ac:dyDescent="0.25">
      <c r="A118" s="4" t="str">
        <f t="shared" si="1"/>
        <v>0969555623</v>
      </c>
      <c r="B118" s="5">
        <v>116</v>
      </c>
      <c r="C118" s="41">
        <v>31261570522</v>
      </c>
      <c r="D118" s="42" t="s">
        <v>2895</v>
      </c>
      <c r="E118" s="43" t="s">
        <v>2183</v>
      </c>
      <c r="F118" s="44">
        <v>7620114</v>
      </c>
      <c r="G118" s="44" t="s">
        <v>373</v>
      </c>
      <c r="H118" s="46" t="s">
        <v>2896</v>
      </c>
      <c r="I118" s="46" t="s">
        <v>2897</v>
      </c>
      <c r="J118" s="46" t="s">
        <v>2898</v>
      </c>
      <c r="K118" s="46" t="s">
        <v>2899</v>
      </c>
      <c r="L118" s="51" t="s">
        <v>2183</v>
      </c>
      <c r="M118" s="46" t="s">
        <v>2373</v>
      </c>
    </row>
    <row r="119" spans="1:13" ht="15.75" x14ac:dyDescent="0.25">
      <c r="A119" s="4" t="str">
        <f t="shared" si="1"/>
        <v>0865065722</v>
      </c>
      <c r="B119" s="5">
        <v>117</v>
      </c>
      <c r="C119" s="41">
        <v>31261570523</v>
      </c>
      <c r="D119" s="42" t="s">
        <v>2900</v>
      </c>
      <c r="E119" s="43" t="s">
        <v>2158</v>
      </c>
      <c r="F119" s="44">
        <v>7340122</v>
      </c>
      <c r="G119" s="44" t="s">
        <v>445</v>
      </c>
      <c r="H119" s="46" t="s">
        <v>2901</v>
      </c>
      <c r="I119" s="46" t="s">
        <v>2900</v>
      </c>
      <c r="J119" s="46" t="s">
        <v>2902</v>
      </c>
      <c r="K119" s="46" t="s">
        <v>2903</v>
      </c>
      <c r="L119" s="51" t="s">
        <v>2158</v>
      </c>
      <c r="M119" s="46" t="s">
        <v>2373</v>
      </c>
    </row>
    <row r="120" spans="1:13" ht="15.75" x14ac:dyDescent="0.25">
      <c r="A120" s="4" t="str">
        <f t="shared" si="1"/>
        <v>0395657508</v>
      </c>
      <c r="B120" s="5">
        <v>118</v>
      </c>
      <c r="C120" s="41">
        <v>31261570524</v>
      </c>
      <c r="D120" s="42" t="s">
        <v>2904</v>
      </c>
      <c r="E120" s="43" t="s">
        <v>2171</v>
      </c>
      <c r="F120" s="44">
        <v>7810201</v>
      </c>
      <c r="G120" s="44" t="s">
        <v>609</v>
      </c>
      <c r="H120" s="46" t="s">
        <v>2905</v>
      </c>
      <c r="I120" s="46" t="s">
        <v>2904</v>
      </c>
      <c r="J120" s="46" t="s">
        <v>2906</v>
      </c>
      <c r="K120" s="46" t="s">
        <v>2907</v>
      </c>
      <c r="L120" s="51" t="s">
        <v>2171</v>
      </c>
      <c r="M120" s="46" t="s">
        <v>2373</v>
      </c>
    </row>
    <row r="121" spans="1:13" ht="15.75" x14ac:dyDescent="0.25">
      <c r="A121" s="4" t="str">
        <f t="shared" si="1"/>
        <v>0327138283</v>
      </c>
      <c r="B121" s="5">
        <v>119</v>
      </c>
      <c r="C121" s="41">
        <v>31261570525</v>
      </c>
      <c r="D121" s="42" t="s">
        <v>3151</v>
      </c>
      <c r="E121" s="43" t="s">
        <v>1478</v>
      </c>
      <c r="F121" s="44">
        <v>7620114</v>
      </c>
      <c r="G121" s="44" t="s">
        <v>373</v>
      </c>
      <c r="H121" s="45" t="s">
        <v>3152</v>
      </c>
      <c r="I121" s="46" t="s">
        <v>3151</v>
      </c>
      <c r="J121" s="46" t="s">
        <v>3153</v>
      </c>
      <c r="K121" s="45" t="s">
        <v>3154</v>
      </c>
      <c r="L121" s="51" t="s">
        <v>1478</v>
      </c>
      <c r="M121" s="46" t="s">
        <v>2373</v>
      </c>
    </row>
    <row r="122" spans="1:13" ht="15.75" x14ac:dyDescent="0.25">
      <c r="A122" s="4">
        <f t="shared" si="1"/>
        <v>942450766</v>
      </c>
      <c r="B122" s="5">
        <v>120</v>
      </c>
      <c r="C122" s="41">
        <v>31261570527</v>
      </c>
      <c r="D122" s="42" t="s">
        <v>3155</v>
      </c>
      <c r="E122" s="43" t="s">
        <v>3156</v>
      </c>
      <c r="F122" s="44">
        <v>7340101</v>
      </c>
      <c r="G122" s="44" t="s">
        <v>307</v>
      </c>
      <c r="H122" s="46">
        <v>31261570527</v>
      </c>
      <c r="I122" s="46" t="s">
        <v>3155</v>
      </c>
      <c r="J122" s="46" t="s">
        <v>3157</v>
      </c>
      <c r="K122" s="46">
        <v>84623346</v>
      </c>
      <c r="L122" s="51">
        <v>942450766</v>
      </c>
      <c r="M122" s="46" t="s">
        <v>2373</v>
      </c>
    </row>
    <row r="123" spans="1:13" ht="15.75" x14ac:dyDescent="0.25">
      <c r="A123" s="4">
        <f t="shared" si="1"/>
        <v>703389793</v>
      </c>
      <c r="B123" s="5">
        <v>121</v>
      </c>
      <c r="C123" s="41">
        <v>31261570528</v>
      </c>
      <c r="D123" s="42" t="s">
        <v>3158</v>
      </c>
      <c r="E123" s="43" t="s">
        <v>3159</v>
      </c>
      <c r="F123" s="44">
        <v>7340101</v>
      </c>
      <c r="G123" s="44" t="s">
        <v>307</v>
      </c>
      <c r="H123" s="46">
        <v>31261570528</v>
      </c>
      <c r="I123" s="46" t="s">
        <v>3158</v>
      </c>
      <c r="J123" s="46" t="s">
        <v>3160</v>
      </c>
      <c r="K123" s="46">
        <v>62245515</v>
      </c>
      <c r="L123" s="51">
        <v>703389793</v>
      </c>
      <c r="M123" s="46" t="s">
        <v>2373</v>
      </c>
    </row>
    <row r="124" spans="1:13" ht="15.75" x14ac:dyDescent="0.25">
      <c r="A124" s="4">
        <f t="shared" si="1"/>
        <v>941756066</v>
      </c>
      <c r="B124" s="5">
        <v>122</v>
      </c>
      <c r="C124" s="41">
        <v>31261570529</v>
      </c>
      <c r="D124" s="42" t="s">
        <v>3161</v>
      </c>
      <c r="E124" s="43" t="s">
        <v>3162</v>
      </c>
      <c r="F124" s="44" t="s">
        <v>351</v>
      </c>
      <c r="G124" s="44" t="s">
        <v>352</v>
      </c>
      <c r="H124" s="46">
        <v>31261570529</v>
      </c>
      <c r="I124" s="46" t="s">
        <v>3161</v>
      </c>
      <c r="J124" s="46" t="s">
        <v>3163</v>
      </c>
      <c r="K124" s="46">
        <v>24844680</v>
      </c>
      <c r="L124" s="51">
        <v>941756066</v>
      </c>
      <c r="M124" s="46" t="s">
        <v>2373</v>
      </c>
    </row>
    <row r="125" spans="1:13" ht="15.75" x14ac:dyDescent="0.25">
      <c r="A125" s="4">
        <f t="shared" si="1"/>
        <v>941793788</v>
      </c>
      <c r="B125" s="5">
        <v>123</v>
      </c>
      <c r="C125" s="41">
        <v>31261570530</v>
      </c>
      <c r="D125" s="42" t="s">
        <v>3164</v>
      </c>
      <c r="E125" s="43" t="s">
        <v>3165</v>
      </c>
      <c r="F125" s="44">
        <v>7340115</v>
      </c>
      <c r="G125" s="44" t="s">
        <v>311</v>
      </c>
      <c r="H125" s="46">
        <v>31261570530</v>
      </c>
      <c r="I125" s="46" t="s">
        <v>3164</v>
      </c>
      <c r="J125" s="46" t="s">
        <v>3166</v>
      </c>
      <c r="K125" s="46">
        <v>35730411</v>
      </c>
      <c r="L125" s="51">
        <v>941793788</v>
      </c>
      <c r="M125" s="46" t="s">
        <v>2373</v>
      </c>
    </row>
    <row r="126" spans="1:13" ht="15.75" x14ac:dyDescent="0.25">
      <c r="A126" s="4">
        <f t="shared" si="1"/>
        <v>919747978</v>
      </c>
      <c r="B126" s="5">
        <v>124</v>
      </c>
      <c r="C126" s="34">
        <v>31261570526</v>
      </c>
      <c r="D126" s="35" t="s">
        <v>3167</v>
      </c>
      <c r="E126" s="36" t="s">
        <v>3070</v>
      </c>
      <c r="F126" s="37">
        <v>7810201</v>
      </c>
      <c r="G126" s="37" t="s">
        <v>609</v>
      </c>
      <c r="H126" s="47">
        <v>31261570526</v>
      </c>
      <c r="I126" s="47" t="s">
        <v>3167</v>
      </c>
      <c r="J126" s="47" t="s">
        <v>3168</v>
      </c>
      <c r="K126" s="47">
        <v>40169828</v>
      </c>
      <c r="L126" s="52">
        <v>919747978</v>
      </c>
      <c r="M126" s="47" t="s">
        <v>2373</v>
      </c>
    </row>
    <row r="127" spans="1:13" ht="15.75" x14ac:dyDescent="0.25">
      <c r="A127" s="4">
        <f t="shared" si="1"/>
        <v>932110729</v>
      </c>
      <c r="B127" s="5">
        <v>125</v>
      </c>
      <c r="C127" s="34">
        <v>31261570531</v>
      </c>
      <c r="D127" s="35" t="s">
        <v>3169</v>
      </c>
      <c r="E127" s="36" t="s">
        <v>2936</v>
      </c>
      <c r="F127" s="37" t="s">
        <v>610</v>
      </c>
      <c r="G127" s="37" t="s">
        <v>611</v>
      </c>
      <c r="H127" s="47">
        <v>31261570531</v>
      </c>
      <c r="I127" s="47" t="s">
        <v>3170</v>
      </c>
      <c r="J127" s="47" t="s">
        <v>3171</v>
      </c>
      <c r="K127" s="47">
        <v>93337243</v>
      </c>
      <c r="L127" s="52">
        <v>932110729</v>
      </c>
      <c r="M127" s="47" t="s">
        <v>2373</v>
      </c>
    </row>
    <row r="128" spans="1:13" ht="15.75" x14ac:dyDescent="0.25">
      <c r="A128" s="4">
        <f t="shared" si="1"/>
        <v>929669708</v>
      </c>
      <c r="B128" s="5">
        <v>126</v>
      </c>
      <c r="C128" s="34">
        <v>31261570532</v>
      </c>
      <c r="D128" s="35" t="s">
        <v>3172</v>
      </c>
      <c r="E128" s="36" t="s">
        <v>2232</v>
      </c>
      <c r="F128" s="37">
        <v>7340301</v>
      </c>
      <c r="G128" s="37" t="s">
        <v>350</v>
      </c>
      <c r="H128" s="47">
        <v>31261570532</v>
      </c>
      <c r="I128" s="47" t="s">
        <v>3173</v>
      </c>
      <c r="J128" s="47" t="s">
        <v>3174</v>
      </c>
      <c r="K128" s="47">
        <v>82243036</v>
      </c>
      <c r="L128" s="52">
        <v>929669708</v>
      </c>
      <c r="M128" s="47" t="s">
        <v>2373</v>
      </c>
    </row>
    <row r="129" spans="1:13" ht="15.75" x14ac:dyDescent="0.25">
      <c r="A129" s="4">
        <f t="shared" si="1"/>
        <v>569619450</v>
      </c>
      <c r="B129" s="5">
        <v>127</v>
      </c>
      <c r="C129" s="34">
        <v>31261570533</v>
      </c>
      <c r="D129" s="35" t="s">
        <v>3175</v>
      </c>
      <c r="E129" s="36" t="s">
        <v>3004</v>
      </c>
      <c r="F129" s="37">
        <v>7810201</v>
      </c>
      <c r="G129" s="37" t="s">
        <v>609</v>
      </c>
      <c r="H129" s="47">
        <v>31261570533</v>
      </c>
      <c r="I129" s="47" t="s">
        <v>3175</v>
      </c>
      <c r="J129" s="47" t="s">
        <v>3176</v>
      </c>
      <c r="K129" s="47">
        <v>24085537</v>
      </c>
      <c r="L129" s="52">
        <v>569619450</v>
      </c>
      <c r="M129" s="47" t="s">
        <v>2373</v>
      </c>
    </row>
    <row r="130" spans="1:13" customFormat="1" ht="15.75" x14ac:dyDescent="0.25">
      <c r="A130" s="4">
        <f t="shared" si="1"/>
        <v>364155601</v>
      </c>
      <c r="B130" s="5">
        <v>128</v>
      </c>
      <c r="C130" s="34">
        <v>31261570534</v>
      </c>
      <c r="D130" s="35" t="s">
        <v>3177</v>
      </c>
      <c r="E130" s="36" t="s">
        <v>3040</v>
      </c>
      <c r="F130" s="37">
        <v>7220201</v>
      </c>
      <c r="G130" s="37" t="s">
        <v>3178</v>
      </c>
      <c r="H130" s="47">
        <v>31261570534</v>
      </c>
      <c r="I130" s="47" t="s">
        <v>3177</v>
      </c>
      <c r="J130" s="47" t="s">
        <v>3179</v>
      </c>
      <c r="K130" s="47">
        <v>71576318</v>
      </c>
      <c r="L130" s="52">
        <v>364155601</v>
      </c>
      <c r="M130" s="47" t="s">
        <v>2373</v>
      </c>
    </row>
    <row r="131" spans="1:13" customFormat="1" ht="15.75" x14ac:dyDescent="0.25">
      <c r="A131" s="4">
        <f t="shared" si="1"/>
        <v>896540820</v>
      </c>
      <c r="B131" s="5">
        <v>129</v>
      </c>
      <c r="C131" s="34">
        <v>31261570535</v>
      </c>
      <c r="D131" s="35" t="s">
        <v>3180</v>
      </c>
      <c r="E131" s="36" t="s">
        <v>3088</v>
      </c>
      <c r="F131" s="37">
        <v>7620114</v>
      </c>
      <c r="G131" s="37" t="s">
        <v>373</v>
      </c>
      <c r="H131" s="47">
        <v>31261570535</v>
      </c>
      <c r="I131" s="47" t="s">
        <v>3180</v>
      </c>
      <c r="J131" s="47" t="s">
        <v>3181</v>
      </c>
      <c r="K131" s="47">
        <v>98942758</v>
      </c>
      <c r="L131" s="52">
        <v>896540820</v>
      </c>
      <c r="M131" s="47" t="s">
        <v>2373</v>
      </c>
    </row>
    <row r="132" spans="1:13" customFormat="1" ht="15.75" x14ac:dyDescent="0.25">
      <c r="B132" s="5">
        <v>130</v>
      </c>
      <c r="C132" s="34">
        <v>31261570536</v>
      </c>
      <c r="D132" s="35" t="s">
        <v>3183</v>
      </c>
      <c r="E132" s="36" t="s">
        <v>2100</v>
      </c>
      <c r="F132" s="37">
        <v>7340115</v>
      </c>
      <c r="G132" s="37" t="s">
        <v>311</v>
      </c>
      <c r="H132" s="47">
        <v>31261570536</v>
      </c>
      <c r="I132" s="47" t="s">
        <v>3183</v>
      </c>
      <c r="J132" s="47" t="s">
        <v>3184</v>
      </c>
      <c r="K132" s="47">
        <v>72585833</v>
      </c>
      <c r="L132" s="52">
        <v>981728059</v>
      </c>
      <c r="M132" s="47" t="s">
        <v>2373</v>
      </c>
    </row>
    <row r="133" spans="1:13" customFormat="1" ht="15.75" x14ac:dyDescent="0.25">
      <c r="A133">
        <v>1</v>
      </c>
      <c r="B133" s="5">
        <v>131</v>
      </c>
      <c r="C133" s="34">
        <v>31261570537</v>
      </c>
      <c r="D133" s="35" t="s">
        <v>3185</v>
      </c>
      <c r="E133" s="36" t="s">
        <v>3143</v>
      </c>
      <c r="F133" s="37">
        <v>7340115</v>
      </c>
      <c r="G133" s="37" t="s">
        <v>311</v>
      </c>
      <c r="H133" s="47">
        <v>31261570537</v>
      </c>
      <c r="I133" s="47" t="s">
        <v>3185</v>
      </c>
      <c r="J133" s="47" t="s">
        <v>3186</v>
      </c>
      <c r="K133" s="47">
        <v>63246509</v>
      </c>
      <c r="L133" s="52" t="s">
        <v>3187</v>
      </c>
      <c r="M133" s="47" t="s">
        <v>2373</v>
      </c>
    </row>
    <row r="134" spans="1:13" customFormat="1" ht="16.5" x14ac:dyDescent="0.25">
      <c r="B134" s="38"/>
      <c r="C134" s="38"/>
      <c r="D134" s="38"/>
      <c r="E134" s="39"/>
      <c r="F134" s="40"/>
      <c r="G134" s="40"/>
    </row>
    <row r="135" spans="1:13" customFormat="1" ht="16.5" x14ac:dyDescent="0.25">
      <c r="B135" s="38"/>
      <c r="C135" s="38"/>
      <c r="D135" s="38"/>
      <c r="E135" s="39"/>
      <c r="F135" s="40"/>
      <c r="G135" s="40"/>
    </row>
    <row r="136" spans="1:13" customFormat="1" ht="16.5" x14ac:dyDescent="0.25">
      <c r="B136" s="38"/>
      <c r="C136" s="38"/>
      <c r="D136" s="38"/>
      <c r="E136" s="39"/>
      <c r="F136" s="40"/>
      <c r="G136" s="40"/>
    </row>
    <row r="137" spans="1:13" customFormat="1" ht="16.5" x14ac:dyDescent="0.25">
      <c r="B137" s="38"/>
      <c r="C137" s="38"/>
      <c r="D137" s="38"/>
      <c r="E137" s="39"/>
      <c r="F137" s="40"/>
      <c r="G137" s="40"/>
    </row>
    <row r="138" spans="1:13" customFormat="1" ht="16.5" x14ac:dyDescent="0.25">
      <c r="B138" s="38"/>
      <c r="C138" s="38"/>
      <c r="D138" s="38"/>
      <c r="E138" s="39"/>
      <c r="F138" s="40"/>
      <c r="G138" s="40"/>
    </row>
    <row r="139" spans="1:13" customFormat="1" ht="16.5" x14ac:dyDescent="0.25">
      <c r="B139" s="38"/>
      <c r="C139" s="38"/>
      <c r="D139" s="38"/>
      <c r="E139" s="39"/>
      <c r="F139" s="40"/>
      <c r="G139" s="40"/>
    </row>
    <row r="140" spans="1:13" customFormat="1" ht="16.5" x14ac:dyDescent="0.25">
      <c r="B140" s="38"/>
      <c r="C140" s="38"/>
      <c r="D140" s="38"/>
      <c r="E140" s="39"/>
      <c r="F140" s="40"/>
      <c r="G140" s="40"/>
    </row>
    <row r="141" spans="1:13" customFormat="1" ht="16.5" x14ac:dyDescent="0.25">
      <c r="B141" s="38"/>
      <c r="C141" s="38"/>
      <c r="D141" s="38"/>
      <c r="E141" s="39"/>
      <c r="F141" s="40"/>
      <c r="G141" s="40"/>
    </row>
    <row r="142" spans="1:13" customFormat="1" ht="16.5" x14ac:dyDescent="0.25">
      <c r="B142" s="38"/>
      <c r="C142" s="38"/>
      <c r="D142" s="38"/>
      <c r="E142" s="39"/>
      <c r="F142" s="40"/>
      <c r="G142" s="40"/>
    </row>
    <row r="143" spans="1:13" customFormat="1" ht="16.5" x14ac:dyDescent="0.25">
      <c r="B143" s="38"/>
      <c r="C143" s="38"/>
      <c r="D143" s="38"/>
      <c r="E143" s="39"/>
      <c r="F143" s="40"/>
      <c r="G143" s="40"/>
    </row>
    <row r="144" spans="1:13" customFormat="1" ht="16.5" x14ac:dyDescent="0.25">
      <c r="B144" s="38"/>
      <c r="C144" s="38"/>
      <c r="D144" s="38"/>
      <c r="E144" s="39"/>
      <c r="F144" s="40"/>
      <c r="G144" s="40"/>
    </row>
    <row r="145" spans="2:7" customFormat="1" ht="16.5" x14ac:dyDescent="0.25">
      <c r="B145" s="38"/>
      <c r="C145" s="38"/>
      <c r="D145" s="38"/>
      <c r="E145" s="39"/>
      <c r="F145" s="40"/>
      <c r="G145" s="40"/>
    </row>
    <row r="146" spans="2:7" customFormat="1" ht="16.5" x14ac:dyDescent="0.25">
      <c r="B146" s="38"/>
      <c r="C146" s="38"/>
      <c r="D146" s="38"/>
      <c r="E146" s="39"/>
      <c r="F146" s="40"/>
      <c r="G146" s="40"/>
    </row>
    <row r="147" spans="2:7" customFormat="1" ht="16.5" x14ac:dyDescent="0.25">
      <c r="B147" s="38"/>
      <c r="C147" s="38"/>
      <c r="D147" s="38"/>
      <c r="E147" s="39"/>
      <c r="F147" s="40"/>
      <c r="G147" s="40"/>
    </row>
    <row r="148" spans="2:7" customFormat="1" ht="16.5" x14ac:dyDescent="0.25">
      <c r="B148" s="38"/>
      <c r="C148" s="38"/>
      <c r="D148" s="38"/>
      <c r="E148" s="39"/>
      <c r="F148" s="40"/>
      <c r="G148" s="40"/>
    </row>
    <row r="149" spans="2:7" customFormat="1" ht="16.5" x14ac:dyDescent="0.25">
      <c r="B149" s="38"/>
      <c r="C149" s="38"/>
      <c r="D149" s="38"/>
      <c r="E149" s="39"/>
      <c r="F149" s="40"/>
      <c r="G149" s="40"/>
    </row>
    <row r="150" spans="2:7" customFormat="1" ht="16.5" x14ac:dyDescent="0.25">
      <c r="B150" s="38"/>
      <c r="C150" s="38"/>
      <c r="D150" s="38"/>
      <c r="E150" s="39"/>
      <c r="F150" s="40"/>
      <c r="G150" s="40"/>
    </row>
    <row r="151" spans="2:7" customFormat="1" ht="16.5" x14ac:dyDescent="0.25">
      <c r="B151" s="38"/>
      <c r="C151" s="38"/>
      <c r="D151" s="38"/>
      <c r="E151" s="39"/>
      <c r="F151" s="40"/>
      <c r="G151" s="40"/>
    </row>
    <row r="152" spans="2:7" customFormat="1" ht="16.5" x14ac:dyDescent="0.25">
      <c r="B152" s="38"/>
      <c r="C152" s="38"/>
      <c r="D152" s="38"/>
      <c r="E152" s="39"/>
      <c r="F152" s="40"/>
      <c r="G152" s="40"/>
    </row>
    <row r="153" spans="2:7" customFormat="1" ht="16.5" x14ac:dyDescent="0.25">
      <c r="B153" s="38"/>
      <c r="C153" s="38"/>
      <c r="D153" s="38"/>
      <c r="E153" s="39"/>
      <c r="F153" s="40"/>
      <c r="G153" s="40"/>
    </row>
    <row r="154" spans="2:7" customFormat="1" ht="16.5" x14ac:dyDescent="0.25">
      <c r="B154" s="38"/>
      <c r="C154" s="38"/>
      <c r="D154" s="38"/>
      <c r="E154" s="39"/>
      <c r="F154" s="40"/>
      <c r="G154" s="40"/>
    </row>
    <row r="155" spans="2:7" customFormat="1" ht="16.5" x14ac:dyDescent="0.25">
      <c r="B155" s="38"/>
      <c r="C155" s="38"/>
      <c r="D155" s="38"/>
      <c r="E155" s="39"/>
      <c r="F155" s="40"/>
      <c r="G155" s="40"/>
    </row>
    <row r="156" spans="2:7" customFormat="1" ht="16.5" x14ac:dyDescent="0.25">
      <c r="B156" s="38"/>
      <c r="C156" s="38"/>
      <c r="D156" s="38"/>
      <c r="E156" s="39"/>
      <c r="F156" s="40"/>
      <c r="G156" s="40"/>
    </row>
    <row r="157" spans="2:7" customFormat="1" ht="16.5" x14ac:dyDescent="0.25">
      <c r="B157" s="38"/>
      <c r="C157" s="38"/>
      <c r="D157" s="38"/>
      <c r="E157" s="39"/>
      <c r="F157" s="40"/>
      <c r="G157" s="40"/>
    </row>
    <row r="158" spans="2:7" customFormat="1" ht="16.5" x14ac:dyDescent="0.25">
      <c r="B158" s="38"/>
      <c r="C158" s="38"/>
      <c r="D158" s="38"/>
      <c r="E158" s="39"/>
      <c r="F158" s="40"/>
      <c r="G158" s="40"/>
    </row>
    <row r="159" spans="2:7" customFormat="1" ht="16.5" x14ac:dyDescent="0.25">
      <c r="B159" s="38"/>
      <c r="C159" s="38"/>
      <c r="D159" s="38"/>
      <c r="E159" s="39"/>
      <c r="F159" s="40"/>
      <c r="G159" s="40"/>
    </row>
    <row r="160" spans="2:7" customFormat="1" ht="16.5" x14ac:dyDescent="0.25">
      <c r="B160" s="38"/>
      <c r="C160" s="38"/>
      <c r="D160" s="38"/>
      <c r="E160" s="39"/>
      <c r="F160" s="40"/>
      <c r="G160" s="40"/>
    </row>
    <row r="161" spans="2:7" customFormat="1" ht="16.5" x14ac:dyDescent="0.25">
      <c r="B161" s="38"/>
      <c r="C161" s="38"/>
      <c r="D161" s="38"/>
      <c r="E161" s="39"/>
      <c r="F161" s="40"/>
      <c r="G161" s="40"/>
    </row>
    <row r="162" spans="2:7" customFormat="1" ht="16.5" x14ac:dyDescent="0.25">
      <c r="B162" s="38"/>
      <c r="C162" s="38"/>
      <c r="D162" s="38"/>
      <c r="E162" s="39"/>
      <c r="F162" s="40"/>
      <c r="G162" s="40"/>
    </row>
    <row r="163" spans="2:7" customFormat="1" ht="16.5" x14ac:dyDescent="0.25">
      <c r="B163" s="38"/>
      <c r="C163" s="38"/>
      <c r="D163" s="38"/>
      <c r="E163" s="39"/>
      <c r="F163" s="40"/>
      <c r="G163" s="40"/>
    </row>
    <row r="164" spans="2:7" customFormat="1" ht="16.5" x14ac:dyDescent="0.25">
      <c r="B164" s="38"/>
      <c r="C164" s="38"/>
      <c r="D164" s="38"/>
      <c r="E164" s="39"/>
      <c r="F164" s="40"/>
      <c r="G164" s="40"/>
    </row>
    <row r="165" spans="2:7" customFormat="1" ht="16.5" x14ac:dyDescent="0.25">
      <c r="B165" s="38"/>
      <c r="C165" s="38"/>
      <c r="D165" s="38"/>
      <c r="E165" s="39"/>
      <c r="F165" s="40"/>
      <c r="G165" s="40"/>
    </row>
    <row r="166" spans="2:7" customFormat="1" ht="16.5" x14ac:dyDescent="0.25">
      <c r="B166" s="38"/>
      <c r="C166" s="38"/>
      <c r="D166" s="38"/>
      <c r="E166" s="39"/>
      <c r="F166" s="40"/>
      <c r="G166" s="40"/>
    </row>
    <row r="167" spans="2:7" customFormat="1" ht="16.5" x14ac:dyDescent="0.25">
      <c r="B167" s="38"/>
      <c r="C167" s="38"/>
      <c r="D167" s="38"/>
      <c r="E167" s="39"/>
      <c r="F167" s="40"/>
      <c r="G167" s="40"/>
    </row>
    <row r="168" spans="2:7" customFormat="1" ht="16.5" x14ac:dyDescent="0.25">
      <c r="B168" s="38"/>
      <c r="C168" s="38"/>
      <c r="D168" s="38"/>
      <c r="E168" s="39"/>
      <c r="F168" s="40"/>
      <c r="G168" s="40"/>
    </row>
    <row r="169" spans="2:7" customFormat="1" ht="16.5" x14ac:dyDescent="0.25">
      <c r="B169" s="38"/>
      <c r="C169" s="38"/>
      <c r="D169" s="38"/>
      <c r="E169" s="39"/>
      <c r="F169" s="40"/>
      <c r="G169" s="40"/>
    </row>
    <row r="170" spans="2:7" customFormat="1" ht="16.5" x14ac:dyDescent="0.25">
      <c r="B170" s="38"/>
      <c r="C170" s="38"/>
      <c r="D170" s="38"/>
      <c r="E170" s="39"/>
      <c r="F170" s="40"/>
      <c r="G170" s="40"/>
    </row>
    <row r="171" spans="2:7" customFormat="1" ht="16.5" x14ac:dyDescent="0.25">
      <c r="B171" s="38"/>
      <c r="C171" s="38"/>
      <c r="D171" s="38"/>
      <c r="E171" s="39"/>
      <c r="F171" s="40"/>
      <c r="G171" s="40"/>
    </row>
    <row r="172" spans="2:7" customFormat="1" ht="16.5" x14ac:dyDescent="0.25">
      <c r="B172" s="38"/>
      <c r="C172" s="38"/>
      <c r="D172" s="38"/>
      <c r="E172" s="39"/>
      <c r="F172" s="40"/>
      <c r="G172" s="40"/>
    </row>
    <row r="173" spans="2:7" customFormat="1" ht="16.5" x14ac:dyDescent="0.25">
      <c r="B173" s="38"/>
      <c r="C173" s="38"/>
      <c r="D173" s="38"/>
      <c r="E173" s="39"/>
      <c r="F173" s="40"/>
      <c r="G173" s="40"/>
    </row>
    <row r="174" spans="2:7" customFormat="1" ht="16.5" x14ac:dyDescent="0.25">
      <c r="B174" s="38"/>
      <c r="C174" s="38"/>
      <c r="D174" s="38"/>
      <c r="E174" s="39"/>
      <c r="F174" s="40"/>
      <c r="G174" s="40"/>
    </row>
    <row r="175" spans="2:7" customFormat="1" ht="16.5" x14ac:dyDescent="0.25">
      <c r="B175" s="38"/>
      <c r="C175" s="38"/>
      <c r="D175" s="38"/>
      <c r="E175" s="39"/>
      <c r="F175" s="40"/>
      <c r="G175" s="40"/>
    </row>
    <row r="176" spans="2:7" customFormat="1" ht="16.5" x14ac:dyDescent="0.25">
      <c r="B176" s="38"/>
      <c r="C176" s="38"/>
      <c r="D176" s="38"/>
      <c r="E176" s="39"/>
      <c r="F176" s="40"/>
      <c r="G176" s="40"/>
    </row>
    <row r="177" spans="2:7" customFormat="1" ht="16.5" x14ac:dyDescent="0.25">
      <c r="B177" s="38"/>
      <c r="C177" s="38"/>
      <c r="D177" s="38"/>
      <c r="E177" s="39"/>
      <c r="F177" s="40"/>
      <c r="G177" s="40"/>
    </row>
    <row r="178" spans="2:7" customFormat="1" ht="16.5" x14ac:dyDescent="0.25">
      <c r="B178" s="38"/>
      <c r="C178" s="38"/>
      <c r="D178" s="38"/>
      <c r="E178" s="39"/>
      <c r="F178" s="40"/>
      <c r="G178" s="40"/>
    </row>
    <row r="179" spans="2:7" customFormat="1" ht="16.5" x14ac:dyDescent="0.25">
      <c r="B179" s="38"/>
      <c r="C179" s="38"/>
      <c r="D179" s="38"/>
      <c r="E179" s="39"/>
      <c r="F179" s="40"/>
      <c r="G179" s="40"/>
    </row>
    <row r="180" spans="2:7" customFormat="1" ht="16.5" x14ac:dyDescent="0.25">
      <c r="B180" s="38"/>
      <c r="C180" s="38"/>
      <c r="D180" s="38"/>
      <c r="E180" s="39"/>
      <c r="F180" s="40"/>
      <c r="G180" s="40"/>
    </row>
    <row r="181" spans="2:7" customFormat="1" ht="16.5" x14ac:dyDescent="0.25">
      <c r="B181" s="38"/>
      <c r="C181" s="38"/>
      <c r="D181" s="38"/>
      <c r="E181" s="39"/>
      <c r="F181" s="40"/>
      <c r="G181" s="40"/>
    </row>
    <row r="182" spans="2:7" customFormat="1" ht="16.5" x14ac:dyDescent="0.25">
      <c r="B182" s="38"/>
      <c r="C182" s="38"/>
      <c r="D182" s="38"/>
      <c r="E182" s="39"/>
      <c r="F182" s="40"/>
      <c r="G182" s="40"/>
    </row>
    <row r="183" spans="2:7" customFormat="1" ht="16.5" x14ac:dyDescent="0.25">
      <c r="B183" s="38"/>
      <c r="C183" s="38"/>
      <c r="D183" s="38"/>
      <c r="E183" s="39"/>
      <c r="F183" s="40"/>
      <c r="G183" s="40"/>
    </row>
    <row r="184" spans="2:7" customFormat="1" ht="16.5" x14ac:dyDescent="0.25">
      <c r="B184" s="38"/>
      <c r="C184" s="38"/>
      <c r="D184" s="38"/>
      <c r="E184" s="39"/>
      <c r="F184" s="40"/>
      <c r="G184" s="40"/>
    </row>
    <row r="185" spans="2:7" customFormat="1" ht="16.5" x14ac:dyDescent="0.25">
      <c r="B185" s="38"/>
      <c r="C185" s="38"/>
      <c r="D185" s="38"/>
      <c r="E185" s="39"/>
      <c r="F185" s="40"/>
      <c r="G185" s="40"/>
    </row>
    <row r="186" spans="2:7" customFormat="1" ht="16.5" x14ac:dyDescent="0.25">
      <c r="B186" s="38"/>
      <c r="C186" s="38"/>
      <c r="D186" s="38"/>
      <c r="E186" s="39"/>
      <c r="F186" s="40"/>
      <c r="G186" s="40"/>
    </row>
    <row r="187" spans="2:7" customFormat="1" ht="16.5" x14ac:dyDescent="0.25">
      <c r="B187" s="38"/>
      <c r="C187" s="38"/>
      <c r="D187" s="38"/>
      <c r="E187" s="39"/>
      <c r="F187" s="40"/>
      <c r="G187" s="40"/>
    </row>
    <row r="188" spans="2:7" customFormat="1" ht="16.5" x14ac:dyDescent="0.25">
      <c r="B188" s="38"/>
      <c r="C188" s="38"/>
      <c r="D188" s="38"/>
      <c r="E188" s="39"/>
      <c r="F188" s="40"/>
      <c r="G188" s="40"/>
    </row>
    <row r="189" spans="2:7" customFormat="1" ht="16.5" x14ac:dyDescent="0.25">
      <c r="B189" s="38"/>
      <c r="C189" s="38"/>
      <c r="D189" s="38"/>
      <c r="E189" s="39"/>
      <c r="F189" s="40"/>
      <c r="G189" s="40"/>
    </row>
    <row r="190" spans="2:7" customFormat="1" ht="16.5" x14ac:dyDescent="0.25">
      <c r="B190" s="38"/>
      <c r="C190" s="38"/>
      <c r="D190" s="38"/>
      <c r="E190" s="39"/>
      <c r="F190" s="40"/>
      <c r="G190" s="40"/>
    </row>
    <row r="191" spans="2:7" customFormat="1" ht="16.5" x14ac:dyDescent="0.25">
      <c r="B191" s="38"/>
      <c r="C191" s="38"/>
      <c r="D191" s="38"/>
      <c r="E191" s="39"/>
      <c r="F191" s="40"/>
      <c r="G191" s="40"/>
    </row>
    <row r="192" spans="2:7" customFormat="1" ht="16.5" x14ac:dyDescent="0.25">
      <c r="B192" s="38"/>
      <c r="C192" s="38"/>
      <c r="D192" s="38"/>
      <c r="E192" s="39"/>
      <c r="F192" s="40"/>
      <c r="G192" s="40"/>
    </row>
    <row r="193" spans="2:7" customFormat="1" ht="16.5" x14ac:dyDescent="0.25">
      <c r="B193" s="38"/>
      <c r="C193" s="38"/>
      <c r="D193" s="38"/>
      <c r="E193" s="39"/>
      <c r="F193" s="40"/>
      <c r="G193" s="40"/>
    </row>
    <row r="194" spans="2:7" customFormat="1" ht="16.5" x14ac:dyDescent="0.25">
      <c r="B194" s="38"/>
      <c r="C194" s="38"/>
      <c r="D194" s="38"/>
      <c r="E194" s="39"/>
      <c r="F194" s="40"/>
      <c r="G194" s="40"/>
    </row>
    <row r="195" spans="2:7" customFormat="1" ht="16.5" x14ac:dyDescent="0.25">
      <c r="B195" s="38"/>
      <c r="C195" s="38"/>
      <c r="D195" s="38"/>
      <c r="E195" s="39"/>
      <c r="F195" s="40"/>
      <c r="G195" s="40"/>
    </row>
    <row r="196" spans="2:7" customFormat="1" ht="16.5" x14ac:dyDescent="0.25">
      <c r="B196" s="38"/>
      <c r="C196" s="38"/>
      <c r="D196" s="38"/>
      <c r="E196" s="39"/>
      <c r="F196" s="40"/>
      <c r="G196" s="40"/>
    </row>
    <row r="197" spans="2:7" customFormat="1" ht="16.5" x14ac:dyDescent="0.25">
      <c r="B197" s="38"/>
      <c r="C197" s="38"/>
      <c r="D197" s="38"/>
      <c r="E197" s="39"/>
      <c r="F197" s="40"/>
      <c r="G197" s="40"/>
    </row>
    <row r="198" spans="2:7" customFormat="1" ht="16.5" x14ac:dyDescent="0.25">
      <c r="B198" s="38"/>
      <c r="C198" s="38"/>
      <c r="D198" s="38"/>
      <c r="E198" s="39"/>
      <c r="F198" s="40"/>
      <c r="G198" s="40"/>
    </row>
    <row r="199" spans="2:7" customFormat="1" ht="16.5" x14ac:dyDescent="0.25">
      <c r="B199" s="38"/>
      <c r="C199" s="38"/>
      <c r="D199" s="38"/>
      <c r="E199" s="39"/>
      <c r="F199" s="40"/>
      <c r="G199" s="40"/>
    </row>
    <row r="200" spans="2:7" customFormat="1" ht="16.5" x14ac:dyDescent="0.25">
      <c r="B200" s="38"/>
      <c r="C200" s="38"/>
      <c r="D200" s="38"/>
      <c r="E200" s="39"/>
      <c r="F200" s="40"/>
      <c r="G200" s="40"/>
    </row>
    <row r="201" spans="2:7" customFormat="1" ht="16.5" x14ac:dyDescent="0.25">
      <c r="B201" s="38"/>
      <c r="C201" s="38"/>
      <c r="D201" s="38"/>
      <c r="E201" s="39"/>
      <c r="F201" s="40"/>
      <c r="G201" s="40"/>
    </row>
    <row r="202" spans="2:7" customFormat="1" ht="16.5" x14ac:dyDescent="0.25">
      <c r="B202" s="38"/>
      <c r="C202" s="38"/>
      <c r="D202" s="38"/>
      <c r="E202" s="39"/>
      <c r="F202" s="40"/>
      <c r="G202" s="40"/>
    </row>
    <row r="203" spans="2:7" customFormat="1" ht="16.5" x14ac:dyDescent="0.25">
      <c r="B203" s="38"/>
      <c r="C203" s="38"/>
      <c r="D203" s="38"/>
      <c r="E203" s="39"/>
      <c r="F203" s="40"/>
      <c r="G203" s="40"/>
    </row>
    <row r="204" spans="2:7" customFormat="1" ht="16.5" x14ac:dyDescent="0.25">
      <c r="B204" s="38"/>
      <c r="C204" s="38"/>
      <c r="D204" s="38"/>
      <c r="E204" s="39"/>
      <c r="F204" s="40"/>
      <c r="G204" s="40"/>
    </row>
    <row r="205" spans="2:7" customFormat="1" ht="16.5" x14ac:dyDescent="0.25">
      <c r="B205" s="38"/>
      <c r="C205" s="38"/>
      <c r="D205" s="38"/>
      <c r="E205" s="39"/>
      <c r="F205" s="40"/>
      <c r="G205" s="40"/>
    </row>
    <row r="206" spans="2:7" customFormat="1" ht="16.5" x14ac:dyDescent="0.25">
      <c r="B206" s="38"/>
      <c r="C206" s="38"/>
      <c r="D206" s="38"/>
      <c r="E206" s="39"/>
      <c r="F206" s="40"/>
      <c r="G206" s="40"/>
    </row>
    <row r="207" spans="2:7" customFormat="1" ht="16.5" x14ac:dyDescent="0.25">
      <c r="B207" s="38"/>
      <c r="C207" s="38"/>
      <c r="D207" s="38"/>
      <c r="E207" s="39"/>
      <c r="F207" s="40"/>
      <c r="G207" s="40"/>
    </row>
    <row r="208" spans="2:7" customFormat="1" ht="16.5" x14ac:dyDescent="0.25">
      <c r="B208" s="38"/>
      <c r="C208" s="38"/>
      <c r="D208" s="38"/>
      <c r="E208" s="39"/>
      <c r="F208" s="40"/>
      <c r="G208" s="40"/>
    </row>
    <row r="209" spans="2:7" customFormat="1" ht="16.5" x14ac:dyDescent="0.25">
      <c r="B209" s="38"/>
      <c r="C209" s="38"/>
      <c r="D209" s="38"/>
      <c r="E209" s="39"/>
      <c r="F209" s="40"/>
      <c r="G209" s="40"/>
    </row>
    <row r="210" spans="2:7" customFormat="1" ht="16.5" x14ac:dyDescent="0.25">
      <c r="B210" s="38"/>
      <c r="C210" s="38"/>
      <c r="D210" s="38"/>
      <c r="E210" s="39"/>
      <c r="F210" s="40"/>
      <c r="G210" s="40"/>
    </row>
    <row r="211" spans="2:7" customFormat="1" ht="16.5" x14ac:dyDescent="0.25">
      <c r="B211" s="38"/>
      <c r="C211" s="38"/>
      <c r="D211" s="38"/>
      <c r="E211" s="39"/>
      <c r="F211" s="40"/>
      <c r="G211" s="40"/>
    </row>
    <row r="212" spans="2:7" customFormat="1" ht="16.5" x14ac:dyDescent="0.25">
      <c r="B212" s="38"/>
      <c r="C212" s="38"/>
      <c r="D212" s="38"/>
      <c r="E212" s="39"/>
      <c r="F212" s="40"/>
      <c r="G212" s="40"/>
    </row>
    <row r="213" spans="2:7" customFormat="1" ht="16.5" x14ac:dyDescent="0.25">
      <c r="B213" s="38"/>
      <c r="C213" s="38"/>
      <c r="D213" s="38"/>
      <c r="E213" s="39"/>
      <c r="F213" s="40"/>
      <c r="G213" s="40"/>
    </row>
    <row r="214" spans="2:7" customFormat="1" ht="16.5" x14ac:dyDescent="0.25">
      <c r="B214" s="38"/>
      <c r="C214" s="38"/>
      <c r="D214" s="38"/>
      <c r="E214" s="39"/>
      <c r="F214" s="40"/>
      <c r="G214" s="40"/>
    </row>
    <row r="215" spans="2:7" customFormat="1" ht="16.5" x14ac:dyDescent="0.25">
      <c r="B215" s="38"/>
      <c r="C215" s="38"/>
      <c r="D215" s="38"/>
      <c r="E215" s="39"/>
      <c r="F215" s="40"/>
      <c r="G215" s="40"/>
    </row>
    <row r="216" spans="2:7" customFormat="1" ht="16.5" x14ac:dyDescent="0.25">
      <c r="B216" s="38"/>
      <c r="C216" s="38"/>
      <c r="D216" s="38"/>
      <c r="E216" s="39"/>
      <c r="F216" s="40"/>
      <c r="G216" s="40"/>
    </row>
    <row r="217" spans="2:7" customFormat="1" ht="16.5" x14ac:dyDescent="0.25">
      <c r="B217" s="38"/>
      <c r="C217" s="38"/>
      <c r="D217" s="38"/>
      <c r="E217" s="39"/>
      <c r="F217" s="40"/>
      <c r="G217" s="40"/>
    </row>
    <row r="218" spans="2:7" customFormat="1" ht="16.5" x14ac:dyDescent="0.25">
      <c r="B218" s="38"/>
      <c r="C218" s="38"/>
      <c r="D218" s="38"/>
      <c r="E218" s="39"/>
      <c r="F218" s="40"/>
      <c r="G218" s="40"/>
    </row>
    <row r="219" spans="2:7" customFormat="1" ht="16.5" x14ac:dyDescent="0.25">
      <c r="B219" s="38"/>
      <c r="C219" s="38"/>
      <c r="D219" s="38"/>
      <c r="E219" s="39"/>
      <c r="F219" s="40"/>
      <c r="G219" s="40"/>
    </row>
    <row r="220" spans="2:7" customFormat="1" ht="16.5" x14ac:dyDescent="0.25">
      <c r="B220" s="38"/>
      <c r="C220" s="38"/>
      <c r="D220" s="38"/>
      <c r="E220" s="39"/>
      <c r="F220" s="40"/>
      <c r="G220" s="40"/>
    </row>
    <row r="221" spans="2:7" customFormat="1" ht="16.5" x14ac:dyDescent="0.25">
      <c r="B221" s="38"/>
      <c r="C221" s="38"/>
      <c r="D221" s="38"/>
      <c r="E221" s="39"/>
      <c r="F221" s="40"/>
      <c r="G221" s="40"/>
    </row>
    <row r="222" spans="2:7" customFormat="1" ht="16.5" x14ac:dyDescent="0.25">
      <c r="B222" s="38"/>
      <c r="C222" s="38"/>
      <c r="D222" s="38"/>
      <c r="E222" s="39"/>
      <c r="F222" s="40"/>
      <c r="G222" s="40"/>
    </row>
    <row r="223" spans="2:7" customFormat="1" ht="16.5" x14ac:dyDescent="0.25">
      <c r="B223" s="38"/>
      <c r="C223" s="38"/>
      <c r="D223" s="38"/>
      <c r="E223" s="39"/>
      <c r="F223" s="40"/>
      <c r="G223" s="40"/>
    </row>
    <row r="224" spans="2:7" customFormat="1" ht="16.5" x14ac:dyDescent="0.25">
      <c r="B224" s="38"/>
      <c r="C224" s="38"/>
      <c r="D224" s="38"/>
      <c r="E224" s="39"/>
      <c r="F224" s="40"/>
      <c r="G224" s="40"/>
    </row>
    <row r="225" spans="2:7" customFormat="1" ht="16.5" x14ac:dyDescent="0.25">
      <c r="B225" s="38"/>
      <c r="C225" s="38"/>
      <c r="D225" s="38"/>
      <c r="E225" s="39"/>
      <c r="F225" s="40"/>
      <c r="G225" s="40"/>
    </row>
    <row r="226" spans="2:7" customFormat="1" ht="16.5" x14ac:dyDescent="0.25">
      <c r="B226" s="38"/>
      <c r="C226" s="38"/>
      <c r="D226" s="38"/>
      <c r="E226" s="39"/>
      <c r="F226" s="40"/>
      <c r="G226" s="40"/>
    </row>
    <row r="227" spans="2:7" customFormat="1" ht="16.5" x14ac:dyDescent="0.25">
      <c r="B227" s="38"/>
      <c r="C227" s="38"/>
      <c r="D227" s="38"/>
      <c r="E227" s="39"/>
      <c r="F227" s="40"/>
      <c r="G227" s="40"/>
    </row>
    <row r="228" spans="2:7" customFormat="1" ht="16.5" x14ac:dyDescent="0.25">
      <c r="B228" s="38"/>
      <c r="C228" s="38"/>
      <c r="D228" s="38"/>
      <c r="E228" s="39"/>
      <c r="F228" s="40"/>
      <c r="G228" s="40"/>
    </row>
    <row r="229" spans="2:7" customFormat="1" ht="16.5" x14ac:dyDescent="0.25">
      <c r="B229" s="38"/>
      <c r="C229" s="38"/>
      <c r="D229" s="38"/>
      <c r="E229" s="39"/>
      <c r="F229" s="40"/>
      <c r="G229" s="40"/>
    </row>
    <row r="230" spans="2:7" customFormat="1" ht="16.5" x14ac:dyDescent="0.25">
      <c r="B230" s="38"/>
      <c r="C230" s="38"/>
      <c r="D230" s="38"/>
      <c r="E230" s="39"/>
      <c r="F230" s="40"/>
      <c r="G230" s="40"/>
    </row>
    <row r="231" spans="2:7" customFormat="1" ht="16.5" x14ac:dyDescent="0.25">
      <c r="B231" s="38"/>
      <c r="C231" s="38"/>
      <c r="D231" s="38"/>
      <c r="E231" s="39"/>
      <c r="F231" s="40"/>
      <c r="G231" s="40"/>
    </row>
    <row r="232" spans="2:7" customFormat="1" ht="16.5" x14ac:dyDescent="0.25">
      <c r="B232" s="38"/>
      <c r="C232" s="38"/>
      <c r="D232" s="38"/>
      <c r="E232" s="39"/>
      <c r="F232" s="40"/>
      <c r="G232" s="40"/>
    </row>
    <row r="233" spans="2:7" customFormat="1" ht="16.5" x14ac:dyDescent="0.25">
      <c r="B233" s="38"/>
      <c r="C233" s="38"/>
      <c r="D233" s="38"/>
      <c r="E233" s="39"/>
      <c r="F233" s="40"/>
      <c r="G233" s="40"/>
    </row>
    <row r="234" spans="2:7" customFormat="1" ht="16.5" x14ac:dyDescent="0.25">
      <c r="B234" s="38"/>
      <c r="C234" s="38"/>
      <c r="D234" s="38"/>
      <c r="E234" s="39"/>
      <c r="F234" s="40"/>
      <c r="G234" s="40"/>
    </row>
    <row r="235" spans="2:7" customFormat="1" ht="16.5" x14ac:dyDescent="0.25">
      <c r="B235" s="38"/>
      <c r="C235" s="38"/>
      <c r="D235" s="38"/>
      <c r="E235" s="39"/>
      <c r="F235" s="40"/>
      <c r="G235" s="40"/>
    </row>
    <row r="236" spans="2:7" customFormat="1" ht="16.5" x14ac:dyDescent="0.25">
      <c r="B236" s="38"/>
      <c r="C236" s="38"/>
      <c r="D236" s="38"/>
      <c r="E236" s="39"/>
      <c r="F236" s="40"/>
      <c r="G236" s="40"/>
    </row>
    <row r="237" spans="2:7" customFormat="1" ht="16.5" x14ac:dyDescent="0.25">
      <c r="B237" s="38"/>
      <c r="C237" s="38"/>
      <c r="D237" s="38"/>
      <c r="E237" s="39"/>
      <c r="F237" s="40"/>
      <c r="G237" s="40"/>
    </row>
    <row r="238" spans="2:7" customFormat="1" ht="16.5" x14ac:dyDescent="0.25">
      <c r="B238" s="38"/>
      <c r="C238" s="38"/>
      <c r="D238" s="38"/>
      <c r="E238" s="39"/>
      <c r="F238" s="40"/>
      <c r="G238" s="40"/>
    </row>
    <row r="239" spans="2:7" customFormat="1" ht="16.5" x14ac:dyDescent="0.25">
      <c r="B239" s="38"/>
      <c r="C239" s="38"/>
      <c r="D239" s="38"/>
      <c r="E239" s="39"/>
      <c r="F239" s="40"/>
      <c r="G239" s="40"/>
    </row>
    <row r="240" spans="2:7" customFormat="1" ht="16.5" x14ac:dyDescent="0.25">
      <c r="B240" s="38"/>
      <c r="C240" s="38"/>
      <c r="D240" s="38"/>
      <c r="E240" s="39"/>
      <c r="F240" s="40"/>
      <c r="G240" s="40"/>
    </row>
    <row r="241" spans="2:7" customFormat="1" ht="16.5" x14ac:dyDescent="0.25">
      <c r="B241" s="38"/>
      <c r="C241" s="38"/>
      <c r="D241" s="38"/>
      <c r="E241" s="39"/>
      <c r="F241" s="40"/>
      <c r="G241" s="40"/>
    </row>
    <row r="242" spans="2:7" customFormat="1" ht="16.5" x14ac:dyDescent="0.25">
      <c r="B242" s="38"/>
      <c r="C242" s="38"/>
      <c r="D242" s="38"/>
      <c r="E242" s="39"/>
      <c r="F242" s="40"/>
      <c r="G242" s="40"/>
    </row>
    <row r="243" spans="2:7" customFormat="1" ht="16.5" x14ac:dyDescent="0.25">
      <c r="B243" s="38"/>
      <c r="C243" s="38"/>
      <c r="D243" s="38"/>
      <c r="E243" s="39"/>
      <c r="F243" s="40"/>
      <c r="G243" s="40"/>
    </row>
    <row r="244" spans="2:7" customFormat="1" ht="16.5" x14ac:dyDescent="0.25">
      <c r="B244" s="38"/>
      <c r="C244" s="38"/>
      <c r="D244" s="38"/>
      <c r="E244" s="39"/>
      <c r="F244" s="40"/>
      <c r="G244" s="40"/>
    </row>
    <row r="245" spans="2:7" customFormat="1" ht="16.5" x14ac:dyDescent="0.25">
      <c r="B245" s="38"/>
      <c r="C245" s="38"/>
      <c r="D245" s="38"/>
      <c r="E245" s="39"/>
      <c r="F245" s="40"/>
      <c r="G245" s="40"/>
    </row>
    <row r="246" spans="2:7" customFormat="1" ht="16.5" x14ac:dyDescent="0.25">
      <c r="B246" s="38"/>
      <c r="C246" s="38"/>
      <c r="D246" s="38"/>
      <c r="E246" s="39"/>
      <c r="F246" s="40"/>
      <c r="G246" s="40"/>
    </row>
    <row r="247" spans="2:7" customFormat="1" ht="16.5" x14ac:dyDescent="0.25">
      <c r="B247" s="38"/>
      <c r="C247" s="38"/>
      <c r="D247" s="38"/>
      <c r="E247" s="39"/>
      <c r="F247" s="40"/>
      <c r="G247" s="40"/>
    </row>
    <row r="248" spans="2:7" customFormat="1" ht="16.5" x14ac:dyDescent="0.25">
      <c r="B248" s="38"/>
      <c r="C248" s="38"/>
      <c r="D248" s="38"/>
      <c r="E248" s="39"/>
      <c r="F248" s="40"/>
      <c r="G248" s="40"/>
    </row>
    <row r="249" spans="2:7" customFormat="1" ht="16.5" x14ac:dyDescent="0.25">
      <c r="B249" s="38"/>
      <c r="C249" s="38"/>
      <c r="D249" s="38"/>
      <c r="E249" s="39"/>
      <c r="F249" s="40"/>
      <c r="G249" s="40"/>
    </row>
    <row r="250" spans="2:7" customFormat="1" ht="16.5" x14ac:dyDescent="0.25">
      <c r="B250" s="38"/>
      <c r="C250" s="38"/>
      <c r="D250" s="38"/>
      <c r="E250" s="39"/>
      <c r="F250" s="40"/>
      <c r="G250" s="40"/>
    </row>
    <row r="251" spans="2:7" customFormat="1" ht="16.5" x14ac:dyDescent="0.25">
      <c r="B251" s="38"/>
      <c r="C251" s="38"/>
      <c r="D251" s="38"/>
      <c r="E251" s="39"/>
      <c r="F251" s="40"/>
      <c r="G251" s="40"/>
    </row>
    <row r="252" spans="2:7" customFormat="1" ht="16.5" x14ac:dyDescent="0.25">
      <c r="B252" s="38"/>
      <c r="C252" s="38"/>
      <c r="D252" s="38"/>
      <c r="E252" s="39"/>
      <c r="F252" s="40"/>
      <c r="G252" s="40"/>
    </row>
    <row r="253" spans="2:7" customFormat="1" ht="16.5" x14ac:dyDescent="0.25">
      <c r="B253" s="38"/>
      <c r="C253" s="38"/>
      <c r="D253" s="38"/>
      <c r="E253" s="39"/>
      <c r="F253" s="40"/>
      <c r="G253" s="40"/>
    </row>
    <row r="254" spans="2:7" customFormat="1" ht="16.5" x14ac:dyDescent="0.25">
      <c r="B254" s="38"/>
      <c r="C254" s="38"/>
      <c r="D254" s="38"/>
      <c r="E254" s="39"/>
      <c r="F254" s="40"/>
      <c r="G254" s="40"/>
    </row>
    <row r="255" spans="2:7" customFormat="1" ht="16.5" x14ac:dyDescent="0.25">
      <c r="B255" s="38"/>
      <c r="C255" s="38"/>
      <c r="D255" s="38"/>
      <c r="E255" s="39"/>
      <c r="F255" s="40"/>
      <c r="G255" s="40"/>
    </row>
    <row r="256" spans="2:7" customFormat="1" ht="16.5" x14ac:dyDescent="0.25">
      <c r="B256" s="38"/>
      <c r="C256" s="38"/>
      <c r="D256" s="38"/>
      <c r="E256" s="39"/>
      <c r="F256" s="40"/>
      <c r="G256" s="40"/>
    </row>
    <row r="257" spans="2:7" customFormat="1" ht="16.5" x14ac:dyDescent="0.25">
      <c r="B257" s="38"/>
      <c r="C257" s="38"/>
      <c r="D257" s="38"/>
      <c r="E257" s="39"/>
      <c r="F257" s="40"/>
      <c r="G257" s="40"/>
    </row>
    <row r="258" spans="2:7" customFormat="1" ht="16.5" x14ac:dyDescent="0.25">
      <c r="B258" s="38"/>
      <c r="C258" s="38"/>
      <c r="D258" s="38"/>
      <c r="E258" s="39"/>
      <c r="F258" s="40"/>
      <c r="G258" s="40"/>
    </row>
    <row r="259" spans="2:7" customFormat="1" ht="16.5" x14ac:dyDescent="0.25">
      <c r="B259" s="38"/>
      <c r="C259" s="38"/>
      <c r="D259" s="38"/>
      <c r="E259" s="39"/>
      <c r="F259" s="40"/>
      <c r="G259" s="40"/>
    </row>
    <row r="260" spans="2:7" customFormat="1" ht="16.5" x14ac:dyDescent="0.25">
      <c r="B260" s="38"/>
      <c r="C260" s="38"/>
      <c r="D260" s="38"/>
      <c r="E260" s="39"/>
      <c r="F260" s="40"/>
      <c r="G260" s="40"/>
    </row>
    <row r="261" spans="2:7" customFormat="1" ht="16.5" x14ac:dyDescent="0.25">
      <c r="B261" s="38"/>
      <c r="C261" s="38"/>
      <c r="D261" s="38"/>
      <c r="E261" s="39"/>
      <c r="F261" s="40"/>
      <c r="G261" s="40"/>
    </row>
    <row r="262" spans="2:7" customFormat="1" ht="16.5" x14ac:dyDescent="0.25">
      <c r="B262" s="38"/>
      <c r="C262" s="38"/>
      <c r="D262" s="38"/>
      <c r="E262" s="39"/>
      <c r="F262" s="40"/>
      <c r="G262" s="40"/>
    </row>
    <row r="263" spans="2:7" customFormat="1" ht="16.5" x14ac:dyDescent="0.25">
      <c r="B263" s="38"/>
      <c r="C263" s="38"/>
      <c r="D263" s="38"/>
      <c r="E263" s="39"/>
      <c r="F263" s="40"/>
      <c r="G263" s="40"/>
    </row>
    <row r="264" spans="2:7" customFormat="1" ht="16.5" x14ac:dyDescent="0.25">
      <c r="B264" s="38"/>
      <c r="C264" s="38"/>
      <c r="D264" s="38"/>
      <c r="E264" s="39"/>
      <c r="F264" s="40"/>
      <c r="G264" s="40"/>
    </row>
    <row r="265" spans="2:7" customFormat="1" ht="16.5" x14ac:dyDescent="0.25">
      <c r="B265" s="38"/>
      <c r="C265" s="38"/>
      <c r="D265" s="38"/>
      <c r="E265" s="39"/>
      <c r="F265" s="40"/>
      <c r="G265" s="40"/>
    </row>
    <row r="266" spans="2:7" customFormat="1" ht="16.5" x14ac:dyDescent="0.25">
      <c r="B266" s="38"/>
      <c r="C266" s="38"/>
      <c r="D266" s="38"/>
      <c r="E266" s="39"/>
      <c r="F266" s="40"/>
      <c r="G266" s="40"/>
    </row>
    <row r="267" spans="2:7" customFormat="1" ht="16.5" x14ac:dyDescent="0.25">
      <c r="B267" s="38"/>
      <c r="C267" s="38"/>
      <c r="D267" s="38"/>
      <c r="E267" s="39"/>
      <c r="F267" s="40"/>
      <c r="G267" s="40"/>
    </row>
    <row r="268" spans="2:7" customFormat="1" ht="16.5" x14ac:dyDescent="0.25">
      <c r="B268" s="38"/>
      <c r="C268" s="38"/>
      <c r="D268" s="38"/>
      <c r="E268" s="39"/>
      <c r="F268" s="40"/>
      <c r="G268" s="40"/>
    </row>
    <row r="269" spans="2:7" customFormat="1" ht="16.5" x14ac:dyDescent="0.25">
      <c r="B269" s="38"/>
      <c r="C269" s="38"/>
      <c r="D269" s="38"/>
      <c r="E269" s="39"/>
      <c r="F269" s="40"/>
      <c r="G269" s="40"/>
    </row>
    <row r="270" spans="2:7" customFormat="1" ht="16.5" x14ac:dyDescent="0.25">
      <c r="B270" s="38"/>
      <c r="C270" s="38"/>
      <c r="D270" s="38"/>
      <c r="E270" s="39"/>
      <c r="F270" s="40"/>
      <c r="G270" s="40"/>
    </row>
    <row r="271" spans="2:7" customFormat="1" ht="16.5" x14ac:dyDescent="0.25">
      <c r="B271" s="38"/>
      <c r="C271" s="38"/>
      <c r="D271" s="38"/>
      <c r="E271" s="39"/>
      <c r="F271" s="40"/>
      <c r="G271" s="40"/>
    </row>
    <row r="272" spans="2:7" customFormat="1" ht="16.5" x14ac:dyDescent="0.25">
      <c r="B272" s="38"/>
      <c r="C272" s="38"/>
      <c r="D272" s="38"/>
      <c r="E272" s="39"/>
      <c r="F272" s="40"/>
      <c r="G272" s="40"/>
    </row>
    <row r="273" spans="2:7" customFormat="1" ht="16.5" x14ac:dyDescent="0.25">
      <c r="B273" s="38"/>
      <c r="C273" s="38"/>
      <c r="D273" s="38"/>
      <c r="E273" s="39"/>
      <c r="F273" s="40"/>
      <c r="G273" s="40"/>
    </row>
    <row r="274" spans="2:7" customFormat="1" ht="16.5" x14ac:dyDescent="0.25">
      <c r="B274" s="38"/>
      <c r="C274" s="38"/>
      <c r="D274" s="38"/>
      <c r="E274" s="39"/>
      <c r="F274" s="40"/>
      <c r="G274" s="40"/>
    </row>
    <row r="275" spans="2:7" customFormat="1" ht="16.5" x14ac:dyDescent="0.25">
      <c r="B275" s="38"/>
      <c r="C275" s="38"/>
      <c r="D275" s="38"/>
      <c r="E275" s="39"/>
      <c r="F275" s="40"/>
      <c r="G275" s="40"/>
    </row>
    <row r="276" spans="2:7" customFormat="1" ht="16.5" x14ac:dyDescent="0.25">
      <c r="B276" s="38"/>
      <c r="C276" s="38"/>
      <c r="D276" s="38"/>
      <c r="E276" s="39"/>
      <c r="F276" s="40"/>
      <c r="G276" s="40"/>
    </row>
    <row r="277" spans="2:7" customFormat="1" ht="16.5" x14ac:dyDescent="0.25">
      <c r="B277" s="38"/>
      <c r="C277" s="38"/>
      <c r="D277" s="38"/>
      <c r="E277" s="39"/>
      <c r="F277" s="40"/>
      <c r="G277" s="40"/>
    </row>
    <row r="278" spans="2:7" customFormat="1" ht="16.5" x14ac:dyDescent="0.25">
      <c r="B278" s="38"/>
      <c r="C278" s="38"/>
      <c r="D278" s="38"/>
      <c r="E278" s="39"/>
      <c r="F278" s="40"/>
      <c r="G278" s="40"/>
    </row>
    <row r="279" spans="2:7" customFormat="1" ht="16.5" x14ac:dyDescent="0.25">
      <c r="B279" s="38"/>
      <c r="C279" s="38"/>
      <c r="D279" s="38"/>
      <c r="E279" s="39"/>
      <c r="F279" s="40"/>
      <c r="G279" s="40"/>
    </row>
    <row r="280" spans="2:7" customFormat="1" ht="16.5" x14ac:dyDescent="0.25">
      <c r="B280" s="38"/>
      <c r="C280" s="38"/>
      <c r="D280" s="38"/>
      <c r="E280" s="39"/>
      <c r="F280" s="40"/>
      <c r="G280" s="40"/>
    </row>
    <row r="281" spans="2:7" customFormat="1" ht="16.5" x14ac:dyDescent="0.25">
      <c r="B281" s="38"/>
      <c r="C281" s="38"/>
      <c r="D281" s="38"/>
      <c r="E281" s="39"/>
      <c r="F281" s="40"/>
      <c r="G281" s="40"/>
    </row>
    <row r="282" spans="2:7" customFormat="1" ht="16.5" x14ac:dyDescent="0.25">
      <c r="B282" s="38"/>
      <c r="C282" s="38"/>
      <c r="D282" s="38"/>
      <c r="E282" s="39"/>
      <c r="F282" s="40"/>
      <c r="G282" s="40"/>
    </row>
    <row r="283" spans="2:7" customFormat="1" ht="16.5" x14ac:dyDescent="0.25">
      <c r="B283" s="38"/>
      <c r="C283" s="38"/>
      <c r="D283" s="38"/>
      <c r="E283" s="39"/>
      <c r="F283" s="40"/>
      <c r="G283" s="40"/>
    </row>
    <row r="284" spans="2:7" customFormat="1" ht="16.5" x14ac:dyDescent="0.25">
      <c r="B284" s="38"/>
      <c r="C284" s="38"/>
      <c r="D284" s="38"/>
      <c r="E284" s="39"/>
      <c r="F284" s="40"/>
      <c r="G284" s="40"/>
    </row>
    <row r="285" spans="2:7" customFormat="1" ht="16.5" x14ac:dyDescent="0.25">
      <c r="B285" s="38"/>
      <c r="C285" s="38"/>
      <c r="D285" s="38"/>
      <c r="E285" s="39"/>
      <c r="F285" s="40"/>
      <c r="G285" s="40"/>
    </row>
    <row r="286" spans="2:7" customFormat="1" ht="16.5" x14ac:dyDescent="0.25">
      <c r="B286" s="38"/>
      <c r="C286" s="38"/>
      <c r="D286" s="38"/>
      <c r="E286" s="39"/>
      <c r="F286" s="40"/>
      <c r="G286" s="40"/>
    </row>
    <row r="287" spans="2:7" customFormat="1" ht="16.5" x14ac:dyDescent="0.25">
      <c r="B287" s="38"/>
      <c r="C287" s="38"/>
      <c r="D287" s="38"/>
      <c r="E287" s="39"/>
      <c r="F287" s="40"/>
      <c r="G287" s="40"/>
    </row>
    <row r="288" spans="2:7" customFormat="1" ht="16.5" x14ac:dyDescent="0.25">
      <c r="B288" s="38"/>
      <c r="C288" s="38"/>
      <c r="D288" s="38"/>
      <c r="E288" s="39"/>
      <c r="F288" s="40"/>
      <c r="G288" s="40"/>
    </row>
    <row r="289" spans="2:7" customFormat="1" ht="16.5" x14ac:dyDescent="0.25">
      <c r="B289" s="38"/>
      <c r="C289" s="38"/>
      <c r="D289" s="38"/>
      <c r="E289" s="39"/>
      <c r="F289" s="40"/>
      <c r="G289" s="40"/>
    </row>
    <row r="290" spans="2:7" customFormat="1" ht="16.5" x14ac:dyDescent="0.25">
      <c r="B290" s="38"/>
      <c r="C290" s="38"/>
      <c r="D290" s="38"/>
      <c r="E290" s="39"/>
      <c r="F290" s="40"/>
      <c r="G290" s="40"/>
    </row>
    <row r="291" spans="2:7" customFormat="1" ht="16.5" x14ac:dyDescent="0.25">
      <c r="B291" s="38"/>
      <c r="C291" s="38"/>
      <c r="D291" s="38"/>
      <c r="E291" s="39"/>
      <c r="F291" s="40"/>
      <c r="G291" s="40"/>
    </row>
    <row r="292" spans="2:7" customFormat="1" ht="16.5" x14ac:dyDescent="0.25">
      <c r="B292" s="38"/>
      <c r="C292" s="38"/>
      <c r="D292" s="38"/>
      <c r="E292" s="39"/>
      <c r="F292" s="40"/>
      <c r="G292" s="40"/>
    </row>
    <row r="293" spans="2:7" customFormat="1" ht="16.5" x14ac:dyDescent="0.25">
      <c r="B293" s="38"/>
      <c r="C293" s="38"/>
      <c r="D293" s="38"/>
      <c r="E293" s="39"/>
      <c r="F293" s="40"/>
      <c r="G293" s="40"/>
    </row>
    <row r="294" spans="2:7" customFormat="1" ht="16.5" x14ac:dyDescent="0.25">
      <c r="B294" s="38"/>
      <c r="C294" s="38"/>
      <c r="D294" s="38"/>
      <c r="E294" s="39"/>
      <c r="F294" s="40"/>
      <c r="G294" s="40"/>
    </row>
    <row r="295" spans="2:7" customFormat="1" ht="16.5" x14ac:dyDescent="0.25">
      <c r="B295" s="38"/>
      <c r="C295" s="38"/>
      <c r="D295" s="38"/>
      <c r="E295" s="39"/>
      <c r="F295" s="40"/>
      <c r="G295" s="40"/>
    </row>
    <row r="296" spans="2:7" customFormat="1" ht="16.5" x14ac:dyDescent="0.25">
      <c r="B296" s="38"/>
      <c r="C296" s="38"/>
      <c r="D296" s="38"/>
      <c r="E296" s="39"/>
      <c r="F296" s="40"/>
      <c r="G296" s="40"/>
    </row>
    <row r="297" spans="2:7" customFormat="1" ht="16.5" x14ac:dyDescent="0.25">
      <c r="B297" s="38"/>
      <c r="C297" s="38"/>
      <c r="D297" s="38"/>
      <c r="E297" s="39"/>
      <c r="F297" s="40"/>
      <c r="G297" s="40"/>
    </row>
    <row r="298" spans="2:7" customFormat="1" ht="16.5" x14ac:dyDescent="0.25">
      <c r="B298" s="38"/>
      <c r="C298" s="38"/>
      <c r="D298" s="38"/>
      <c r="E298" s="39"/>
      <c r="F298" s="40"/>
      <c r="G298" s="40"/>
    </row>
    <row r="299" spans="2:7" customFormat="1" ht="16.5" x14ac:dyDescent="0.25">
      <c r="B299" s="38"/>
      <c r="C299" s="38"/>
      <c r="D299" s="38"/>
      <c r="E299" s="39"/>
      <c r="F299" s="40"/>
      <c r="G299" s="40"/>
    </row>
    <row r="300" spans="2:7" customFormat="1" ht="16.5" x14ac:dyDescent="0.25">
      <c r="B300" s="38"/>
      <c r="C300" s="38"/>
      <c r="D300" s="38"/>
      <c r="E300" s="39"/>
      <c r="F300" s="40"/>
      <c r="G300" s="40"/>
    </row>
    <row r="301" spans="2:7" customFormat="1" ht="16.5" x14ac:dyDescent="0.25">
      <c r="B301" s="38"/>
      <c r="C301" s="38"/>
      <c r="D301" s="38"/>
      <c r="E301" s="39"/>
      <c r="F301" s="40"/>
      <c r="G301" s="40"/>
    </row>
    <row r="302" spans="2:7" customFormat="1" ht="16.5" x14ac:dyDescent="0.25">
      <c r="B302" s="38"/>
      <c r="C302" s="38"/>
      <c r="D302" s="38"/>
      <c r="E302" s="39"/>
      <c r="F302" s="40"/>
      <c r="G302" s="40"/>
    </row>
    <row r="303" spans="2:7" customFormat="1" ht="16.5" x14ac:dyDescent="0.25">
      <c r="B303" s="38"/>
      <c r="C303" s="38"/>
      <c r="D303" s="38"/>
      <c r="E303" s="39"/>
      <c r="F303" s="40"/>
      <c r="G303" s="40"/>
    </row>
    <row r="304" spans="2:7" customFormat="1" ht="16.5" x14ac:dyDescent="0.25">
      <c r="B304" s="38"/>
      <c r="C304" s="38"/>
      <c r="D304" s="38"/>
      <c r="E304" s="39"/>
      <c r="F304" s="40"/>
      <c r="G304" s="40"/>
    </row>
    <row r="305" spans="2:7" customFormat="1" ht="16.5" x14ac:dyDescent="0.25">
      <c r="B305" s="38"/>
      <c r="C305" s="38"/>
      <c r="D305" s="38"/>
      <c r="E305" s="39"/>
      <c r="F305" s="40"/>
      <c r="G305" s="40"/>
    </row>
    <row r="306" spans="2:7" customFormat="1" ht="16.5" x14ac:dyDescent="0.25">
      <c r="B306" s="38"/>
      <c r="C306" s="38"/>
      <c r="D306" s="38"/>
      <c r="E306" s="39"/>
      <c r="F306" s="40"/>
      <c r="G306" s="40"/>
    </row>
    <row r="307" spans="2:7" customFormat="1" ht="16.5" x14ac:dyDescent="0.25">
      <c r="B307" s="38"/>
      <c r="C307" s="38"/>
      <c r="D307" s="38"/>
      <c r="E307" s="39"/>
      <c r="F307" s="40"/>
      <c r="G307" s="40"/>
    </row>
    <row r="308" spans="2:7" customFormat="1" ht="16.5" x14ac:dyDescent="0.25">
      <c r="B308" s="38"/>
      <c r="C308" s="38"/>
      <c r="D308" s="38"/>
      <c r="E308" s="39"/>
      <c r="F308" s="40"/>
      <c r="G308" s="40"/>
    </row>
    <row r="309" spans="2:7" customFormat="1" ht="16.5" x14ac:dyDescent="0.25">
      <c r="B309" s="38"/>
      <c r="C309" s="38"/>
      <c r="D309" s="38"/>
      <c r="E309" s="39"/>
      <c r="F309" s="40"/>
      <c r="G309" s="40"/>
    </row>
    <row r="310" spans="2:7" customFormat="1" ht="16.5" x14ac:dyDescent="0.25">
      <c r="B310" s="38"/>
      <c r="C310" s="38"/>
      <c r="D310" s="38"/>
      <c r="E310" s="39"/>
      <c r="F310" s="40"/>
      <c r="G310" s="40"/>
    </row>
    <row r="311" spans="2:7" customFormat="1" ht="16.5" x14ac:dyDescent="0.25">
      <c r="B311" s="38"/>
      <c r="C311" s="38"/>
      <c r="D311" s="38"/>
      <c r="E311" s="39"/>
      <c r="F311" s="40"/>
      <c r="G311" s="40"/>
    </row>
    <row r="312" spans="2:7" customFormat="1" ht="16.5" x14ac:dyDescent="0.25">
      <c r="B312" s="38"/>
      <c r="C312" s="38"/>
      <c r="D312" s="38"/>
      <c r="E312" s="39"/>
      <c r="F312" s="40"/>
      <c r="G312" s="40"/>
    </row>
    <row r="313" spans="2:7" customFormat="1" ht="16.5" x14ac:dyDescent="0.25">
      <c r="B313" s="38"/>
      <c r="C313" s="38"/>
      <c r="D313" s="38"/>
      <c r="E313" s="39"/>
      <c r="F313" s="40"/>
      <c r="G313" s="40"/>
    </row>
    <row r="314" spans="2:7" customFormat="1" ht="16.5" x14ac:dyDescent="0.25">
      <c r="B314" s="38"/>
      <c r="C314" s="38"/>
      <c r="D314" s="38"/>
      <c r="E314" s="39"/>
      <c r="F314" s="40"/>
      <c r="G314" s="40"/>
    </row>
    <row r="315" spans="2:7" customFormat="1" ht="16.5" x14ac:dyDescent="0.25">
      <c r="B315" s="38"/>
      <c r="C315" s="38"/>
      <c r="D315" s="38"/>
      <c r="E315" s="39"/>
      <c r="F315" s="40"/>
      <c r="G315" s="40"/>
    </row>
    <row r="316" spans="2:7" customFormat="1" ht="16.5" x14ac:dyDescent="0.25">
      <c r="B316" s="38"/>
      <c r="C316" s="38"/>
      <c r="D316" s="38"/>
      <c r="E316" s="39"/>
      <c r="F316" s="40"/>
      <c r="G316" s="40"/>
    </row>
    <row r="317" spans="2:7" customFormat="1" ht="16.5" x14ac:dyDescent="0.25">
      <c r="B317" s="38"/>
      <c r="C317" s="38"/>
      <c r="D317" s="38"/>
      <c r="E317" s="39"/>
      <c r="F317" s="40"/>
      <c r="G317" s="40"/>
    </row>
    <row r="318" spans="2:7" customFormat="1" ht="16.5" x14ac:dyDescent="0.25">
      <c r="B318" s="38"/>
      <c r="C318" s="38"/>
      <c r="D318" s="38"/>
      <c r="E318" s="39"/>
      <c r="F318" s="40"/>
      <c r="G318" s="40"/>
    </row>
    <row r="319" spans="2:7" customFormat="1" ht="16.5" x14ac:dyDescent="0.25">
      <c r="B319" s="38"/>
      <c r="C319" s="38"/>
      <c r="D319" s="38"/>
      <c r="E319" s="39"/>
      <c r="F319" s="40"/>
      <c r="G319" s="40"/>
    </row>
    <row r="320" spans="2:7" customFormat="1" ht="16.5" x14ac:dyDescent="0.25">
      <c r="B320" s="38"/>
      <c r="C320" s="38"/>
      <c r="D320" s="38"/>
      <c r="E320" s="39"/>
      <c r="F320" s="40"/>
      <c r="G320" s="40"/>
    </row>
    <row r="321" spans="2:7" customFormat="1" ht="16.5" x14ac:dyDescent="0.25">
      <c r="B321" s="38"/>
      <c r="C321" s="38"/>
      <c r="D321" s="38"/>
      <c r="E321" s="39"/>
      <c r="F321" s="40"/>
      <c r="G321" s="40"/>
    </row>
    <row r="322" spans="2:7" customFormat="1" ht="16.5" x14ac:dyDescent="0.25">
      <c r="B322" s="38"/>
      <c r="C322" s="38"/>
      <c r="D322" s="38"/>
      <c r="E322" s="39"/>
      <c r="F322" s="40"/>
      <c r="G322" s="40"/>
    </row>
    <row r="323" spans="2:7" customFormat="1" ht="16.5" x14ac:dyDescent="0.25">
      <c r="B323" s="38"/>
      <c r="C323" s="38"/>
      <c r="D323" s="38"/>
      <c r="E323" s="39"/>
      <c r="F323" s="40"/>
      <c r="G323" s="40"/>
    </row>
    <row r="324" spans="2:7" customFormat="1" ht="16.5" x14ac:dyDescent="0.25">
      <c r="B324" s="38"/>
      <c r="C324" s="38"/>
      <c r="D324" s="38"/>
      <c r="E324" s="39"/>
      <c r="F324" s="40"/>
      <c r="G324" s="40"/>
    </row>
    <row r="325" spans="2:7" customFormat="1" ht="16.5" x14ac:dyDescent="0.25">
      <c r="B325" s="38"/>
      <c r="C325" s="38"/>
      <c r="D325" s="38"/>
      <c r="E325" s="39"/>
      <c r="F325" s="40"/>
      <c r="G325" s="40"/>
    </row>
    <row r="326" spans="2:7" customFormat="1" ht="16.5" x14ac:dyDescent="0.25">
      <c r="B326" s="38"/>
      <c r="C326" s="38"/>
      <c r="D326" s="38"/>
      <c r="E326" s="39"/>
      <c r="F326" s="40"/>
      <c r="G326" s="40"/>
    </row>
    <row r="327" spans="2:7" customFormat="1" ht="16.5" x14ac:dyDescent="0.25">
      <c r="B327" s="38"/>
      <c r="C327" s="38"/>
      <c r="D327" s="38"/>
      <c r="E327" s="39"/>
      <c r="F327" s="40"/>
      <c r="G327" s="40"/>
    </row>
    <row r="328" spans="2:7" customFormat="1" ht="16.5" x14ac:dyDescent="0.25">
      <c r="B328" s="38"/>
      <c r="C328" s="38"/>
      <c r="D328" s="38"/>
      <c r="E328" s="39"/>
      <c r="F328" s="40"/>
      <c r="G328" s="40"/>
    </row>
    <row r="329" spans="2:7" customFormat="1" ht="16.5" x14ac:dyDescent="0.25">
      <c r="B329" s="38"/>
      <c r="C329" s="38"/>
      <c r="D329" s="38"/>
      <c r="E329" s="39"/>
      <c r="F329" s="40"/>
      <c r="G329" s="40"/>
    </row>
    <row r="330" spans="2:7" customFormat="1" ht="16.5" x14ac:dyDescent="0.25">
      <c r="B330" s="38"/>
      <c r="C330" s="38"/>
      <c r="D330" s="38"/>
      <c r="E330" s="39"/>
      <c r="F330" s="40"/>
      <c r="G330" s="40"/>
    </row>
    <row r="331" spans="2:7" customFormat="1" ht="16.5" x14ac:dyDescent="0.25">
      <c r="B331" s="38"/>
      <c r="C331" s="38"/>
      <c r="D331" s="38"/>
      <c r="E331" s="39"/>
      <c r="F331" s="40"/>
      <c r="G331" s="40"/>
    </row>
    <row r="332" spans="2:7" customFormat="1" ht="16.5" x14ac:dyDescent="0.25">
      <c r="B332" s="38"/>
      <c r="C332" s="38"/>
      <c r="D332" s="38"/>
      <c r="E332" s="39"/>
      <c r="F332" s="40"/>
      <c r="G332" s="40"/>
    </row>
    <row r="333" spans="2:7" customFormat="1" ht="16.5" x14ac:dyDescent="0.25">
      <c r="B333" s="38"/>
      <c r="C333" s="38"/>
      <c r="D333" s="38"/>
      <c r="E333" s="39"/>
      <c r="F333" s="40"/>
      <c r="G333" s="40"/>
    </row>
    <row r="334" spans="2:7" customFormat="1" ht="16.5" x14ac:dyDescent="0.25">
      <c r="B334" s="38"/>
      <c r="C334" s="38"/>
      <c r="D334" s="38"/>
      <c r="E334" s="39"/>
      <c r="F334" s="40"/>
      <c r="G334" s="40"/>
    </row>
    <row r="335" spans="2:7" customFormat="1" ht="16.5" x14ac:dyDescent="0.25">
      <c r="B335" s="38"/>
      <c r="C335" s="38"/>
      <c r="D335" s="38"/>
      <c r="E335" s="39"/>
      <c r="F335" s="40"/>
      <c r="G335" s="40"/>
    </row>
    <row r="336" spans="2:7" customFormat="1" ht="16.5" x14ac:dyDescent="0.25">
      <c r="B336" s="38"/>
      <c r="C336" s="38"/>
      <c r="D336" s="38"/>
      <c r="E336" s="39"/>
      <c r="F336" s="40"/>
      <c r="G336" s="40"/>
    </row>
    <row r="337" spans="2:7" customFormat="1" ht="16.5" x14ac:dyDescent="0.25">
      <c r="B337" s="38"/>
      <c r="C337" s="38"/>
      <c r="D337" s="38"/>
      <c r="E337" s="39"/>
      <c r="F337" s="40"/>
      <c r="G337" s="40"/>
    </row>
    <row r="338" spans="2:7" customFormat="1" ht="16.5" x14ac:dyDescent="0.25">
      <c r="B338" s="38"/>
      <c r="C338" s="38"/>
      <c r="D338" s="38"/>
      <c r="E338" s="39"/>
      <c r="F338" s="40"/>
      <c r="G338" s="40"/>
    </row>
    <row r="339" spans="2:7" customFormat="1" ht="16.5" x14ac:dyDescent="0.25">
      <c r="B339" s="38"/>
      <c r="C339" s="38"/>
      <c r="D339" s="38"/>
      <c r="E339" s="39"/>
      <c r="F339" s="40"/>
      <c r="G339" s="40"/>
    </row>
    <row r="340" spans="2:7" customFormat="1" ht="16.5" x14ac:dyDescent="0.25">
      <c r="B340" s="38"/>
      <c r="C340" s="38"/>
      <c r="D340" s="38"/>
      <c r="E340" s="39"/>
      <c r="F340" s="40"/>
      <c r="G340" s="40"/>
    </row>
    <row r="341" spans="2:7" customFormat="1" ht="16.5" x14ac:dyDescent="0.25">
      <c r="B341" s="38"/>
      <c r="C341" s="38"/>
      <c r="D341" s="38"/>
      <c r="E341" s="39"/>
      <c r="F341" s="40"/>
      <c r="G341" s="40"/>
    </row>
    <row r="342" spans="2:7" customFormat="1" ht="16.5" x14ac:dyDescent="0.25">
      <c r="B342" s="38"/>
      <c r="C342" s="38"/>
      <c r="D342" s="38"/>
      <c r="E342" s="39"/>
      <c r="F342" s="40"/>
      <c r="G342" s="40"/>
    </row>
    <row r="343" spans="2:7" customFormat="1" ht="16.5" x14ac:dyDescent="0.25">
      <c r="B343" s="38"/>
      <c r="C343" s="38"/>
      <c r="D343" s="38"/>
      <c r="E343" s="39"/>
      <c r="F343" s="40"/>
      <c r="G343" s="40"/>
    </row>
    <row r="344" spans="2:7" customFormat="1" ht="16.5" x14ac:dyDescent="0.25">
      <c r="B344" s="38"/>
      <c r="C344" s="38"/>
      <c r="D344" s="38"/>
      <c r="E344" s="39"/>
      <c r="F344" s="40"/>
      <c r="G344" s="40"/>
    </row>
    <row r="345" spans="2:7" customFormat="1" ht="16.5" x14ac:dyDescent="0.25">
      <c r="B345" s="38"/>
      <c r="C345" s="38"/>
      <c r="D345" s="38"/>
      <c r="E345" s="39"/>
      <c r="F345" s="40"/>
      <c r="G345" s="40"/>
    </row>
    <row r="346" spans="2:7" customFormat="1" ht="16.5" x14ac:dyDescent="0.25">
      <c r="B346" s="38"/>
      <c r="C346" s="38"/>
      <c r="D346" s="38"/>
      <c r="E346" s="39"/>
      <c r="F346" s="40"/>
      <c r="G346" s="40"/>
    </row>
    <row r="347" spans="2:7" customFormat="1" ht="16.5" x14ac:dyDescent="0.25">
      <c r="B347" s="38"/>
      <c r="C347" s="38"/>
      <c r="D347" s="38"/>
      <c r="E347" s="39"/>
      <c r="F347" s="40"/>
      <c r="G347" s="40"/>
    </row>
    <row r="348" spans="2:7" customFormat="1" ht="16.5" x14ac:dyDescent="0.25">
      <c r="B348" s="38"/>
      <c r="C348" s="38"/>
      <c r="D348" s="38"/>
      <c r="E348" s="39"/>
      <c r="F348" s="40"/>
      <c r="G348" s="40"/>
    </row>
    <row r="349" spans="2:7" customFormat="1" ht="16.5" x14ac:dyDescent="0.25">
      <c r="B349" s="38"/>
      <c r="C349" s="38"/>
      <c r="D349" s="38"/>
      <c r="E349" s="39"/>
      <c r="F349" s="40"/>
      <c r="G349" s="40"/>
    </row>
    <row r="350" spans="2:7" customFormat="1" ht="16.5" x14ac:dyDescent="0.25">
      <c r="B350" s="38"/>
      <c r="C350" s="38"/>
      <c r="D350" s="38"/>
      <c r="E350" s="39"/>
      <c r="F350" s="40"/>
      <c r="G350" s="40"/>
    </row>
    <row r="351" spans="2:7" customFormat="1" ht="16.5" x14ac:dyDescent="0.25">
      <c r="B351" s="38"/>
      <c r="C351" s="38"/>
      <c r="D351" s="38"/>
      <c r="E351" s="39"/>
      <c r="F351" s="40"/>
      <c r="G351" s="40"/>
    </row>
    <row r="352" spans="2:7" customFormat="1" ht="16.5" x14ac:dyDescent="0.25">
      <c r="B352" s="38"/>
      <c r="C352" s="38"/>
      <c r="D352" s="38"/>
      <c r="E352" s="39"/>
      <c r="F352" s="40"/>
      <c r="G352" s="40"/>
    </row>
    <row r="353" spans="2:7" customFormat="1" ht="16.5" x14ac:dyDescent="0.25">
      <c r="B353" s="38"/>
      <c r="C353" s="38"/>
      <c r="D353" s="38"/>
      <c r="E353" s="39"/>
      <c r="F353" s="40"/>
      <c r="G353" s="40"/>
    </row>
    <row r="354" spans="2:7" customFormat="1" ht="16.5" x14ac:dyDescent="0.25">
      <c r="B354" s="38"/>
      <c r="C354" s="38"/>
      <c r="D354" s="38"/>
      <c r="E354" s="39"/>
      <c r="F354" s="40"/>
      <c r="G354" s="40"/>
    </row>
    <row r="355" spans="2:7" customFormat="1" ht="16.5" x14ac:dyDescent="0.25">
      <c r="B355" s="38"/>
      <c r="C355" s="38"/>
      <c r="D355" s="38"/>
      <c r="E355" s="39"/>
      <c r="F355" s="40"/>
      <c r="G355" s="40"/>
    </row>
    <row r="356" spans="2:7" customFormat="1" ht="16.5" x14ac:dyDescent="0.25">
      <c r="B356" s="38"/>
      <c r="C356" s="38"/>
      <c r="D356" s="38"/>
      <c r="E356" s="39"/>
      <c r="F356" s="40"/>
      <c r="G356" s="40"/>
    </row>
    <row r="357" spans="2:7" customFormat="1" ht="16.5" x14ac:dyDescent="0.25">
      <c r="B357" s="38"/>
      <c r="C357" s="38"/>
      <c r="D357" s="38"/>
      <c r="E357" s="39"/>
      <c r="F357" s="40"/>
      <c r="G357" s="40"/>
    </row>
    <row r="358" spans="2:7" customFormat="1" ht="16.5" x14ac:dyDescent="0.25">
      <c r="B358" s="38"/>
      <c r="C358" s="38"/>
      <c r="D358" s="38"/>
      <c r="E358" s="39"/>
      <c r="F358" s="40"/>
      <c r="G358" s="40"/>
    </row>
    <row r="359" spans="2:7" customFormat="1" ht="16.5" x14ac:dyDescent="0.25">
      <c r="B359" s="38"/>
      <c r="C359" s="38"/>
      <c r="D359" s="38"/>
      <c r="E359" s="39"/>
      <c r="F359" s="40"/>
      <c r="G359" s="40"/>
    </row>
    <row r="360" spans="2:7" customFormat="1" ht="16.5" x14ac:dyDescent="0.25">
      <c r="B360" s="38"/>
      <c r="C360" s="38"/>
      <c r="D360" s="38"/>
      <c r="E360" s="39"/>
      <c r="F360" s="40"/>
      <c r="G360" s="40"/>
    </row>
    <row r="361" spans="2:7" customFormat="1" ht="16.5" x14ac:dyDescent="0.25">
      <c r="B361" s="38"/>
      <c r="C361" s="38"/>
      <c r="D361" s="38"/>
      <c r="E361" s="39"/>
      <c r="F361" s="40"/>
      <c r="G361" s="40"/>
    </row>
    <row r="362" spans="2:7" customFormat="1" ht="16.5" x14ac:dyDescent="0.25">
      <c r="B362" s="38"/>
      <c r="C362" s="38"/>
      <c r="D362" s="38"/>
      <c r="E362" s="39"/>
      <c r="F362" s="40"/>
      <c r="G362" s="40"/>
    </row>
    <row r="363" spans="2:7" customFormat="1" ht="16.5" x14ac:dyDescent="0.25">
      <c r="B363" s="38"/>
      <c r="C363" s="38"/>
      <c r="D363" s="38"/>
      <c r="E363" s="39"/>
      <c r="F363" s="40"/>
      <c r="G363" s="40"/>
    </row>
    <row r="364" spans="2:7" customFormat="1" ht="16.5" x14ac:dyDescent="0.25">
      <c r="B364" s="38"/>
      <c r="C364" s="38"/>
      <c r="D364" s="38"/>
      <c r="E364" s="39"/>
      <c r="F364" s="40"/>
      <c r="G364" s="40"/>
    </row>
    <row r="365" spans="2:7" customFormat="1" ht="16.5" x14ac:dyDescent="0.25">
      <c r="B365" s="38"/>
      <c r="C365" s="38"/>
      <c r="D365" s="38"/>
      <c r="E365" s="39"/>
      <c r="F365" s="40"/>
      <c r="G365" s="40"/>
    </row>
    <row r="366" spans="2:7" customFormat="1" ht="16.5" x14ac:dyDescent="0.25">
      <c r="B366" s="38"/>
      <c r="C366" s="38"/>
      <c r="D366" s="38"/>
      <c r="E366" s="39"/>
      <c r="F366" s="40"/>
      <c r="G366" s="40"/>
    </row>
    <row r="367" spans="2:7" customFormat="1" ht="16.5" x14ac:dyDescent="0.25">
      <c r="B367" s="38"/>
      <c r="C367" s="38"/>
      <c r="D367" s="38"/>
      <c r="E367" s="39"/>
      <c r="F367" s="40"/>
      <c r="G367" s="40"/>
    </row>
    <row r="368" spans="2:7" customFormat="1" ht="16.5" x14ac:dyDescent="0.25">
      <c r="B368" s="38"/>
      <c r="C368" s="38"/>
      <c r="D368" s="38"/>
      <c r="E368" s="39"/>
      <c r="F368" s="40"/>
      <c r="G368" s="40"/>
    </row>
    <row r="369" spans="2:7" customFormat="1" ht="16.5" x14ac:dyDescent="0.25">
      <c r="B369" s="38"/>
      <c r="C369" s="38"/>
      <c r="D369" s="38"/>
      <c r="E369" s="39"/>
      <c r="F369" s="40"/>
      <c r="G369" s="40"/>
    </row>
    <row r="370" spans="2:7" customFormat="1" ht="16.5" x14ac:dyDescent="0.25">
      <c r="B370" s="38"/>
      <c r="C370" s="38"/>
      <c r="D370" s="38"/>
      <c r="E370" s="39"/>
      <c r="F370" s="40"/>
      <c r="G370" s="40"/>
    </row>
    <row r="371" spans="2:7" customFormat="1" ht="16.5" x14ac:dyDescent="0.25">
      <c r="B371" s="38"/>
      <c r="C371" s="38"/>
      <c r="D371" s="38"/>
      <c r="E371" s="39"/>
      <c r="F371" s="40"/>
      <c r="G371" s="40"/>
    </row>
    <row r="372" spans="2:7" customFormat="1" ht="16.5" x14ac:dyDescent="0.25">
      <c r="B372" s="38"/>
      <c r="C372" s="38"/>
      <c r="D372" s="38"/>
      <c r="E372" s="39"/>
      <c r="F372" s="40"/>
      <c r="G372" s="40"/>
    </row>
    <row r="373" spans="2:7" customFormat="1" ht="16.5" x14ac:dyDescent="0.25">
      <c r="B373" s="38"/>
      <c r="C373" s="38"/>
      <c r="D373" s="38"/>
      <c r="E373" s="39"/>
      <c r="F373" s="40"/>
      <c r="G373" s="40"/>
    </row>
    <row r="374" spans="2:7" customFormat="1" ht="16.5" x14ac:dyDescent="0.25">
      <c r="B374" s="38"/>
      <c r="C374" s="38"/>
      <c r="D374" s="38"/>
      <c r="E374" s="39"/>
      <c r="F374" s="40"/>
      <c r="G374" s="40"/>
    </row>
    <row r="375" spans="2:7" customFormat="1" ht="16.5" x14ac:dyDescent="0.25">
      <c r="B375" s="38"/>
      <c r="C375" s="38"/>
      <c r="D375" s="38"/>
      <c r="E375" s="39"/>
      <c r="F375" s="40"/>
      <c r="G375" s="40"/>
    </row>
    <row r="376" spans="2:7" customFormat="1" ht="16.5" x14ac:dyDescent="0.25">
      <c r="B376" s="38"/>
      <c r="C376" s="38"/>
      <c r="D376" s="38"/>
      <c r="E376" s="39"/>
      <c r="F376" s="40"/>
      <c r="G376" s="40"/>
    </row>
    <row r="377" spans="2:7" customFormat="1" ht="16.5" x14ac:dyDescent="0.25">
      <c r="B377" s="38"/>
      <c r="C377" s="38"/>
      <c r="D377" s="38"/>
      <c r="E377" s="39"/>
      <c r="F377" s="40"/>
      <c r="G377" s="40"/>
    </row>
    <row r="378" spans="2:7" customFormat="1" ht="16.5" x14ac:dyDescent="0.25">
      <c r="B378" s="38"/>
      <c r="C378" s="38"/>
      <c r="D378" s="38"/>
      <c r="E378" s="39"/>
      <c r="F378" s="40"/>
      <c r="G378" s="40"/>
    </row>
    <row r="379" spans="2:7" customFormat="1" ht="16.5" x14ac:dyDescent="0.25">
      <c r="B379" s="38"/>
      <c r="C379" s="38"/>
      <c r="D379" s="38"/>
      <c r="E379" s="39"/>
      <c r="F379" s="40"/>
      <c r="G379" s="40"/>
    </row>
    <row r="380" spans="2:7" customFormat="1" ht="16.5" x14ac:dyDescent="0.25">
      <c r="B380" s="38"/>
      <c r="C380" s="38"/>
      <c r="D380" s="38"/>
      <c r="E380" s="39"/>
      <c r="F380" s="40"/>
      <c r="G380" s="40"/>
    </row>
    <row r="381" spans="2:7" customFormat="1" ht="16.5" x14ac:dyDescent="0.25">
      <c r="B381" s="38"/>
      <c r="C381" s="38"/>
      <c r="D381" s="38"/>
      <c r="E381" s="39"/>
      <c r="F381" s="40"/>
      <c r="G381" s="40"/>
    </row>
    <row r="382" spans="2:7" customFormat="1" ht="16.5" x14ac:dyDescent="0.25">
      <c r="B382" s="38"/>
      <c r="C382" s="38"/>
      <c r="D382" s="38"/>
      <c r="E382" s="39"/>
      <c r="F382" s="40"/>
      <c r="G382" s="40"/>
    </row>
    <row r="383" spans="2:7" customFormat="1" ht="16.5" x14ac:dyDescent="0.25">
      <c r="B383" s="38"/>
      <c r="C383" s="38"/>
      <c r="D383" s="38"/>
      <c r="E383" s="39"/>
      <c r="F383" s="40"/>
      <c r="G383" s="40"/>
    </row>
    <row r="384" spans="2:7" customFormat="1" ht="16.5" x14ac:dyDescent="0.25">
      <c r="B384" s="38"/>
      <c r="C384" s="38"/>
      <c r="D384" s="38"/>
      <c r="E384" s="39"/>
      <c r="F384" s="40"/>
      <c r="G384" s="40"/>
    </row>
    <row r="385" spans="2:7" customFormat="1" ht="16.5" x14ac:dyDescent="0.25">
      <c r="B385" s="38"/>
      <c r="C385" s="38"/>
      <c r="D385" s="38"/>
      <c r="E385" s="39"/>
      <c r="F385" s="40"/>
      <c r="G385" s="40"/>
    </row>
    <row r="386" spans="2:7" customFormat="1" ht="16.5" x14ac:dyDescent="0.25">
      <c r="B386" s="38"/>
      <c r="C386" s="38"/>
      <c r="D386" s="38"/>
      <c r="E386" s="39"/>
      <c r="F386" s="40"/>
      <c r="G386" s="40"/>
    </row>
    <row r="387" spans="2:7" customFormat="1" ht="16.5" x14ac:dyDescent="0.25">
      <c r="B387" s="38"/>
      <c r="C387" s="38"/>
      <c r="D387" s="38"/>
      <c r="E387" s="39"/>
      <c r="F387" s="40"/>
      <c r="G387" s="40"/>
    </row>
    <row r="388" spans="2:7" customFormat="1" ht="16.5" x14ac:dyDescent="0.25">
      <c r="B388" s="38"/>
      <c r="C388" s="38"/>
      <c r="D388" s="38"/>
      <c r="E388" s="39"/>
      <c r="F388" s="40"/>
      <c r="G388" s="40"/>
    </row>
    <row r="389" spans="2:7" customFormat="1" ht="16.5" x14ac:dyDescent="0.25">
      <c r="B389" s="38"/>
      <c r="C389" s="38"/>
      <c r="D389" s="38"/>
      <c r="E389" s="39"/>
      <c r="F389" s="40"/>
      <c r="G389" s="40"/>
    </row>
    <row r="390" spans="2:7" customFormat="1" ht="16.5" x14ac:dyDescent="0.25">
      <c r="B390" s="38"/>
      <c r="C390" s="38"/>
      <c r="D390" s="38"/>
      <c r="E390" s="39"/>
      <c r="F390" s="40"/>
      <c r="G390" s="40"/>
    </row>
    <row r="391" spans="2:7" customFormat="1" ht="16.5" x14ac:dyDescent="0.25">
      <c r="B391" s="38"/>
      <c r="C391" s="38"/>
      <c r="D391" s="38"/>
      <c r="E391" s="39"/>
      <c r="F391" s="40"/>
      <c r="G391" s="40"/>
    </row>
    <row r="392" spans="2:7" customFormat="1" ht="16.5" x14ac:dyDescent="0.25">
      <c r="B392" s="38"/>
      <c r="C392" s="38"/>
      <c r="D392" s="38"/>
      <c r="E392" s="39"/>
      <c r="F392" s="40"/>
      <c r="G392" s="40"/>
    </row>
    <row r="393" spans="2:7" customFormat="1" ht="16.5" x14ac:dyDescent="0.25">
      <c r="B393" s="38"/>
      <c r="C393" s="38"/>
      <c r="D393" s="38"/>
      <c r="E393" s="39"/>
      <c r="F393" s="40"/>
      <c r="G393" s="40"/>
    </row>
    <row r="394" spans="2:7" customFormat="1" ht="16.5" x14ac:dyDescent="0.25">
      <c r="B394" s="38"/>
      <c r="C394" s="38"/>
      <c r="D394" s="38"/>
      <c r="E394" s="39"/>
      <c r="F394" s="40"/>
      <c r="G394" s="40"/>
    </row>
    <row r="395" spans="2:7" customFormat="1" ht="16.5" x14ac:dyDescent="0.25">
      <c r="B395" s="38"/>
      <c r="C395" s="38"/>
      <c r="D395" s="38"/>
      <c r="E395" s="39"/>
      <c r="F395" s="40"/>
      <c r="G395" s="40"/>
    </row>
    <row r="396" spans="2:7" customFormat="1" ht="16.5" x14ac:dyDescent="0.25">
      <c r="B396" s="38"/>
      <c r="C396" s="38"/>
      <c r="D396" s="38"/>
      <c r="E396" s="39"/>
      <c r="F396" s="40"/>
      <c r="G396" s="40"/>
    </row>
    <row r="397" spans="2:7" customFormat="1" ht="16.5" x14ac:dyDescent="0.25">
      <c r="B397" s="38"/>
      <c r="C397" s="38"/>
      <c r="D397" s="38"/>
      <c r="E397" s="39"/>
      <c r="F397" s="40"/>
      <c r="G397" s="40"/>
    </row>
    <row r="398" spans="2:7" customFormat="1" ht="16.5" x14ac:dyDescent="0.25">
      <c r="B398" s="38"/>
      <c r="C398" s="38"/>
      <c r="D398" s="38"/>
      <c r="E398" s="39"/>
      <c r="F398" s="40"/>
      <c r="G398" s="40"/>
    </row>
    <row r="399" spans="2:7" customFormat="1" ht="16.5" x14ac:dyDescent="0.25">
      <c r="B399" s="38"/>
      <c r="C399" s="38"/>
      <c r="D399" s="38"/>
      <c r="E399" s="39"/>
      <c r="F399" s="40"/>
      <c r="G399" s="40"/>
    </row>
    <row r="400" spans="2:7" customFormat="1" ht="16.5" x14ac:dyDescent="0.25">
      <c r="B400" s="38"/>
      <c r="C400" s="38"/>
      <c r="D400" s="38"/>
      <c r="E400" s="39"/>
      <c r="F400" s="40"/>
      <c r="G400" s="40"/>
    </row>
    <row r="401" spans="2:7" customFormat="1" ht="16.5" x14ac:dyDescent="0.25">
      <c r="B401" s="38"/>
      <c r="C401" s="38"/>
      <c r="D401" s="38"/>
      <c r="E401" s="39"/>
      <c r="F401" s="40"/>
      <c r="G401" s="40"/>
    </row>
    <row r="402" spans="2:7" customFormat="1" ht="16.5" x14ac:dyDescent="0.25">
      <c r="B402" s="38"/>
      <c r="C402" s="38"/>
      <c r="D402" s="38"/>
      <c r="E402" s="39"/>
      <c r="F402" s="40"/>
      <c r="G402" s="40"/>
    </row>
    <row r="403" spans="2:7" customFormat="1" ht="16.5" x14ac:dyDescent="0.25">
      <c r="B403" s="38"/>
      <c r="C403" s="38"/>
      <c r="D403" s="38"/>
      <c r="E403" s="39"/>
      <c r="F403" s="40"/>
      <c r="G403" s="40"/>
    </row>
    <row r="404" spans="2:7" customFormat="1" ht="16.5" x14ac:dyDescent="0.25">
      <c r="B404" s="38"/>
      <c r="C404" s="38"/>
      <c r="D404" s="38"/>
      <c r="E404" s="39"/>
      <c r="F404" s="40"/>
      <c r="G404" s="40"/>
    </row>
    <row r="405" spans="2:7" customFormat="1" ht="16.5" x14ac:dyDescent="0.25">
      <c r="B405" s="38"/>
      <c r="C405" s="38"/>
      <c r="D405" s="38"/>
      <c r="E405" s="39"/>
      <c r="F405" s="40"/>
      <c r="G405" s="40"/>
    </row>
    <row r="406" spans="2:7" customFormat="1" ht="16.5" x14ac:dyDescent="0.25">
      <c r="B406" s="38"/>
      <c r="C406" s="38"/>
      <c r="D406" s="38"/>
      <c r="E406" s="39"/>
      <c r="F406" s="40"/>
      <c r="G406" s="40"/>
    </row>
    <row r="407" spans="2:7" customFormat="1" ht="16.5" x14ac:dyDescent="0.25">
      <c r="B407" s="38"/>
      <c r="C407" s="38"/>
      <c r="D407" s="38"/>
      <c r="E407" s="39"/>
      <c r="F407" s="40"/>
      <c r="G407" s="40"/>
    </row>
    <row r="408" spans="2:7" customFormat="1" ht="16.5" x14ac:dyDescent="0.25">
      <c r="B408" s="38"/>
      <c r="C408" s="38"/>
      <c r="D408" s="38"/>
      <c r="E408" s="39"/>
      <c r="F408" s="40"/>
      <c r="G408" s="40"/>
    </row>
    <row r="409" spans="2:7" customFormat="1" ht="16.5" x14ac:dyDescent="0.25">
      <c r="B409" s="38"/>
      <c r="C409" s="38"/>
      <c r="D409" s="38"/>
      <c r="E409" s="39"/>
      <c r="F409" s="40"/>
      <c r="G409" s="40"/>
    </row>
    <row r="410" spans="2:7" customFormat="1" ht="16.5" x14ac:dyDescent="0.25">
      <c r="B410" s="38"/>
      <c r="C410" s="38"/>
      <c r="D410" s="38"/>
      <c r="E410" s="39"/>
      <c r="F410" s="40"/>
      <c r="G410" s="40"/>
    </row>
    <row r="411" spans="2:7" customFormat="1" ht="16.5" x14ac:dyDescent="0.25">
      <c r="B411" s="38"/>
      <c r="C411" s="38"/>
      <c r="D411" s="38"/>
      <c r="E411" s="39"/>
      <c r="F411" s="40"/>
      <c r="G411" s="40"/>
    </row>
    <row r="412" spans="2:7" customFormat="1" ht="16.5" x14ac:dyDescent="0.25">
      <c r="B412" s="38"/>
      <c r="C412" s="38"/>
      <c r="D412" s="38"/>
      <c r="E412" s="39"/>
      <c r="F412" s="40"/>
      <c r="G412" s="40"/>
    </row>
    <row r="413" spans="2:7" customFormat="1" ht="16.5" x14ac:dyDescent="0.25">
      <c r="B413" s="38"/>
      <c r="C413" s="38"/>
      <c r="D413" s="38"/>
      <c r="E413" s="39"/>
      <c r="F413" s="40"/>
      <c r="G413" s="40"/>
    </row>
    <row r="414" spans="2:7" customFormat="1" ht="16.5" x14ac:dyDescent="0.25">
      <c r="B414" s="38"/>
      <c r="C414" s="38"/>
      <c r="D414" s="38"/>
      <c r="E414" s="39"/>
      <c r="F414" s="40"/>
      <c r="G414" s="40"/>
    </row>
    <row r="415" spans="2:7" customFormat="1" ht="16.5" x14ac:dyDescent="0.25">
      <c r="B415" s="38"/>
      <c r="C415" s="38"/>
      <c r="D415" s="38"/>
      <c r="E415" s="39"/>
      <c r="F415" s="40"/>
      <c r="G415" s="40"/>
    </row>
    <row r="416" spans="2:7" customFormat="1" ht="16.5" x14ac:dyDescent="0.25">
      <c r="B416" s="38"/>
      <c r="C416" s="38"/>
      <c r="D416" s="38"/>
      <c r="E416" s="39"/>
      <c r="F416" s="40"/>
      <c r="G416" s="40"/>
    </row>
    <row r="417" spans="2:7" customFormat="1" ht="16.5" x14ac:dyDescent="0.25">
      <c r="B417" s="38"/>
      <c r="C417" s="38"/>
      <c r="D417" s="38"/>
      <c r="E417" s="39"/>
      <c r="F417" s="40"/>
      <c r="G417" s="40"/>
    </row>
    <row r="418" spans="2:7" customFormat="1" ht="16.5" x14ac:dyDescent="0.25">
      <c r="B418" s="38"/>
      <c r="C418" s="38"/>
      <c r="D418" s="38"/>
      <c r="E418" s="39"/>
      <c r="F418" s="40"/>
      <c r="G418" s="40"/>
    </row>
    <row r="419" spans="2:7" customFormat="1" ht="16.5" x14ac:dyDescent="0.25">
      <c r="B419" s="38"/>
      <c r="C419" s="38"/>
      <c r="D419" s="38"/>
      <c r="E419" s="39"/>
      <c r="F419" s="40"/>
      <c r="G419" s="40"/>
    </row>
    <row r="420" spans="2:7" customFormat="1" ht="16.5" x14ac:dyDescent="0.25">
      <c r="B420" s="38"/>
      <c r="C420" s="38"/>
      <c r="D420" s="38"/>
      <c r="E420" s="39"/>
      <c r="F420" s="40"/>
      <c r="G420" s="40"/>
    </row>
    <row r="421" spans="2:7" customFormat="1" ht="16.5" x14ac:dyDescent="0.25">
      <c r="B421" s="38"/>
      <c r="C421" s="38"/>
      <c r="D421" s="38"/>
      <c r="E421" s="39"/>
      <c r="F421" s="40"/>
      <c r="G421" s="40"/>
    </row>
    <row r="422" spans="2:7" customFormat="1" ht="16.5" x14ac:dyDescent="0.25">
      <c r="B422" s="38"/>
      <c r="C422" s="38"/>
      <c r="D422" s="38"/>
      <c r="E422" s="39"/>
      <c r="F422" s="40"/>
      <c r="G422" s="40"/>
    </row>
    <row r="423" spans="2:7" customFormat="1" ht="16.5" x14ac:dyDescent="0.25">
      <c r="B423" s="38"/>
      <c r="C423" s="38"/>
      <c r="D423" s="38"/>
      <c r="E423" s="39"/>
      <c r="F423" s="40"/>
      <c r="G423" s="40"/>
    </row>
    <row r="424" spans="2:7" customFormat="1" ht="16.5" x14ac:dyDescent="0.25">
      <c r="B424" s="38"/>
      <c r="C424" s="38"/>
      <c r="D424" s="38"/>
      <c r="E424" s="39"/>
      <c r="F424" s="40"/>
      <c r="G424" s="40"/>
    </row>
    <row r="425" spans="2:7" customFormat="1" ht="16.5" x14ac:dyDescent="0.25">
      <c r="B425" s="38"/>
      <c r="C425" s="38"/>
      <c r="D425" s="38"/>
      <c r="E425" s="39"/>
      <c r="F425" s="40"/>
      <c r="G425" s="40"/>
    </row>
    <row r="426" spans="2:7" customFormat="1" ht="16.5" x14ac:dyDescent="0.25">
      <c r="B426" s="38"/>
      <c r="C426" s="38"/>
      <c r="D426" s="38"/>
      <c r="E426" s="39"/>
      <c r="F426" s="40"/>
      <c r="G426" s="40"/>
    </row>
    <row r="427" spans="2:7" customFormat="1" ht="16.5" x14ac:dyDescent="0.25">
      <c r="B427" s="38"/>
      <c r="C427" s="38"/>
      <c r="D427" s="38"/>
      <c r="E427" s="39"/>
      <c r="F427" s="40"/>
      <c r="G427" s="40"/>
    </row>
    <row r="428" spans="2:7" customFormat="1" ht="16.5" x14ac:dyDescent="0.25">
      <c r="B428" s="38"/>
      <c r="C428" s="38"/>
      <c r="D428" s="38"/>
      <c r="E428" s="39"/>
      <c r="F428" s="40"/>
      <c r="G428" s="40"/>
    </row>
    <row r="429" spans="2:7" customFormat="1" ht="16.5" x14ac:dyDescent="0.25">
      <c r="B429" s="38"/>
      <c r="C429" s="38"/>
      <c r="D429" s="38"/>
      <c r="E429" s="39"/>
      <c r="F429" s="40"/>
      <c r="G429" s="40"/>
    </row>
    <row r="430" spans="2:7" customFormat="1" ht="16.5" x14ac:dyDescent="0.25">
      <c r="B430" s="38"/>
      <c r="C430" s="38"/>
      <c r="D430" s="38"/>
      <c r="E430" s="39"/>
      <c r="F430" s="40"/>
      <c r="G430" s="40"/>
    </row>
    <row r="431" spans="2:7" customFormat="1" ht="16.5" x14ac:dyDescent="0.25">
      <c r="B431" s="38"/>
      <c r="C431" s="38"/>
      <c r="D431" s="38"/>
      <c r="E431" s="39"/>
      <c r="F431" s="40"/>
      <c r="G431" s="40"/>
    </row>
    <row r="432" spans="2:7" customFormat="1" ht="16.5" x14ac:dyDescent="0.25">
      <c r="B432" s="38"/>
      <c r="C432" s="38"/>
      <c r="D432" s="38"/>
      <c r="E432" s="39"/>
      <c r="F432" s="40"/>
      <c r="G432" s="40"/>
    </row>
    <row r="433" spans="2:7" customFormat="1" ht="16.5" x14ac:dyDescent="0.25">
      <c r="B433" s="38"/>
      <c r="C433" s="38"/>
      <c r="D433" s="38"/>
      <c r="E433" s="39"/>
      <c r="F433" s="40"/>
      <c r="G433" s="40"/>
    </row>
    <row r="434" spans="2:7" customFormat="1" ht="16.5" x14ac:dyDescent="0.25">
      <c r="B434" s="38"/>
      <c r="C434" s="38"/>
      <c r="D434" s="38"/>
      <c r="E434" s="39"/>
      <c r="F434" s="40"/>
      <c r="G434" s="40"/>
    </row>
    <row r="435" spans="2:7" customFormat="1" ht="16.5" x14ac:dyDescent="0.25">
      <c r="B435" s="38"/>
      <c r="C435" s="38"/>
      <c r="D435" s="38"/>
      <c r="E435" s="39"/>
      <c r="F435" s="40"/>
      <c r="G435" s="40"/>
    </row>
    <row r="436" spans="2:7" customFormat="1" ht="16.5" x14ac:dyDescent="0.25">
      <c r="B436" s="38"/>
      <c r="C436" s="38"/>
      <c r="D436" s="38"/>
      <c r="E436" s="39"/>
      <c r="F436" s="40"/>
      <c r="G436" s="40"/>
    </row>
    <row r="437" spans="2:7" customFormat="1" ht="16.5" x14ac:dyDescent="0.25">
      <c r="B437" s="38"/>
      <c r="C437" s="38"/>
      <c r="D437" s="38"/>
      <c r="E437" s="39"/>
      <c r="F437" s="40"/>
      <c r="G437" s="40"/>
    </row>
    <row r="438" spans="2:7" customFormat="1" ht="16.5" x14ac:dyDescent="0.25">
      <c r="B438" s="38"/>
      <c r="C438" s="38"/>
      <c r="D438" s="38"/>
      <c r="E438" s="39"/>
      <c r="F438" s="40"/>
      <c r="G438" s="40"/>
    </row>
    <row r="439" spans="2:7" customFormat="1" ht="16.5" x14ac:dyDescent="0.25">
      <c r="B439" s="38"/>
      <c r="C439" s="38"/>
      <c r="D439" s="38"/>
      <c r="E439" s="39"/>
      <c r="F439" s="40"/>
      <c r="G439" s="40"/>
    </row>
    <row r="440" spans="2:7" customFormat="1" ht="16.5" x14ac:dyDescent="0.25">
      <c r="B440" s="38"/>
      <c r="C440" s="38"/>
      <c r="D440" s="38"/>
      <c r="E440" s="39"/>
      <c r="F440" s="40"/>
      <c r="G440" s="40"/>
    </row>
    <row r="441" spans="2:7" customFormat="1" ht="16.5" x14ac:dyDescent="0.25">
      <c r="B441" s="38"/>
      <c r="C441" s="38"/>
      <c r="D441" s="38"/>
      <c r="E441" s="39"/>
      <c r="F441" s="40"/>
      <c r="G441" s="40"/>
    </row>
    <row r="442" spans="2:7" customFormat="1" ht="16.5" x14ac:dyDescent="0.25">
      <c r="B442" s="38"/>
      <c r="C442" s="38"/>
      <c r="D442" s="38"/>
      <c r="E442" s="39"/>
      <c r="F442" s="40"/>
      <c r="G442" s="40"/>
    </row>
    <row r="443" spans="2:7" customFormat="1" ht="16.5" x14ac:dyDescent="0.25">
      <c r="B443" s="38"/>
      <c r="C443" s="38"/>
      <c r="D443" s="38"/>
      <c r="E443" s="39"/>
      <c r="F443" s="40"/>
      <c r="G443" s="40"/>
    </row>
    <row r="444" spans="2:7" customFormat="1" ht="16.5" x14ac:dyDescent="0.25">
      <c r="B444" s="38"/>
      <c r="C444" s="38"/>
      <c r="D444" s="38"/>
      <c r="E444" s="39"/>
      <c r="F444" s="40"/>
      <c r="G444" s="40"/>
    </row>
    <row r="445" spans="2:7" customFormat="1" ht="16.5" x14ac:dyDescent="0.25">
      <c r="B445" s="38"/>
      <c r="C445" s="38"/>
      <c r="D445" s="38"/>
      <c r="E445" s="39"/>
      <c r="F445" s="40"/>
      <c r="G445" s="40"/>
    </row>
    <row r="446" spans="2:7" customFormat="1" ht="16.5" x14ac:dyDescent="0.25">
      <c r="B446" s="38"/>
      <c r="C446" s="38"/>
      <c r="D446" s="38"/>
      <c r="E446" s="39"/>
      <c r="F446" s="40"/>
      <c r="G446" s="40"/>
    </row>
    <row r="447" spans="2:7" customFormat="1" ht="16.5" x14ac:dyDescent="0.25">
      <c r="B447" s="38"/>
      <c r="C447" s="38"/>
      <c r="D447" s="38"/>
      <c r="E447" s="39"/>
      <c r="F447" s="40"/>
      <c r="G447" s="40"/>
    </row>
    <row r="448" spans="2:7" customFormat="1" ht="16.5" x14ac:dyDescent="0.25">
      <c r="B448" s="38"/>
      <c r="C448" s="38"/>
      <c r="D448" s="38"/>
      <c r="E448" s="39"/>
      <c r="F448" s="40"/>
      <c r="G448" s="40"/>
    </row>
    <row r="449" spans="2:7" customFormat="1" ht="16.5" x14ac:dyDescent="0.25">
      <c r="B449" s="38"/>
      <c r="C449" s="38"/>
      <c r="D449" s="38"/>
      <c r="E449" s="39"/>
      <c r="F449" s="40"/>
      <c r="G449" s="40"/>
    </row>
    <row r="450" spans="2:7" customFormat="1" ht="16.5" x14ac:dyDescent="0.25">
      <c r="B450" s="38"/>
      <c r="C450" s="38"/>
      <c r="D450" s="38"/>
      <c r="E450" s="39"/>
      <c r="F450" s="40"/>
      <c r="G450" s="40"/>
    </row>
    <row r="451" spans="2:7" customFormat="1" ht="16.5" x14ac:dyDescent="0.25">
      <c r="B451" s="38"/>
      <c r="C451" s="38"/>
      <c r="D451" s="38"/>
      <c r="E451" s="39"/>
      <c r="F451" s="40"/>
      <c r="G451" s="40"/>
    </row>
    <row r="452" spans="2:7" customFormat="1" ht="16.5" x14ac:dyDescent="0.25">
      <c r="B452" s="38"/>
      <c r="C452" s="38"/>
      <c r="D452" s="38"/>
      <c r="E452" s="39"/>
      <c r="F452" s="40"/>
      <c r="G452" s="40"/>
    </row>
    <row r="453" spans="2:7" customFormat="1" ht="16.5" x14ac:dyDescent="0.25">
      <c r="B453" s="38"/>
      <c r="C453" s="38"/>
      <c r="D453" s="38"/>
      <c r="E453" s="39"/>
      <c r="F453" s="40"/>
      <c r="G453" s="40"/>
    </row>
    <row r="454" spans="2:7" customFormat="1" ht="16.5" x14ac:dyDescent="0.25">
      <c r="B454" s="38"/>
      <c r="C454" s="38"/>
      <c r="D454" s="38"/>
      <c r="E454" s="39"/>
      <c r="F454" s="40"/>
      <c r="G454" s="40"/>
    </row>
    <row r="455" spans="2:7" customFormat="1" ht="16.5" x14ac:dyDescent="0.25">
      <c r="B455" s="38"/>
      <c r="C455" s="38"/>
      <c r="D455" s="38"/>
      <c r="E455" s="39"/>
      <c r="F455" s="40"/>
      <c r="G455" s="40"/>
    </row>
    <row r="456" spans="2:7" customFormat="1" ht="16.5" x14ac:dyDescent="0.25">
      <c r="B456" s="38"/>
      <c r="C456" s="38"/>
      <c r="D456" s="38"/>
      <c r="E456" s="39"/>
      <c r="F456" s="40"/>
      <c r="G456" s="40"/>
    </row>
    <row r="457" spans="2:7" customFormat="1" ht="16.5" x14ac:dyDescent="0.25">
      <c r="B457" s="38"/>
      <c r="C457" s="38"/>
      <c r="D457" s="38"/>
      <c r="E457" s="39"/>
      <c r="F457" s="40"/>
      <c r="G457" s="40"/>
    </row>
    <row r="458" spans="2:7" customFormat="1" ht="16.5" x14ac:dyDescent="0.25">
      <c r="B458" s="38"/>
      <c r="C458" s="38"/>
      <c r="D458" s="38"/>
      <c r="E458" s="39"/>
      <c r="F458" s="40"/>
      <c r="G458" s="40"/>
    </row>
    <row r="459" spans="2:7" customFormat="1" ht="16.5" x14ac:dyDescent="0.25">
      <c r="B459" s="38"/>
      <c r="C459" s="38"/>
      <c r="D459" s="38"/>
      <c r="E459" s="39"/>
      <c r="F459" s="40"/>
      <c r="G459" s="40"/>
    </row>
    <row r="460" spans="2:7" customFormat="1" ht="16.5" x14ac:dyDescent="0.25">
      <c r="B460" s="38"/>
      <c r="C460" s="38"/>
      <c r="D460" s="38"/>
      <c r="E460" s="39"/>
      <c r="F460" s="40"/>
      <c r="G460" s="40"/>
    </row>
    <row r="461" spans="2:7" customFormat="1" ht="16.5" x14ac:dyDescent="0.25">
      <c r="B461" s="38"/>
      <c r="C461" s="38"/>
      <c r="D461" s="38"/>
      <c r="E461" s="39"/>
      <c r="F461" s="40"/>
      <c r="G461" s="40"/>
    </row>
    <row r="462" spans="2:7" customFormat="1" ht="16.5" x14ac:dyDescent="0.25">
      <c r="B462" s="38"/>
      <c r="C462" s="38"/>
      <c r="D462" s="38"/>
      <c r="E462" s="39"/>
      <c r="F462" s="40"/>
      <c r="G462" s="40"/>
    </row>
    <row r="463" spans="2:7" customFormat="1" ht="16.5" x14ac:dyDescent="0.25">
      <c r="B463" s="38"/>
      <c r="C463" s="38"/>
      <c r="D463" s="38"/>
      <c r="E463" s="39"/>
      <c r="F463" s="40"/>
      <c r="G463" s="40"/>
    </row>
    <row r="464" spans="2:7" customFormat="1" ht="16.5" x14ac:dyDescent="0.25">
      <c r="B464" s="38"/>
      <c r="C464" s="38"/>
      <c r="D464" s="38"/>
      <c r="E464" s="39"/>
      <c r="F464" s="40"/>
      <c r="G464" s="40"/>
    </row>
    <row r="465" spans="2:7" customFormat="1" ht="16.5" x14ac:dyDescent="0.25">
      <c r="B465" s="38"/>
      <c r="C465" s="38"/>
      <c r="D465" s="38"/>
      <c r="E465" s="39"/>
      <c r="F465" s="40"/>
      <c r="G465" s="40"/>
    </row>
    <row r="466" spans="2:7" customFormat="1" ht="16.5" x14ac:dyDescent="0.25">
      <c r="B466" s="38"/>
      <c r="C466" s="38"/>
      <c r="D466" s="38"/>
      <c r="E466" s="39"/>
      <c r="F466" s="40"/>
      <c r="G466" s="40"/>
    </row>
    <row r="467" spans="2:7" customFormat="1" ht="16.5" x14ac:dyDescent="0.25">
      <c r="B467" s="38"/>
      <c r="C467" s="38"/>
      <c r="D467" s="38"/>
      <c r="E467" s="39"/>
      <c r="F467" s="40"/>
      <c r="G467" s="40"/>
    </row>
    <row r="468" spans="2:7" customFormat="1" ht="16.5" x14ac:dyDescent="0.25">
      <c r="B468" s="38"/>
      <c r="C468" s="38"/>
      <c r="D468" s="38"/>
      <c r="E468" s="39"/>
      <c r="F468" s="40"/>
      <c r="G468" s="40"/>
    </row>
    <row r="469" spans="2:7" customFormat="1" ht="16.5" x14ac:dyDescent="0.25">
      <c r="B469" s="38"/>
      <c r="C469" s="38"/>
      <c r="D469" s="38"/>
      <c r="E469" s="39"/>
      <c r="F469" s="40"/>
      <c r="G469" s="40"/>
    </row>
    <row r="470" spans="2:7" customFormat="1" ht="16.5" x14ac:dyDescent="0.25">
      <c r="B470" s="38"/>
      <c r="C470" s="38"/>
      <c r="D470" s="38"/>
      <c r="E470" s="39"/>
      <c r="F470" s="40"/>
      <c r="G470" s="40"/>
    </row>
    <row r="471" spans="2:7" customFormat="1" ht="16.5" x14ac:dyDescent="0.25">
      <c r="B471" s="38"/>
      <c r="C471" s="38"/>
      <c r="D471" s="38"/>
      <c r="E471" s="39"/>
      <c r="F471" s="40"/>
      <c r="G471" s="40"/>
    </row>
    <row r="472" spans="2:7" customFormat="1" ht="16.5" x14ac:dyDescent="0.25">
      <c r="B472" s="38"/>
      <c r="C472" s="38"/>
      <c r="D472" s="38"/>
      <c r="E472" s="39"/>
      <c r="F472" s="40"/>
      <c r="G472" s="40"/>
    </row>
    <row r="473" spans="2:7" customFormat="1" ht="16.5" x14ac:dyDescent="0.25">
      <c r="B473" s="38"/>
      <c r="C473" s="38"/>
      <c r="D473" s="38"/>
      <c r="E473" s="39"/>
      <c r="F473" s="40"/>
      <c r="G473" s="40"/>
    </row>
    <row r="474" spans="2:7" customFormat="1" ht="16.5" x14ac:dyDescent="0.25">
      <c r="B474" s="38"/>
      <c r="C474" s="38"/>
      <c r="D474" s="38"/>
      <c r="E474" s="39"/>
      <c r="F474" s="40"/>
      <c r="G474" s="40"/>
    </row>
    <row r="475" spans="2:7" customFormat="1" ht="16.5" x14ac:dyDescent="0.25">
      <c r="B475" s="38"/>
      <c r="C475" s="38"/>
      <c r="D475" s="38"/>
      <c r="E475" s="39"/>
      <c r="F475" s="40"/>
      <c r="G475" s="40"/>
    </row>
    <row r="476" spans="2:7" customFormat="1" ht="16.5" x14ac:dyDescent="0.25">
      <c r="B476" s="38"/>
      <c r="C476" s="38"/>
      <c r="D476" s="38"/>
      <c r="E476" s="39"/>
      <c r="F476" s="40"/>
      <c r="G476" s="40"/>
    </row>
    <row r="477" spans="2:7" customFormat="1" ht="16.5" x14ac:dyDescent="0.25">
      <c r="B477" s="38"/>
      <c r="C477" s="38"/>
      <c r="D477" s="38"/>
      <c r="E477" s="39"/>
      <c r="F477" s="40"/>
      <c r="G477" s="40"/>
    </row>
    <row r="478" spans="2:7" customFormat="1" ht="16.5" x14ac:dyDescent="0.25">
      <c r="B478" s="38"/>
      <c r="C478" s="38"/>
      <c r="D478" s="38"/>
      <c r="E478" s="39"/>
      <c r="F478" s="40"/>
      <c r="G478" s="40"/>
    </row>
    <row r="479" spans="2:7" customFormat="1" ht="16.5" x14ac:dyDescent="0.25">
      <c r="B479" s="38"/>
      <c r="C479" s="38"/>
      <c r="D479" s="38"/>
      <c r="E479" s="39"/>
      <c r="F479" s="40"/>
      <c r="G479" s="40"/>
    </row>
    <row r="480" spans="2:7" customFormat="1" ht="16.5" x14ac:dyDescent="0.25">
      <c r="B480" s="38"/>
      <c r="C480" s="38"/>
      <c r="D480" s="38"/>
      <c r="E480" s="39"/>
      <c r="F480" s="40"/>
      <c r="G480" s="40"/>
    </row>
    <row r="481" spans="2:7" customFormat="1" ht="16.5" x14ac:dyDescent="0.25">
      <c r="B481" s="38"/>
      <c r="C481" s="38"/>
      <c r="D481" s="38"/>
      <c r="E481" s="39"/>
      <c r="F481" s="40"/>
      <c r="G481" s="40"/>
    </row>
    <row r="482" spans="2:7" customFormat="1" ht="16.5" x14ac:dyDescent="0.25">
      <c r="B482" s="38"/>
      <c r="C482" s="38"/>
      <c r="D482" s="38"/>
      <c r="E482" s="39"/>
      <c r="F482" s="40"/>
      <c r="G482" s="40"/>
    </row>
    <row r="483" spans="2:7" customFormat="1" ht="16.5" x14ac:dyDescent="0.25">
      <c r="B483" s="38"/>
      <c r="C483" s="38"/>
      <c r="D483" s="38"/>
      <c r="E483" s="39"/>
      <c r="F483" s="40"/>
      <c r="G483" s="40"/>
    </row>
    <row r="484" spans="2:7" customFormat="1" ht="16.5" x14ac:dyDescent="0.25">
      <c r="B484" s="38"/>
      <c r="C484" s="38"/>
      <c r="D484" s="38"/>
      <c r="E484" s="39"/>
      <c r="F484" s="40"/>
      <c r="G484" s="40"/>
    </row>
    <row r="485" spans="2:7" customFormat="1" ht="16.5" x14ac:dyDescent="0.25">
      <c r="B485" s="38"/>
      <c r="C485" s="38"/>
      <c r="D485" s="38"/>
      <c r="E485" s="39"/>
      <c r="F485" s="40"/>
      <c r="G485" s="40"/>
    </row>
    <row r="486" spans="2:7" customFormat="1" ht="16.5" x14ac:dyDescent="0.25">
      <c r="B486" s="38"/>
      <c r="C486" s="38"/>
      <c r="D486" s="38"/>
      <c r="E486" s="39"/>
      <c r="F486" s="40"/>
      <c r="G486" s="40"/>
    </row>
    <row r="487" spans="2:7" customFormat="1" ht="16.5" x14ac:dyDescent="0.25">
      <c r="B487" s="38"/>
      <c r="C487" s="38"/>
      <c r="D487" s="38"/>
      <c r="E487" s="39"/>
      <c r="F487" s="40"/>
      <c r="G487" s="40"/>
    </row>
    <row r="488" spans="2:7" customFormat="1" ht="16.5" x14ac:dyDescent="0.25">
      <c r="B488" s="38"/>
      <c r="C488" s="38"/>
      <c r="D488" s="38"/>
      <c r="E488" s="39"/>
      <c r="F488" s="40"/>
      <c r="G488" s="40"/>
    </row>
    <row r="489" spans="2:7" customFormat="1" ht="16.5" x14ac:dyDescent="0.25">
      <c r="B489" s="38"/>
      <c r="C489" s="38"/>
      <c r="D489" s="38"/>
      <c r="E489" s="39"/>
      <c r="F489" s="40"/>
      <c r="G489" s="40"/>
    </row>
    <row r="490" spans="2:7" customFormat="1" ht="16.5" x14ac:dyDescent="0.25">
      <c r="B490" s="38"/>
      <c r="C490" s="38"/>
      <c r="D490" s="38"/>
      <c r="E490" s="39"/>
      <c r="F490" s="40"/>
      <c r="G490" s="40"/>
    </row>
    <row r="491" spans="2:7" customFormat="1" ht="16.5" x14ac:dyDescent="0.25">
      <c r="B491" s="38"/>
      <c r="C491" s="38"/>
      <c r="D491" s="38"/>
      <c r="E491" s="39"/>
      <c r="F491" s="40"/>
      <c r="G491" s="40"/>
    </row>
    <row r="492" spans="2:7" customFormat="1" ht="16.5" x14ac:dyDescent="0.25">
      <c r="B492" s="38"/>
      <c r="C492" s="38"/>
      <c r="D492" s="38"/>
      <c r="E492" s="39"/>
      <c r="F492" s="40"/>
      <c r="G492" s="40"/>
    </row>
    <row r="493" spans="2:7" customFormat="1" ht="16.5" x14ac:dyDescent="0.25">
      <c r="B493" s="38"/>
      <c r="C493" s="38"/>
      <c r="D493" s="38"/>
      <c r="E493" s="39"/>
      <c r="F493" s="40"/>
      <c r="G493" s="40"/>
    </row>
    <row r="494" spans="2:7" customFormat="1" ht="16.5" x14ac:dyDescent="0.25">
      <c r="B494" s="38"/>
      <c r="C494" s="38"/>
      <c r="D494" s="38"/>
      <c r="E494" s="39"/>
      <c r="F494" s="40"/>
      <c r="G494" s="40"/>
    </row>
    <row r="495" spans="2:7" customFormat="1" ht="16.5" x14ac:dyDescent="0.25">
      <c r="B495" s="38"/>
      <c r="C495" s="38"/>
      <c r="D495" s="38"/>
      <c r="E495" s="39"/>
      <c r="F495" s="40"/>
      <c r="G495" s="40"/>
    </row>
    <row r="496" spans="2:7" customFormat="1" ht="16.5" x14ac:dyDescent="0.25">
      <c r="B496" s="38"/>
      <c r="C496" s="38"/>
      <c r="D496" s="38"/>
      <c r="E496" s="39"/>
      <c r="F496" s="40"/>
      <c r="G496" s="40"/>
    </row>
    <row r="497" spans="2:7" customFormat="1" ht="16.5" x14ac:dyDescent="0.25">
      <c r="B497" s="38"/>
      <c r="C497" s="38"/>
      <c r="D497" s="38"/>
      <c r="E497" s="39"/>
      <c r="F497" s="40"/>
      <c r="G497" s="40"/>
    </row>
    <row r="498" spans="2:7" customFormat="1" ht="16.5" x14ac:dyDescent="0.25">
      <c r="B498" s="38"/>
      <c r="C498" s="38"/>
      <c r="D498" s="38"/>
      <c r="E498" s="39"/>
      <c r="F498" s="40"/>
      <c r="G498" s="40"/>
    </row>
    <row r="499" spans="2:7" customFormat="1" ht="16.5" x14ac:dyDescent="0.25">
      <c r="B499" s="38"/>
      <c r="C499" s="38"/>
      <c r="D499" s="38"/>
      <c r="E499" s="39"/>
      <c r="F499" s="40"/>
      <c r="G499" s="40"/>
    </row>
    <row r="500" spans="2:7" customFormat="1" ht="16.5" x14ac:dyDescent="0.25">
      <c r="B500" s="38"/>
      <c r="C500" s="38"/>
      <c r="D500" s="38"/>
      <c r="E500" s="39"/>
      <c r="F500" s="40"/>
      <c r="G500" s="40"/>
    </row>
    <row r="501" spans="2:7" customFormat="1" ht="16.5" x14ac:dyDescent="0.25">
      <c r="B501" s="38"/>
      <c r="C501" s="38"/>
      <c r="D501" s="38"/>
      <c r="E501" s="39"/>
      <c r="F501" s="40"/>
      <c r="G501" s="40"/>
    </row>
    <row r="502" spans="2:7" customFormat="1" ht="16.5" x14ac:dyDescent="0.25">
      <c r="B502" s="38"/>
      <c r="C502" s="38"/>
      <c r="D502" s="38"/>
      <c r="E502" s="39"/>
      <c r="F502" s="40"/>
      <c r="G502" s="40"/>
    </row>
    <row r="503" spans="2:7" customFormat="1" ht="16.5" x14ac:dyDescent="0.25">
      <c r="B503" s="38"/>
      <c r="C503" s="38"/>
      <c r="D503" s="38"/>
      <c r="E503" s="39"/>
      <c r="F503" s="40"/>
      <c r="G503" s="40"/>
    </row>
    <row r="504" spans="2:7" customFormat="1" ht="16.5" x14ac:dyDescent="0.25">
      <c r="B504" s="38"/>
      <c r="C504" s="38"/>
      <c r="D504" s="38"/>
      <c r="E504" s="39"/>
      <c r="F504" s="40"/>
      <c r="G504" s="40"/>
    </row>
    <row r="505" spans="2:7" customFormat="1" ht="16.5" x14ac:dyDescent="0.25">
      <c r="B505" s="38"/>
      <c r="C505" s="38"/>
      <c r="D505" s="38"/>
      <c r="E505" s="39"/>
      <c r="F505" s="40"/>
      <c r="G505" s="40"/>
    </row>
    <row r="506" spans="2:7" customFormat="1" ht="16.5" x14ac:dyDescent="0.25">
      <c r="B506" s="38"/>
      <c r="C506" s="38"/>
      <c r="D506" s="38"/>
      <c r="E506" s="39"/>
      <c r="F506" s="40"/>
      <c r="G506" s="40"/>
    </row>
    <row r="507" spans="2:7" customFormat="1" ht="16.5" x14ac:dyDescent="0.25">
      <c r="B507" s="38"/>
      <c r="C507" s="38"/>
      <c r="D507" s="38"/>
      <c r="E507" s="39"/>
      <c r="F507" s="40"/>
      <c r="G507" s="40"/>
    </row>
    <row r="508" spans="2:7" customFormat="1" ht="16.5" x14ac:dyDescent="0.25">
      <c r="B508" s="38"/>
      <c r="C508" s="38"/>
      <c r="D508" s="38"/>
      <c r="E508" s="39"/>
      <c r="F508" s="40"/>
      <c r="G508" s="40"/>
    </row>
    <row r="509" spans="2:7" customFormat="1" ht="16.5" x14ac:dyDescent="0.25">
      <c r="B509" s="38"/>
      <c r="C509" s="38"/>
      <c r="D509" s="38"/>
      <c r="E509" s="39"/>
      <c r="F509" s="40"/>
      <c r="G509" s="40"/>
    </row>
    <row r="510" spans="2:7" customFormat="1" ht="16.5" x14ac:dyDescent="0.25">
      <c r="B510" s="38"/>
      <c r="C510" s="38"/>
      <c r="D510" s="38"/>
      <c r="E510" s="39"/>
      <c r="F510" s="40"/>
      <c r="G510" s="40"/>
    </row>
    <row r="511" spans="2:7" customFormat="1" ht="16.5" x14ac:dyDescent="0.25">
      <c r="B511" s="38"/>
      <c r="C511" s="38"/>
      <c r="D511" s="38"/>
      <c r="E511" s="39"/>
      <c r="F511" s="40"/>
      <c r="G511" s="40"/>
    </row>
    <row r="512" spans="2:7" customFormat="1" ht="16.5" x14ac:dyDescent="0.25">
      <c r="B512" s="38"/>
      <c r="C512" s="38"/>
      <c r="D512" s="38"/>
      <c r="E512" s="39"/>
      <c r="F512" s="40"/>
      <c r="G512" s="40"/>
    </row>
    <row r="513" spans="2:7" customFormat="1" ht="16.5" x14ac:dyDescent="0.25">
      <c r="B513" s="38"/>
      <c r="C513" s="38"/>
      <c r="D513" s="38"/>
      <c r="E513" s="39"/>
      <c r="F513" s="40"/>
      <c r="G513" s="40"/>
    </row>
    <row r="514" spans="2:7" customFormat="1" ht="16.5" x14ac:dyDescent="0.25">
      <c r="B514" s="38"/>
      <c r="C514" s="38"/>
      <c r="D514" s="38"/>
      <c r="E514" s="39"/>
      <c r="F514" s="40"/>
      <c r="G514" s="40"/>
    </row>
    <row r="515" spans="2:7" customFormat="1" ht="16.5" x14ac:dyDescent="0.25">
      <c r="B515" s="38"/>
      <c r="C515" s="38"/>
      <c r="D515" s="38"/>
      <c r="E515" s="39"/>
      <c r="F515" s="40"/>
      <c r="G515" s="40"/>
    </row>
    <row r="516" spans="2:7" customFormat="1" ht="16.5" x14ac:dyDescent="0.25">
      <c r="B516" s="38"/>
      <c r="C516" s="38"/>
      <c r="D516" s="38"/>
      <c r="E516" s="39"/>
      <c r="F516" s="40"/>
      <c r="G516" s="40"/>
    </row>
    <row r="517" spans="2:7" customFormat="1" ht="16.5" x14ac:dyDescent="0.25">
      <c r="B517" s="38"/>
      <c r="C517" s="38"/>
      <c r="D517" s="38"/>
      <c r="E517" s="39"/>
      <c r="F517" s="40"/>
      <c r="G517" s="40"/>
    </row>
    <row r="518" spans="2:7" customFormat="1" ht="16.5" x14ac:dyDescent="0.25">
      <c r="B518" s="38"/>
      <c r="C518" s="38"/>
      <c r="D518" s="38"/>
      <c r="E518" s="39"/>
      <c r="F518" s="40"/>
      <c r="G518" s="40"/>
    </row>
    <row r="519" spans="2:7" customFormat="1" ht="16.5" x14ac:dyDescent="0.25">
      <c r="B519" s="38"/>
      <c r="C519" s="38"/>
      <c r="D519" s="38"/>
      <c r="E519" s="39"/>
      <c r="F519" s="40"/>
      <c r="G519" s="40"/>
    </row>
    <row r="520" spans="2:7" customFormat="1" ht="16.5" x14ac:dyDescent="0.25">
      <c r="B520" s="38"/>
      <c r="C520" s="38"/>
      <c r="D520" s="38"/>
      <c r="E520" s="39"/>
      <c r="F520" s="40"/>
      <c r="G520" s="40"/>
    </row>
    <row r="521" spans="2:7" customFormat="1" ht="16.5" x14ac:dyDescent="0.25">
      <c r="B521" s="38"/>
      <c r="C521" s="38"/>
      <c r="D521" s="38"/>
      <c r="E521" s="39"/>
      <c r="F521" s="40"/>
      <c r="G521" s="40"/>
    </row>
    <row r="522" spans="2:7" customFormat="1" ht="16.5" x14ac:dyDescent="0.25">
      <c r="B522" s="38"/>
      <c r="C522" s="38"/>
      <c r="D522" s="38"/>
      <c r="E522" s="39"/>
      <c r="F522" s="40"/>
      <c r="G522" s="40"/>
    </row>
    <row r="523" spans="2:7" customFormat="1" ht="16.5" x14ac:dyDescent="0.25">
      <c r="B523" s="38"/>
      <c r="C523" s="38"/>
      <c r="D523" s="38"/>
      <c r="E523" s="39"/>
      <c r="F523" s="40"/>
      <c r="G523" s="40"/>
    </row>
    <row r="524" spans="2:7" customFormat="1" ht="16.5" x14ac:dyDescent="0.25">
      <c r="B524" s="38"/>
      <c r="C524" s="38"/>
      <c r="D524" s="38"/>
      <c r="E524" s="39"/>
      <c r="F524" s="40"/>
      <c r="G524" s="40"/>
    </row>
    <row r="525" spans="2:7" customFormat="1" ht="16.5" x14ac:dyDescent="0.25">
      <c r="B525" s="38"/>
      <c r="C525" s="38"/>
      <c r="D525" s="38"/>
      <c r="E525" s="39"/>
      <c r="F525" s="40"/>
      <c r="G525" s="40"/>
    </row>
    <row r="526" spans="2:7" customFormat="1" ht="16.5" x14ac:dyDescent="0.25">
      <c r="B526" s="38"/>
      <c r="C526" s="38"/>
      <c r="D526" s="38"/>
      <c r="E526" s="39"/>
      <c r="F526" s="40"/>
      <c r="G526" s="40"/>
    </row>
    <row r="527" spans="2:7" customFormat="1" ht="16.5" x14ac:dyDescent="0.25">
      <c r="B527" s="38"/>
      <c r="C527" s="38"/>
      <c r="D527" s="38"/>
      <c r="E527" s="39"/>
      <c r="F527" s="40"/>
      <c r="G527" s="40"/>
    </row>
    <row r="528" spans="2:7" customFormat="1" ht="16.5" x14ac:dyDescent="0.25">
      <c r="B528" s="38"/>
      <c r="C528" s="38"/>
      <c r="D528" s="38"/>
      <c r="E528" s="39"/>
      <c r="F528" s="40"/>
      <c r="G528" s="40"/>
    </row>
    <row r="529" spans="2:7" customFormat="1" ht="16.5" x14ac:dyDescent="0.25">
      <c r="B529" s="38"/>
      <c r="C529" s="38"/>
      <c r="D529" s="38"/>
      <c r="E529" s="39"/>
      <c r="F529" s="40"/>
      <c r="G529" s="40"/>
    </row>
    <row r="530" spans="2:7" customFormat="1" ht="16.5" x14ac:dyDescent="0.25">
      <c r="B530" s="38"/>
      <c r="C530" s="38"/>
      <c r="D530" s="38"/>
      <c r="E530" s="39"/>
      <c r="F530" s="40"/>
      <c r="G530" s="40"/>
    </row>
    <row r="531" spans="2:7" customFormat="1" ht="16.5" x14ac:dyDescent="0.25">
      <c r="B531" s="38"/>
      <c r="C531" s="38"/>
      <c r="D531" s="38"/>
      <c r="E531" s="39"/>
      <c r="F531" s="40"/>
      <c r="G531" s="40"/>
    </row>
    <row r="532" spans="2:7" customFormat="1" ht="16.5" x14ac:dyDescent="0.25">
      <c r="B532" s="38"/>
      <c r="C532" s="38"/>
      <c r="D532" s="38"/>
      <c r="E532" s="39"/>
      <c r="F532" s="40"/>
      <c r="G532" s="40"/>
    </row>
    <row r="533" spans="2:7" customFormat="1" ht="16.5" x14ac:dyDescent="0.25">
      <c r="B533" s="38"/>
      <c r="C533" s="38"/>
      <c r="D533" s="38"/>
      <c r="E533" s="39"/>
      <c r="F533" s="40"/>
      <c r="G533" s="40"/>
    </row>
    <row r="534" spans="2:7" customFormat="1" ht="16.5" x14ac:dyDescent="0.25">
      <c r="B534" s="38"/>
      <c r="C534" s="38"/>
      <c r="D534" s="38"/>
      <c r="E534" s="39"/>
      <c r="F534" s="40"/>
      <c r="G534" s="40"/>
    </row>
    <row r="535" spans="2:7" customFormat="1" ht="16.5" x14ac:dyDescent="0.25">
      <c r="B535" s="38"/>
      <c r="C535" s="38"/>
      <c r="D535" s="38"/>
      <c r="E535" s="39"/>
      <c r="F535" s="40"/>
      <c r="G535" s="40"/>
    </row>
    <row r="536" spans="2:7" customFormat="1" ht="16.5" x14ac:dyDescent="0.25">
      <c r="B536" s="38"/>
      <c r="C536" s="38"/>
      <c r="D536" s="38"/>
      <c r="E536" s="39"/>
      <c r="F536" s="40"/>
      <c r="G536" s="40"/>
    </row>
    <row r="537" spans="2:7" customFormat="1" ht="16.5" x14ac:dyDescent="0.25">
      <c r="B537" s="38"/>
      <c r="C537" s="38"/>
      <c r="D537" s="38"/>
      <c r="E537" s="39"/>
      <c r="F537" s="40"/>
      <c r="G537" s="40"/>
    </row>
    <row r="538" spans="2:7" customFormat="1" ht="16.5" x14ac:dyDescent="0.25">
      <c r="B538" s="38"/>
      <c r="C538" s="38"/>
      <c r="D538" s="38"/>
      <c r="E538" s="39"/>
      <c r="F538" s="40"/>
      <c r="G538" s="40"/>
    </row>
    <row r="539" spans="2:7" customFormat="1" ht="16.5" x14ac:dyDescent="0.25">
      <c r="B539" s="38"/>
      <c r="C539" s="38"/>
      <c r="D539" s="38"/>
      <c r="E539" s="39"/>
      <c r="F539" s="40"/>
      <c r="G539" s="40"/>
    </row>
    <row r="540" spans="2:7" customFormat="1" ht="16.5" x14ac:dyDescent="0.25">
      <c r="B540" s="38"/>
      <c r="C540" s="38"/>
      <c r="D540" s="38"/>
      <c r="E540" s="39"/>
      <c r="F540" s="40"/>
      <c r="G540" s="40"/>
    </row>
    <row r="541" spans="2:7" customFormat="1" ht="16.5" x14ac:dyDescent="0.25">
      <c r="B541" s="38"/>
      <c r="C541" s="38"/>
      <c r="D541" s="38"/>
      <c r="E541" s="39"/>
      <c r="F541" s="40"/>
      <c r="G541" s="40"/>
    </row>
    <row r="542" spans="2:7" customFormat="1" ht="16.5" x14ac:dyDescent="0.25">
      <c r="B542" s="38"/>
      <c r="C542" s="38"/>
      <c r="D542" s="38"/>
      <c r="E542" s="39"/>
      <c r="F542" s="40"/>
      <c r="G542" s="40"/>
    </row>
    <row r="543" spans="2:7" customFormat="1" ht="16.5" x14ac:dyDescent="0.25">
      <c r="B543" s="38"/>
      <c r="C543" s="38"/>
      <c r="D543" s="38"/>
      <c r="E543" s="39"/>
      <c r="F543" s="40"/>
      <c r="G543" s="40"/>
    </row>
    <row r="544" spans="2:7" customFormat="1" ht="16.5" x14ac:dyDescent="0.25">
      <c r="B544" s="38"/>
      <c r="C544" s="38"/>
      <c r="D544" s="38"/>
      <c r="E544" s="39"/>
      <c r="F544" s="40"/>
      <c r="G544" s="40"/>
    </row>
    <row r="545" spans="2:7" customFormat="1" ht="16.5" x14ac:dyDescent="0.25">
      <c r="B545" s="38"/>
      <c r="C545" s="38"/>
      <c r="D545" s="38"/>
      <c r="E545" s="39"/>
      <c r="F545" s="40"/>
      <c r="G545" s="40"/>
    </row>
    <row r="546" spans="2:7" customFormat="1" ht="16.5" x14ac:dyDescent="0.25">
      <c r="B546" s="38"/>
      <c r="C546" s="38"/>
      <c r="D546" s="38"/>
      <c r="E546" s="39"/>
      <c r="F546" s="40"/>
      <c r="G546" s="40"/>
    </row>
    <row r="547" spans="2:7" customFormat="1" ht="16.5" x14ac:dyDescent="0.25">
      <c r="B547" s="38"/>
      <c r="C547" s="38"/>
      <c r="D547" s="38"/>
      <c r="E547" s="39"/>
      <c r="F547" s="40"/>
      <c r="G547" s="40"/>
    </row>
    <row r="548" spans="2:7" customFormat="1" ht="16.5" x14ac:dyDescent="0.25">
      <c r="B548" s="38"/>
      <c r="C548" s="38"/>
      <c r="D548" s="38"/>
      <c r="E548" s="39"/>
      <c r="F548" s="40"/>
      <c r="G548" s="40"/>
    </row>
    <row r="549" spans="2:7" customFormat="1" ht="16.5" x14ac:dyDescent="0.25">
      <c r="B549" s="38"/>
      <c r="C549" s="38"/>
      <c r="D549" s="38"/>
      <c r="E549" s="39"/>
      <c r="F549" s="40"/>
      <c r="G549" s="40"/>
    </row>
    <row r="550" spans="2:7" customFormat="1" ht="16.5" x14ac:dyDescent="0.25">
      <c r="B550" s="38"/>
      <c r="C550" s="38"/>
      <c r="D550" s="38"/>
      <c r="E550" s="39"/>
      <c r="F550" s="40"/>
      <c r="G550" s="40"/>
    </row>
    <row r="551" spans="2:7" customFormat="1" ht="16.5" x14ac:dyDescent="0.25">
      <c r="B551" s="38"/>
      <c r="C551" s="38"/>
      <c r="D551" s="38"/>
      <c r="E551" s="39"/>
      <c r="F551" s="40"/>
      <c r="G551" s="40"/>
    </row>
    <row r="552" spans="2:7" customFormat="1" ht="16.5" x14ac:dyDescent="0.25">
      <c r="B552" s="38"/>
      <c r="C552" s="38"/>
      <c r="D552" s="38"/>
      <c r="E552" s="39"/>
      <c r="F552" s="40"/>
      <c r="G552" s="40"/>
    </row>
    <row r="553" spans="2:7" customFormat="1" ht="16.5" x14ac:dyDescent="0.25">
      <c r="B553" s="38"/>
      <c r="C553" s="38"/>
      <c r="D553" s="38"/>
      <c r="E553" s="39"/>
      <c r="F553" s="40"/>
      <c r="G553" s="40"/>
    </row>
    <row r="554" spans="2:7" customFormat="1" ht="16.5" x14ac:dyDescent="0.25">
      <c r="B554" s="38"/>
      <c r="C554" s="38"/>
      <c r="D554" s="38"/>
      <c r="E554" s="39"/>
      <c r="F554" s="40"/>
      <c r="G554" s="40"/>
    </row>
    <row r="555" spans="2:7" customFormat="1" ht="16.5" x14ac:dyDescent="0.25">
      <c r="B555" s="38"/>
      <c r="C555" s="38"/>
      <c r="D555" s="38"/>
      <c r="E555" s="39"/>
      <c r="F555" s="40"/>
      <c r="G555" s="40"/>
    </row>
    <row r="556" spans="2:7" customFormat="1" ht="16.5" x14ac:dyDescent="0.25">
      <c r="B556" s="38"/>
      <c r="C556" s="38"/>
      <c r="D556" s="38"/>
      <c r="E556" s="39"/>
      <c r="F556" s="40"/>
      <c r="G556" s="40"/>
    </row>
    <row r="557" spans="2:7" customFormat="1" ht="16.5" x14ac:dyDescent="0.25">
      <c r="B557" s="38"/>
      <c r="C557" s="38"/>
      <c r="D557" s="38"/>
      <c r="E557" s="39"/>
      <c r="F557" s="40"/>
      <c r="G557" s="40"/>
    </row>
    <row r="558" spans="2:7" customFormat="1" ht="16.5" x14ac:dyDescent="0.25">
      <c r="B558" s="38"/>
      <c r="C558" s="38"/>
      <c r="D558" s="38"/>
      <c r="E558" s="39"/>
      <c r="F558" s="40"/>
      <c r="G558" s="40"/>
    </row>
    <row r="559" spans="2:7" customFormat="1" ht="16.5" x14ac:dyDescent="0.25">
      <c r="B559" s="38"/>
      <c r="C559" s="38"/>
      <c r="D559" s="38"/>
      <c r="E559" s="39"/>
      <c r="F559" s="40"/>
      <c r="G559" s="40"/>
    </row>
    <row r="560" spans="2:7" customFormat="1" ht="16.5" x14ac:dyDescent="0.25">
      <c r="B560" s="38"/>
      <c r="C560" s="38"/>
      <c r="D560" s="38"/>
      <c r="E560" s="39"/>
      <c r="F560" s="40"/>
      <c r="G560" s="40"/>
    </row>
    <row r="561" spans="2:7" customFormat="1" ht="16.5" x14ac:dyDescent="0.25">
      <c r="B561" s="38"/>
      <c r="C561" s="38"/>
      <c r="D561" s="38"/>
      <c r="E561" s="39"/>
      <c r="F561" s="40"/>
      <c r="G561" s="40"/>
    </row>
    <row r="562" spans="2:7" customFormat="1" ht="16.5" x14ac:dyDescent="0.25">
      <c r="B562" s="38"/>
      <c r="C562" s="38"/>
      <c r="D562" s="38"/>
      <c r="E562" s="39"/>
      <c r="F562" s="40"/>
      <c r="G562" s="40"/>
    </row>
    <row r="563" spans="2:7" customFormat="1" ht="16.5" x14ac:dyDescent="0.25">
      <c r="B563" s="38"/>
      <c r="C563" s="38"/>
      <c r="D563" s="38"/>
      <c r="E563" s="39"/>
      <c r="F563" s="40"/>
      <c r="G563" s="40"/>
    </row>
    <row r="564" spans="2:7" customFormat="1" ht="16.5" x14ac:dyDescent="0.25">
      <c r="B564" s="38"/>
      <c r="C564" s="38"/>
      <c r="D564" s="38"/>
      <c r="E564" s="39"/>
      <c r="F564" s="40"/>
      <c r="G564" s="40"/>
    </row>
    <row r="565" spans="2:7" customFormat="1" ht="16.5" x14ac:dyDescent="0.25">
      <c r="B565" s="38"/>
      <c r="C565" s="38"/>
      <c r="D565" s="38"/>
      <c r="E565" s="39"/>
      <c r="F565" s="40"/>
      <c r="G565" s="40"/>
    </row>
    <row r="566" spans="2:7" customFormat="1" ht="16.5" x14ac:dyDescent="0.25">
      <c r="B566" s="38"/>
      <c r="C566" s="38"/>
      <c r="D566" s="38"/>
      <c r="E566" s="39"/>
      <c r="F566" s="40"/>
      <c r="G566" s="40"/>
    </row>
    <row r="567" spans="2:7" customFormat="1" ht="16.5" x14ac:dyDescent="0.25">
      <c r="B567" s="38"/>
      <c r="C567" s="38"/>
      <c r="D567" s="38"/>
      <c r="E567" s="39"/>
      <c r="F567" s="40"/>
      <c r="G567" s="40"/>
    </row>
    <row r="568" spans="2:7" customFormat="1" ht="16.5" x14ac:dyDescent="0.25">
      <c r="B568" s="38"/>
      <c r="C568" s="38"/>
      <c r="D568" s="38"/>
      <c r="E568" s="39"/>
      <c r="F568" s="40"/>
      <c r="G568" s="40"/>
    </row>
    <row r="569" spans="2:7" customFormat="1" ht="16.5" x14ac:dyDescent="0.25">
      <c r="B569" s="38"/>
      <c r="C569" s="38"/>
      <c r="D569" s="38"/>
      <c r="E569" s="39"/>
      <c r="F569" s="40"/>
      <c r="G569" s="40"/>
    </row>
    <row r="570" spans="2:7" customFormat="1" ht="16.5" x14ac:dyDescent="0.25">
      <c r="B570" s="38"/>
      <c r="C570" s="38"/>
      <c r="D570" s="38"/>
      <c r="E570" s="39"/>
      <c r="F570" s="40"/>
      <c r="G570" s="40"/>
    </row>
    <row r="571" spans="2:7" customFormat="1" ht="16.5" x14ac:dyDescent="0.25">
      <c r="B571" s="38"/>
      <c r="C571" s="38"/>
      <c r="D571" s="38"/>
      <c r="E571" s="39"/>
      <c r="F571" s="40"/>
      <c r="G571" s="40"/>
    </row>
    <row r="572" spans="2:7" customFormat="1" ht="16.5" x14ac:dyDescent="0.25">
      <c r="B572" s="38"/>
      <c r="C572" s="38"/>
      <c r="D572" s="38"/>
      <c r="E572" s="39"/>
      <c r="F572" s="40"/>
      <c r="G572" s="40"/>
    </row>
    <row r="573" spans="2:7" customFormat="1" ht="16.5" x14ac:dyDescent="0.25">
      <c r="B573" s="38"/>
      <c r="C573" s="38"/>
      <c r="D573" s="38"/>
      <c r="E573" s="39"/>
      <c r="F573" s="40"/>
      <c r="G573" s="40"/>
    </row>
    <row r="574" spans="2:7" customFormat="1" ht="16.5" x14ac:dyDescent="0.25">
      <c r="B574" s="38"/>
      <c r="C574" s="38"/>
      <c r="D574" s="38"/>
      <c r="E574" s="39"/>
      <c r="F574" s="40"/>
      <c r="G574" s="40"/>
    </row>
    <row r="575" spans="2:7" customFormat="1" ht="16.5" x14ac:dyDescent="0.25">
      <c r="B575" s="38"/>
      <c r="C575" s="38"/>
      <c r="D575" s="38"/>
      <c r="E575" s="39"/>
      <c r="F575" s="40"/>
      <c r="G575" s="40"/>
    </row>
    <row r="576" spans="2:7" customFormat="1" ht="16.5" x14ac:dyDescent="0.25">
      <c r="B576" s="38"/>
      <c r="C576" s="38"/>
      <c r="D576" s="38"/>
      <c r="E576" s="39"/>
      <c r="F576" s="40"/>
      <c r="G576" s="40"/>
    </row>
    <row r="577" spans="2:7" customFormat="1" ht="16.5" x14ac:dyDescent="0.25">
      <c r="B577" s="38"/>
      <c r="C577" s="38"/>
      <c r="D577" s="38"/>
      <c r="E577" s="39"/>
      <c r="F577" s="40"/>
      <c r="G577" s="40"/>
    </row>
    <row r="578" spans="2:7" customFormat="1" ht="16.5" x14ac:dyDescent="0.25">
      <c r="B578" s="38"/>
      <c r="C578" s="38"/>
      <c r="D578" s="38"/>
      <c r="E578" s="39"/>
      <c r="F578" s="40"/>
      <c r="G578" s="40"/>
    </row>
    <row r="579" spans="2:7" customFormat="1" ht="16.5" x14ac:dyDescent="0.25">
      <c r="B579" s="38"/>
      <c r="C579" s="38"/>
      <c r="D579" s="38"/>
      <c r="E579" s="39"/>
      <c r="F579" s="40"/>
      <c r="G579" s="40"/>
    </row>
    <row r="580" spans="2:7" customFormat="1" ht="16.5" x14ac:dyDescent="0.25">
      <c r="B580" s="38"/>
      <c r="C580" s="38"/>
      <c r="D580" s="38"/>
      <c r="E580" s="39"/>
      <c r="F580" s="40"/>
      <c r="G580" s="40"/>
    </row>
    <row r="581" spans="2:7" customFormat="1" ht="16.5" x14ac:dyDescent="0.25">
      <c r="B581" s="38"/>
      <c r="C581" s="38"/>
      <c r="D581" s="38"/>
      <c r="E581" s="39"/>
      <c r="F581" s="40"/>
      <c r="G581" s="40"/>
    </row>
    <row r="582" spans="2:7" customFormat="1" ht="16.5" x14ac:dyDescent="0.25">
      <c r="B582" s="38"/>
      <c r="C582" s="38"/>
      <c r="D582" s="38"/>
      <c r="E582" s="39"/>
      <c r="F582" s="40"/>
      <c r="G582" s="40"/>
    </row>
    <row r="583" spans="2:7" customFormat="1" ht="16.5" x14ac:dyDescent="0.25">
      <c r="B583" s="38"/>
      <c r="C583" s="38"/>
      <c r="D583" s="38"/>
      <c r="E583" s="39"/>
      <c r="F583" s="40"/>
      <c r="G583" s="40"/>
    </row>
    <row r="584" spans="2:7" customFormat="1" ht="16.5" x14ac:dyDescent="0.25">
      <c r="B584" s="38"/>
      <c r="C584" s="38"/>
      <c r="D584" s="38"/>
      <c r="E584" s="39"/>
      <c r="F584" s="40"/>
      <c r="G584" s="40"/>
    </row>
    <row r="585" spans="2:7" customFormat="1" ht="16.5" x14ac:dyDescent="0.25">
      <c r="B585" s="38"/>
      <c r="C585" s="38"/>
      <c r="D585" s="38"/>
      <c r="E585" s="39"/>
      <c r="F585" s="40"/>
      <c r="G585" s="40"/>
    </row>
    <row r="586" spans="2:7" customFormat="1" ht="16.5" x14ac:dyDescent="0.25">
      <c r="B586" s="38"/>
      <c r="C586" s="38"/>
      <c r="D586" s="38"/>
      <c r="E586" s="39"/>
      <c r="F586" s="40"/>
      <c r="G586" s="40"/>
    </row>
    <row r="587" spans="2:7" customFormat="1" ht="16.5" x14ac:dyDescent="0.25">
      <c r="B587" s="38"/>
      <c r="C587" s="38"/>
      <c r="D587" s="38"/>
      <c r="E587" s="39"/>
      <c r="F587" s="40"/>
      <c r="G587" s="40"/>
    </row>
    <row r="588" spans="2:7" customFormat="1" ht="16.5" x14ac:dyDescent="0.25">
      <c r="B588" s="38"/>
      <c r="C588" s="38"/>
      <c r="D588" s="38"/>
      <c r="E588" s="39"/>
      <c r="F588" s="40"/>
      <c r="G588" s="40"/>
    </row>
    <row r="589" spans="2:7" customFormat="1" ht="16.5" x14ac:dyDescent="0.25">
      <c r="B589" s="38"/>
      <c r="C589" s="38"/>
      <c r="D589" s="38"/>
      <c r="E589" s="39"/>
      <c r="F589" s="40"/>
      <c r="G589" s="40"/>
    </row>
    <row r="590" spans="2:7" customFormat="1" ht="16.5" x14ac:dyDescent="0.25">
      <c r="B590" s="38"/>
      <c r="C590" s="38"/>
      <c r="D590" s="38"/>
      <c r="E590" s="39"/>
      <c r="F590" s="40"/>
      <c r="G590" s="40"/>
    </row>
    <row r="591" spans="2:7" customFormat="1" ht="16.5" x14ac:dyDescent="0.25">
      <c r="B591" s="38"/>
      <c r="C591" s="38"/>
      <c r="D591" s="38"/>
      <c r="E591" s="39"/>
      <c r="F591" s="40"/>
      <c r="G591" s="40"/>
    </row>
    <row r="592" spans="2:7" customFormat="1" ht="16.5" x14ac:dyDescent="0.25">
      <c r="B592" s="38"/>
      <c r="C592" s="38"/>
      <c r="D592" s="38"/>
      <c r="E592" s="39"/>
      <c r="F592" s="40"/>
      <c r="G592" s="40"/>
    </row>
    <row r="593" spans="2:7" customFormat="1" ht="16.5" x14ac:dyDescent="0.25">
      <c r="B593" s="38"/>
      <c r="C593" s="38"/>
      <c r="D593" s="38"/>
      <c r="E593" s="39"/>
      <c r="F593" s="40"/>
      <c r="G593" s="40"/>
    </row>
    <row r="594" spans="2:7" customFormat="1" ht="16.5" x14ac:dyDescent="0.25">
      <c r="B594" s="38"/>
      <c r="C594" s="38"/>
      <c r="D594" s="38"/>
      <c r="E594" s="39"/>
      <c r="F594" s="40"/>
      <c r="G594" s="40"/>
    </row>
    <row r="595" spans="2:7" customFormat="1" ht="16.5" x14ac:dyDescent="0.25">
      <c r="B595" s="38"/>
      <c r="C595" s="38"/>
      <c r="D595" s="38"/>
      <c r="E595" s="39"/>
      <c r="F595" s="40"/>
      <c r="G595" s="40"/>
    </row>
    <row r="596" spans="2:7" customFormat="1" ht="16.5" x14ac:dyDescent="0.25">
      <c r="B596" s="38"/>
      <c r="C596" s="38"/>
      <c r="D596" s="38"/>
      <c r="E596" s="39"/>
      <c r="F596" s="40"/>
      <c r="G596" s="40"/>
    </row>
    <row r="597" spans="2:7" customFormat="1" ht="16.5" x14ac:dyDescent="0.25">
      <c r="B597" s="38"/>
      <c r="C597" s="38"/>
      <c r="D597" s="38"/>
      <c r="E597" s="39"/>
      <c r="F597" s="40"/>
      <c r="G597" s="40"/>
    </row>
    <row r="598" spans="2:7" customFormat="1" ht="16.5" x14ac:dyDescent="0.25">
      <c r="B598" s="38"/>
      <c r="C598" s="38"/>
      <c r="D598" s="38"/>
      <c r="E598" s="39"/>
      <c r="F598" s="40"/>
      <c r="G598" s="40"/>
    </row>
    <row r="599" spans="2:7" customFormat="1" ht="16.5" x14ac:dyDescent="0.25">
      <c r="B599" s="38"/>
      <c r="C599" s="38"/>
      <c r="D599" s="38"/>
      <c r="E599" s="39"/>
      <c r="F599" s="40"/>
      <c r="G599" s="40"/>
    </row>
    <row r="600" spans="2:7" customFormat="1" ht="16.5" x14ac:dyDescent="0.25">
      <c r="B600" s="38"/>
      <c r="C600" s="38"/>
      <c r="D600" s="38"/>
      <c r="E600" s="39"/>
      <c r="F600" s="40"/>
      <c r="G600" s="40"/>
    </row>
    <row r="601" spans="2:7" customFormat="1" ht="16.5" x14ac:dyDescent="0.25">
      <c r="B601" s="38"/>
      <c r="C601" s="38"/>
      <c r="D601" s="38"/>
      <c r="E601" s="39"/>
      <c r="F601" s="40"/>
      <c r="G601" s="40"/>
    </row>
    <row r="602" spans="2:7" customFormat="1" ht="16.5" x14ac:dyDescent="0.25">
      <c r="B602" s="38"/>
      <c r="C602" s="38"/>
      <c r="D602" s="38"/>
      <c r="E602" s="39"/>
      <c r="F602" s="40"/>
      <c r="G602" s="40"/>
    </row>
    <row r="603" spans="2:7" customFormat="1" ht="16.5" x14ac:dyDescent="0.25">
      <c r="B603" s="38"/>
      <c r="C603" s="38"/>
      <c r="D603" s="38"/>
      <c r="E603" s="39"/>
      <c r="F603" s="40"/>
      <c r="G603" s="40"/>
    </row>
    <row r="604" spans="2:7" customFormat="1" ht="16.5" x14ac:dyDescent="0.25">
      <c r="B604" s="38"/>
      <c r="C604" s="38"/>
      <c r="D604" s="38"/>
      <c r="E604" s="39"/>
      <c r="F604" s="40"/>
      <c r="G604" s="40"/>
    </row>
    <row r="605" spans="2:7" customFormat="1" ht="16.5" x14ac:dyDescent="0.25">
      <c r="B605" s="38"/>
      <c r="C605" s="38"/>
      <c r="D605" s="38"/>
      <c r="E605" s="39"/>
      <c r="F605" s="40"/>
      <c r="G605" s="40"/>
    </row>
    <row r="606" spans="2:7" customFormat="1" ht="16.5" x14ac:dyDescent="0.25">
      <c r="B606" s="38"/>
      <c r="C606" s="38"/>
      <c r="D606" s="38"/>
      <c r="E606" s="39"/>
      <c r="F606" s="40"/>
      <c r="G606" s="40"/>
    </row>
    <row r="607" spans="2:7" customFormat="1" ht="16.5" x14ac:dyDescent="0.25">
      <c r="B607" s="38"/>
      <c r="C607" s="38"/>
      <c r="D607" s="38"/>
      <c r="E607" s="39"/>
      <c r="F607" s="40"/>
      <c r="G607" s="40"/>
    </row>
    <row r="608" spans="2:7" customFormat="1" ht="16.5" x14ac:dyDescent="0.25">
      <c r="B608" s="38"/>
      <c r="C608" s="38"/>
      <c r="D608" s="38"/>
      <c r="E608" s="39"/>
      <c r="F608" s="40"/>
      <c r="G608" s="40"/>
    </row>
    <row r="609" spans="2:7" customFormat="1" ht="16.5" x14ac:dyDescent="0.25">
      <c r="B609" s="38"/>
      <c r="C609" s="38"/>
      <c r="D609" s="38"/>
      <c r="E609" s="39"/>
      <c r="F609" s="40"/>
      <c r="G609" s="40"/>
    </row>
    <row r="610" spans="2:7" customFormat="1" ht="16.5" x14ac:dyDescent="0.25">
      <c r="B610" s="38"/>
      <c r="C610" s="38"/>
      <c r="D610" s="38"/>
      <c r="E610" s="39"/>
      <c r="F610" s="40"/>
      <c r="G610" s="40"/>
    </row>
    <row r="611" spans="2:7" customFormat="1" ht="16.5" x14ac:dyDescent="0.25">
      <c r="B611" s="38"/>
      <c r="C611" s="38"/>
      <c r="D611" s="38"/>
      <c r="E611" s="39"/>
      <c r="F611" s="40"/>
      <c r="G611" s="40"/>
    </row>
    <row r="612" spans="2:7" customFormat="1" ht="16.5" x14ac:dyDescent="0.25">
      <c r="B612" s="38"/>
      <c r="C612" s="38"/>
      <c r="D612" s="38"/>
      <c r="E612" s="39"/>
      <c r="F612" s="40"/>
      <c r="G612" s="40"/>
    </row>
    <row r="613" spans="2:7" customFormat="1" ht="16.5" x14ac:dyDescent="0.25">
      <c r="B613" s="38"/>
      <c r="C613" s="38"/>
      <c r="D613" s="38"/>
      <c r="E613" s="39"/>
      <c r="F613" s="40"/>
      <c r="G613" s="40"/>
    </row>
    <row r="614" spans="2:7" customFormat="1" ht="16.5" x14ac:dyDescent="0.25">
      <c r="B614" s="38"/>
      <c r="C614" s="38"/>
      <c r="D614" s="38"/>
      <c r="E614" s="39"/>
      <c r="F614" s="40"/>
      <c r="G614" s="40"/>
    </row>
    <row r="615" spans="2:7" customFormat="1" ht="16.5" x14ac:dyDescent="0.25">
      <c r="B615" s="38"/>
      <c r="C615" s="38"/>
      <c r="D615" s="38"/>
      <c r="E615" s="39"/>
      <c r="F615" s="40"/>
      <c r="G615" s="40"/>
    </row>
    <row r="616" spans="2:7" customFormat="1" ht="16.5" x14ac:dyDescent="0.25">
      <c r="B616" s="38"/>
      <c r="C616" s="38"/>
      <c r="D616" s="38"/>
      <c r="E616" s="39"/>
      <c r="F616" s="40"/>
      <c r="G616" s="40"/>
    </row>
    <row r="617" spans="2:7" customFormat="1" ht="16.5" x14ac:dyDescent="0.25">
      <c r="B617" s="38"/>
      <c r="C617" s="38"/>
      <c r="D617" s="38"/>
      <c r="E617" s="39"/>
      <c r="F617" s="40"/>
      <c r="G617" s="40"/>
    </row>
    <row r="618" spans="2:7" customFormat="1" ht="16.5" x14ac:dyDescent="0.25">
      <c r="B618" s="38"/>
      <c r="C618" s="38"/>
      <c r="D618" s="38"/>
      <c r="E618" s="39"/>
      <c r="F618" s="40"/>
      <c r="G618" s="40"/>
    </row>
    <row r="619" spans="2:7" customFormat="1" ht="16.5" x14ac:dyDescent="0.25">
      <c r="B619" s="38"/>
      <c r="C619" s="38"/>
      <c r="D619" s="38"/>
      <c r="E619" s="39"/>
      <c r="F619" s="40"/>
      <c r="G619" s="40"/>
    </row>
    <row r="620" spans="2:7" customFormat="1" ht="16.5" x14ac:dyDescent="0.25">
      <c r="B620" s="38"/>
      <c r="C620" s="38"/>
      <c r="D620" s="38"/>
      <c r="E620" s="39"/>
      <c r="F620" s="40"/>
      <c r="G620" s="40"/>
    </row>
    <row r="621" spans="2:7" customFormat="1" ht="16.5" x14ac:dyDescent="0.25">
      <c r="B621" s="38"/>
      <c r="C621" s="38"/>
      <c r="D621" s="38"/>
      <c r="E621" s="39"/>
      <c r="F621" s="40"/>
      <c r="G621" s="40"/>
    </row>
    <row r="622" spans="2:7" customFormat="1" ht="16.5" x14ac:dyDescent="0.25">
      <c r="B622" s="38"/>
      <c r="C622" s="38"/>
      <c r="D622" s="38"/>
      <c r="E622" s="39"/>
      <c r="F622" s="40"/>
      <c r="G622" s="40"/>
    </row>
    <row r="623" spans="2:7" customFormat="1" ht="16.5" x14ac:dyDescent="0.25">
      <c r="B623" s="38"/>
      <c r="C623" s="38"/>
      <c r="D623" s="38"/>
      <c r="E623" s="39"/>
      <c r="F623" s="40"/>
      <c r="G623" s="40"/>
    </row>
    <row r="624" spans="2:7" customFormat="1" ht="16.5" x14ac:dyDescent="0.25">
      <c r="B624" s="38"/>
      <c r="C624" s="38"/>
      <c r="D624" s="38"/>
      <c r="E624" s="39"/>
      <c r="F624" s="40"/>
      <c r="G624" s="40"/>
    </row>
    <row r="625" spans="2:7" customFormat="1" ht="16.5" x14ac:dyDescent="0.25">
      <c r="B625" s="38"/>
      <c r="C625" s="38"/>
      <c r="D625" s="38"/>
      <c r="E625" s="39"/>
      <c r="F625" s="40"/>
      <c r="G625" s="40"/>
    </row>
    <row r="626" spans="2:7" customFormat="1" ht="16.5" x14ac:dyDescent="0.25">
      <c r="B626" s="38"/>
      <c r="C626" s="38"/>
      <c r="D626" s="38"/>
      <c r="E626" s="39"/>
      <c r="F626" s="40"/>
      <c r="G626" s="40"/>
    </row>
    <row r="627" spans="2:7" customFormat="1" ht="16.5" x14ac:dyDescent="0.25">
      <c r="B627" s="38"/>
      <c r="C627" s="38"/>
      <c r="D627" s="38"/>
      <c r="E627" s="39"/>
      <c r="F627" s="40"/>
      <c r="G627" s="40"/>
    </row>
    <row r="628" spans="2:7" customFormat="1" ht="16.5" x14ac:dyDescent="0.25">
      <c r="B628" s="38"/>
      <c r="C628" s="38"/>
      <c r="D628" s="38"/>
      <c r="E628" s="39"/>
      <c r="F628" s="40"/>
      <c r="G628" s="40"/>
    </row>
    <row r="629" spans="2:7" customFormat="1" ht="16.5" x14ac:dyDescent="0.25">
      <c r="B629" s="38"/>
      <c r="C629" s="38"/>
      <c r="D629" s="38"/>
      <c r="E629" s="39"/>
      <c r="F629" s="40"/>
      <c r="G629" s="40"/>
    </row>
    <row r="630" spans="2:7" customFormat="1" ht="16.5" x14ac:dyDescent="0.25">
      <c r="B630" s="38"/>
      <c r="C630" s="38"/>
      <c r="D630" s="38"/>
      <c r="E630" s="39"/>
      <c r="F630" s="40"/>
      <c r="G630" s="40"/>
    </row>
    <row r="631" spans="2:7" customFormat="1" ht="16.5" x14ac:dyDescent="0.25">
      <c r="B631" s="38"/>
      <c r="C631" s="38"/>
      <c r="D631" s="38"/>
      <c r="E631" s="39"/>
      <c r="F631" s="40"/>
      <c r="G631" s="40"/>
    </row>
    <row r="632" spans="2:7" customFormat="1" ht="16.5" x14ac:dyDescent="0.25">
      <c r="B632" s="38"/>
      <c r="C632" s="38"/>
      <c r="D632" s="38"/>
      <c r="E632" s="39"/>
      <c r="F632" s="40"/>
      <c r="G632" s="40"/>
    </row>
    <row r="633" spans="2:7" customFormat="1" ht="16.5" x14ac:dyDescent="0.25">
      <c r="B633" s="38"/>
      <c r="C633" s="38"/>
      <c r="D633" s="38"/>
      <c r="E633" s="39"/>
      <c r="F633" s="40"/>
      <c r="G633" s="40"/>
    </row>
    <row r="634" spans="2:7" customFormat="1" ht="16.5" x14ac:dyDescent="0.25">
      <c r="B634" s="38"/>
      <c r="C634" s="38"/>
      <c r="D634" s="38"/>
      <c r="E634" s="39"/>
      <c r="F634" s="40"/>
      <c r="G634" s="40"/>
    </row>
    <row r="635" spans="2:7" customFormat="1" ht="16.5" x14ac:dyDescent="0.25">
      <c r="B635" s="38"/>
      <c r="C635" s="38"/>
      <c r="D635" s="38"/>
      <c r="E635" s="39"/>
      <c r="F635" s="40"/>
      <c r="G635" s="40"/>
    </row>
    <row r="636" spans="2:7" customFormat="1" ht="16.5" x14ac:dyDescent="0.25">
      <c r="B636" s="38"/>
      <c r="C636" s="38"/>
      <c r="D636" s="38"/>
      <c r="E636" s="39"/>
      <c r="F636" s="40"/>
      <c r="G636" s="40"/>
    </row>
    <row r="637" spans="2:7" customFormat="1" ht="16.5" x14ac:dyDescent="0.25">
      <c r="B637" s="38"/>
      <c r="C637" s="38"/>
      <c r="D637" s="38"/>
      <c r="E637" s="39"/>
      <c r="F637" s="40"/>
      <c r="G637" s="40"/>
    </row>
    <row r="638" spans="2:7" customFormat="1" ht="16.5" x14ac:dyDescent="0.25">
      <c r="B638" s="38"/>
      <c r="C638" s="38"/>
      <c r="D638" s="38"/>
      <c r="E638" s="39"/>
      <c r="F638" s="40"/>
      <c r="G638" s="40"/>
    </row>
    <row r="639" spans="2:7" customFormat="1" ht="16.5" x14ac:dyDescent="0.25">
      <c r="B639" s="38"/>
      <c r="C639" s="38"/>
      <c r="D639" s="38"/>
      <c r="E639" s="39"/>
      <c r="F639" s="40"/>
      <c r="G639" s="40"/>
    </row>
    <row r="640" spans="2:7" customFormat="1" ht="16.5" x14ac:dyDescent="0.25">
      <c r="B640" s="38"/>
      <c r="C640" s="38"/>
      <c r="D640" s="38"/>
      <c r="E640" s="39"/>
      <c r="F640" s="40"/>
      <c r="G640" s="40"/>
    </row>
    <row r="641" spans="2:7" customFormat="1" ht="16.5" x14ac:dyDescent="0.25">
      <c r="B641" s="38"/>
      <c r="C641" s="38"/>
      <c r="D641" s="38"/>
      <c r="E641" s="39"/>
      <c r="F641" s="40"/>
      <c r="G641" s="40"/>
    </row>
    <row r="642" spans="2:7" customFormat="1" ht="16.5" x14ac:dyDescent="0.25">
      <c r="B642" s="38"/>
      <c r="C642" s="38"/>
      <c r="D642" s="38"/>
      <c r="E642" s="39"/>
      <c r="F642" s="40"/>
      <c r="G642" s="40"/>
    </row>
    <row r="643" spans="2:7" customFormat="1" ht="16.5" x14ac:dyDescent="0.25">
      <c r="B643" s="38"/>
      <c r="C643" s="38"/>
      <c r="D643" s="38"/>
      <c r="E643" s="39"/>
      <c r="F643" s="40"/>
      <c r="G643" s="40"/>
    </row>
    <row r="644" spans="2:7" customFormat="1" ht="16.5" x14ac:dyDescent="0.25">
      <c r="B644" s="38"/>
      <c r="C644" s="38"/>
      <c r="D644" s="38"/>
      <c r="E644" s="39"/>
      <c r="F644" s="40"/>
      <c r="G644" s="40"/>
    </row>
    <row r="645" spans="2:7" customFormat="1" ht="16.5" x14ac:dyDescent="0.25">
      <c r="B645" s="38"/>
      <c r="C645" s="38"/>
      <c r="D645" s="38"/>
      <c r="E645" s="39"/>
      <c r="F645" s="40"/>
      <c r="G645" s="40"/>
    </row>
    <row r="646" spans="2:7" customFormat="1" ht="16.5" x14ac:dyDescent="0.25">
      <c r="B646" s="38"/>
      <c r="C646" s="38"/>
      <c r="D646" s="38"/>
      <c r="E646" s="39"/>
      <c r="F646" s="40"/>
      <c r="G646" s="40"/>
    </row>
    <row r="647" spans="2:7" customFormat="1" ht="16.5" x14ac:dyDescent="0.25">
      <c r="B647" s="38"/>
      <c r="C647" s="38"/>
      <c r="D647" s="38"/>
      <c r="E647" s="39"/>
      <c r="F647" s="40"/>
      <c r="G647" s="40"/>
    </row>
    <row r="648" spans="2:7" customFormat="1" ht="16.5" x14ac:dyDescent="0.25">
      <c r="B648" s="38"/>
      <c r="C648" s="38"/>
      <c r="D648" s="38"/>
      <c r="E648" s="39"/>
      <c r="F648" s="40"/>
      <c r="G648" s="40"/>
    </row>
    <row r="649" spans="2:7" customFormat="1" ht="16.5" x14ac:dyDescent="0.25">
      <c r="B649" s="38"/>
      <c r="C649" s="38"/>
      <c r="D649" s="38"/>
      <c r="E649" s="39"/>
      <c r="F649" s="40"/>
      <c r="G649" s="40"/>
    </row>
    <row r="650" spans="2:7" customFormat="1" ht="16.5" x14ac:dyDescent="0.25">
      <c r="B650" s="38"/>
      <c r="C650" s="38"/>
      <c r="D650" s="38"/>
      <c r="E650" s="39"/>
      <c r="F650" s="40"/>
      <c r="G650" s="40"/>
    </row>
    <row r="651" spans="2:7" customFormat="1" ht="16.5" x14ac:dyDescent="0.25">
      <c r="B651" s="38"/>
      <c r="C651" s="38"/>
      <c r="D651" s="38"/>
      <c r="E651" s="39"/>
      <c r="F651" s="40"/>
      <c r="G651" s="40"/>
    </row>
    <row r="652" spans="2:7" customFormat="1" ht="16.5" x14ac:dyDescent="0.25">
      <c r="B652" s="38"/>
      <c r="C652" s="38"/>
      <c r="D652" s="38"/>
      <c r="E652" s="39"/>
      <c r="F652" s="40"/>
      <c r="G652" s="40"/>
    </row>
    <row r="653" spans="2:7" customFormat="1" ht="16.5" x14ac:dyDescent="0.25">
      <c r="B653" s="38"/>
      <c r="C653" s="38"/>
      <c r="D653" s="38"/>
      <c r="E653" s="39"/>
      <c r="F653" s="40"/>
      <c r="G653" s="40"/>
    </row>
    <row r="654" spans="2:7" customFormat="1" ht="16.5" x14ac:dyDescent="0.25">
      <c r="B654" s="38"/>
      <c r="C654" s="38"/>
      <c r="D654" s="38"/>
      <c r="E654" s="39"/>
      <c r="F654" s="40"/>
      <c r="G654" s="40"/>
    </row>
    <row r="655" spans="2:7" customFormat="1" ht="16.5" x14ac:dyDescent="0.25">
      <c r="B655" s="38"/>
      <c r="C655" s="38"/>
      <c r="D655" s="38"/>
      <c r="E655" s="39"/>
      <c r="F655" s="40"/>
      <c r="G655" s="40"/>
    </row>
    <row r="656" spans="2:7" customFormat="1" ht="16.5" x14ac:dyDescent="0.25">
      <c r="B656" s="38"/>
      <c r="C656" s="38"/>
      <c r="D656" s="38"/>
      <c r="E656" s="39"/>
      <c r="F656" s="40"/>
      <c r="G656" s="40"/>
    </row>
    <row r="657" spans="2:7" customFormat="1" ht="16.5" x14ac:dyDescent="0.25">
      <c r="B657" s="38"/>
      <c r="C657" s="38"/>
      <c r="D657" s="38"/>
      <c r="E657" s="39"/>
      <c r="F657" s="40"/>
      <c r="G657" s="40"/>
    </row>
    <row r="658" spans="2:7" customFormat="1" ht="16.5" x14ac:dyDescent="0.25">
      <c r="B658" s="38"/>
      <c r="C658" s="38"/>
      <c r="D658" s="38"/>
      <c r="E658" s="39"/>
      <c r="F658" s="40"/>
      <c r="G658" s="40"/>
    </row>
    <row r="659" spans="2:7" customFormat="1" ht="16.5" x14ac:dyDescent="0.25">
      <c r="B659" s="38"/>
      <c r="C659" s="38"/>
      <c r="D659" s="38"/>
      <c r="E659" s="39"/>
      <c r="F659" s="40"/>
      <c r="G659" s="40"/>
    </row>
    <row r="660" spans="2:7" customFormat="1" ht="16.5" x14ac:dyDescent="0.25">
      <c r="B660" s="38"/>
      <c r="C660" s="38"/>
      <c r="D660" s="38"/>
      <c r="E660" s="39"/>
      <c r="F660" s="40"/>
      <c r="G660" s="40"/>
    </row>
    <row r="661" spans="2:7" customFormat="1" ht="16.5" x14ac:dyDescent="0.25">
      <c r="B661" s="38"/>
      <c r="C661" s="38"/>
      <c r="D661" s="38"/>
      <c r="E661" s="39"/>
      <c r="F661" s="40"/>
      <c r="G661" s="40"/>
    </row>
    <row r="662" spans="2:7" customFormat="1" ht="16.5" x14ac:dyDescent="0.25">
      <c r="B662" s="38"/>
      <c r="C662" s="38"/>
      <c r="D662" s="38"/>
      <c r="E662" s="39"/>
      <c r="F662" s="40"/>
      <c r="G662" s="40"/>
    </row>
    <row r="663" spans="2:7" customFormat="1" ht="16.5" x14ac:dyDescent="0.25">
      <c r="B663" s="38"/>
      <c r="C663" s="38"/>
      <c r="D663" s="38"/>
      <c r="E663" s="39"/>
      <c r="F663" s="40"/>
      <c r="G663" s="40"/>
    </row>
    <row r="664" spans="2:7" customFormat="1" ht="16.5" x14ac:dyDescent="0.25">
      <c r="B664" s="38"/>
      <c r="C664" s="38"/>
      <c r="D664" s="38"/>
      <c r="E664" s="39"/>
      <c r="F664" s="40"/>
      <c r="G664" s="40"/>
    </row>
    <row r="665" spans="2:7" customFormat="1" ht="16.5" x14ac:dyDescent="0.25">
      <c r="B665" s="38"/>
      <c r="C665" s="38"/>
      <c r="D665" s="38"/>
      <c r="E665" s="39"/>
      <c r="F665" s="40"/>
      <c r="G665" s="40"/>
    </row>
    <row r="666" spans="2:7" customFormat="1" ht="16.5" x14ac:dyDescent="0.25">
      <c r="B666" s="38"/>
      <c r="C666" s="38"/>
      <c r="D666" s="38"/>
      <c r="E666" s="39"/>
      <c r="F666" s="40"/>
      <c r="G666" s="40"/>
    </row>
    <row r="667" spans="2:7" customFormat="1" ht="16.5" x14ac:dyDescent="0.25">
      <c r="B667" s="38"/>
      <c r="C667" s="38"/>
      <c r="D667" s="38"/>
      <c r="E667" s="39"/>
      <c r="F667" s="40"/>
      <c r="G667" s="40"/>
    </row>
    <row r="668" spans="2:7" customFormat="1" ht="16.5" x14ac:dyDescent="0.25">
      <c r="B668" s="38"/>
      <c r="C668" s="38"/>
      <c r="D668" s="38"/>
      <c r="E668" s="39"/>
      <c r="F668" s="40"/>
      <c r="G668" s="40"/>
    </row>
    <row r="669" spans="2:7" customFormat="1" ht="16.5" x14ac:dyDescent="0.25">
      <c r="B669" s="38"/>
      <c r="C669" s="38"/>
      <c r="D669" s="38"/>
      <c r="E669" s="39"/>
      <c r="F669" s="40"/>
      <c r="G669" s="40"/>
    </row>
    <row r="670" spans="2:7" customFormat="1" ht="16.5" x14ac:dyDescent="0.25">
      <c r="B670" s="38"/>
      <c r="C670" s="38"/>
      <c r="D670" s="38"/>
      <c r="E670" s="39"/>
      <c r="F670" s="40"/>
      <c r="G670" s="40"/>
    </row>
    <row r="671" spans="2:7" customFormat="1" ht="16.5" x14ac:dyDescent="0.25">
      <c r="B671" s="38"/>
      <c r="C671" s="38"/>
      <c r="D671" s="38"/>
      <c r="E671" s="39"/>
      <c r="F671" s="40"/>
      <c r="G671" s="40"/>
    </row>
    <row r="672" spans="2:7" customFormat="1" ht="16.5" x14ac:dyDescent="0.25">
      <c r="B672" s="38"/>
      <c r="C672" s="38"/>
      <c r="D672" s="38"/>
      <c r="E672" s="39"/>
      <c r="F672" s="40"/>
      <c r="G672" s="40"/>
    </row>
    <row r="673" spans="2:7" customFormat="1" ht="16.5" x14ac:dyDescent="0.25">
      <c r="B673" s="38"/>
      <c r="C673" s="38"/>
      <c r="D673" s="38"/>
      <c r="E673" s="39"/>
      <c r="F673" s="40"/>
      <c r="G673" s="40"/>
    </row>
    <row r="674" spans="2:7" customFormat="1" ht="16.5" x14ac:dyDescent="0.25">
      <c r="B674" s="38"/>
      <c r="C674" s="38"/>
      <c r="D674" s="38"/>
      <c r="E674" s="39"/>
      <c r="F674" s="40"/>
      <c r="G674" s="40"/>
    </row>
    <row r="675" spans="2:7" customFormat="1" ht="16.5" x14ac:dyDescent="0.25">
      <c r="B675" s="38"/>
      <c r="C675" s="38"/>
      <c r="D675" s="38"/>
      <c r="E675" s="39"/>
      <c r="F675" s="40"/>
      <c r="G675" s="40"/>
    </row>
    <row r="676" spans="2:7" customFormat="1" ht="16.5" x14ac:dyDescent="0.25">
      <c r="B676" s="38"/>
      <c r="C676" s="38"/>
      <c r="D676" s="38"/>
      <c r="E676" s="39"/>
      <c r="F676" s="40"/>
      <c r="G676" s="40"/>
    </row>
    <row r="677" spans="2:7" customFormat="1" ht="16.5" x14ac:dyDescent="0.25">
      <c r="B677" s="38"/>
      <c r="C677" s="38"/>
      <c r="D677" s="38"/>
      <c r="E677" s="39"/>
      <c r="F677" s="40"/>
      <c r="G677" s="40"/>
    </row>
    <row r="678" spans="2:7" customFormat="1" ht="16.5" x14ac:dyDescent="0.25">
      <c r="B678" s="38"/>
      <c r="C678" s="38"/>
      <c r="D678" s="38"/>
      <c r="E678" s="39"/>
      <c r="F678" s="40"/>
      <c r="G678" s="40"/>
    </row>
    <row r="679" spans="2:7" customFormat="1" ht="16.5" x14ac:dyDescent="0.25">
      <c r="B679" s="38"/>
      <c r="C679" s="38"/>
      <c r="D679" s="38"/>
      <c r="E679" s="39"/>
      <c r="F679" s="40"/>
      <c r="G679" s="40"/>
    </row>
    <row r="680" spans="2:7" customFormat="1" ht="16.5" x14ac:dyDescent="0.25">
      <c r="B680" s="38"/>
      <c r="C680" s="38"/>
      <c r="D680" s="38"/>
      <c r="E680" s="39"/>
      <c r="F680" s="40"/>
      <c r="G680" s="40"/>
    </row>
    <row r="681" spans="2:7" customFormat="1" ht="16.5" x14ac:dyDescent="0.25">
      <c r="B681" s="38"/>
      <c r="C681" s="38"/>
      <c r="D681" s="38"/>
      <c r="E681" s="39"/>
      <c r="F681" s="40"/>
      <c r="G681" s="40"/>
    </row>
    <row r="682" spans="2:7" customFormat="1" ht="16.5" x14ac:dyDescent="0.25">
      <c r="B682" s="38"/>
      <c r="C682" s="38"/>
      <c r="D682" s="38"/>
      <c r="E682" s="39"/>
      <c r="F682" s="40"/>
      <c r="G682" s="40"/>
    </row>
    <row r="683" spans="2:7" customFormat="1" ht="16.5" x14ac:dyDescent="0.25">
      <c r="B683" s="38"/>
      <c r="C683" s="38"/>
      <c r="D683" s="38"/>
      <c r="E683" s="39"/>
      <c r="F683" s="40"/>
      <c r="G683" s="40"/>
    </row>
    <row r="684" spans="2:7" customFormat="1" ht="16.5" x14ac:dyDescent="0.25">
      <c r="B684" s="38"/>
      <c r="C684" s="38"/>
      <c r="D684" s="38"/>
      <c r="E684" s="39"/>
      <c r="F684" s="40"/>
      <c r="G684" s="40"/>
    </row>
    <row r="685" spans="2:7" customFormat="1" ht="16.5" x14ac:dyDescent="0.25">
      <c r="B685" s="38"/>
      <c r="C685" s="38"/>
      <c r="D685" s="38"/>
      <c r="E685" s="39"/>
      <c r="F685" s="40"/>
      <c r="G685" s="40"/>
    </row>
    <row r="686" spans="2:7" customFormat="1" ht="16.5" x14ac:dyDescent="0.25">
      <c r="B686" s="38"/>
      <c r="C686" s="38"/>
      <c r="D686" s="38"/>
      <c r="E686" s="39"/>
      <c r="F686" s="40"/>
      <c r="G686" s="40"/>
    </row>
    <row r="687" spans="2:7" customFormat="1" ht="16.5" x14ac:dyDescent="0.25">
      <c r="B687" s="38"/>
      <c r="C687" s="38"/>
      <c r="D687" s="38"/>
      <c r="E687" s="39"/>
      <c r="F687" s="40"/>
      <c r="G687" s="40"/>
    </row>
    <row r="688" spans="2:7" customFormat="1" ht="16.5" x14ac:dyDescent="0.25">
      <c r="B688" s="38"/>
      <c r="C688" s="38"/>
      <c r="D688" s="38"/>
      <c r="E688" s="39"/>
      <c r="F688" s="40"/>
      <c r="G688" s="40"/>
    </row>
    <row r="689" spans="2:7" customFormat="1" ht="16.5" x14ac:dyDescent="0.25">
      <c r="B689" s="38"/>
      <c r="C689" s="38"/>
      <c r="D689" s="38"/>
      <c r="E689" s="39"/>
      <c r="F689" s="40"/>
      <c r="G689" s="40"/>
    </row>
    <row r="690" spans="2:7" customFormat="1" ht="16.5" x14ac:dyDescent="0.25">
      <c r="B690" s="38"/>
      <c r="C690" s="38"/>
      <c r="D690" s="38"/>
      <c r="E690" s="39"/>
      <c r="F690" s="40"/>
      <c r="G690" s="40"/>
    </row>
    <row r="691" spans="2:7" customFormat="1" ht="16.5" x14ac:dyDescent="0.25">
      <c r="B691" s="38"/>
      <c r="C691" s="38"/>
      <c r="D691" s="38"/>
      <c r="E691" s="39"/>
      <c r="F691" s="40"/>
      <c r="G691" s="40"/>
    </row>
    <row r="692" spans="2:7" customFormat="1" ht="16.5" x14ac:dyDescent="0.25">
      <c r="B692" s="38"/>
      <c r="C692" s="38"/>
      <c r="D692" s="38"/>
      <c r="E692" s="39"/>
      <c r="F692" s="40"/>
      <c r="G692" s="40"/>
    </row>
    <row r="693" spans="2:7" customFormat="1" ht="16.5" x14ac:dyDescent="0.25">
      <c r="B693" s="38"/>
      <c r="C693" s="38"/>
      <c r="D693" s="38"/>
      <c r="E693" s="39"/>
      <c r="F693" s="40"/>
      <c r="G693" s="40"/>
    </row>
    <row r="694" spans="2:7" customFormat="1" ht="16.5" x14ac:dyDescent="0.25">
      <c r="B694" s="38"/>
      <c r="C694" s="38"/>
      <c r="D694" s="38"/>
      <c r="E694" s="39"/>
      <c r="F694" s="40"/>
      <c r="G694" s="40"/>
    </row>
    <row r="695" spans="2:7" customFormat="1" ht="16.5" x14ac:dyDescent="0.25">
      <c r="B695" s="38"/>
      <c r="C695" s="38"/>
      <c r="D695" s="38"/>
      <c r="E695" s="39"/>
      <c r="F695" s="40"/>
      <c r="G695" s="40"/>
    </row>
    <row r="696" spans="2:7" customFormat="1" ht="16.5" x14ac:dyDescent="0.25">
      <c r="B696" s="38"/>
      <c r="C696" s="38"/>
      <c r="D696" s="38"/>
      <c r="E696" s="39"/>
      <c r="F696" s="40"/>
      <c r="G696" s="40"/>
    </row>
    <row r="697" spans="2:7" customFormat="1" ht="16.5" x14ac:dyDescent="0.25">
      <c r="B697" s="38"/>
      <c r="C697" s="38"/>
      <c r="D697" s="38"/>
      <c r="E697" s="39"/>
      <c r="F697" s="40"/>
      <c r="G697" s="40"/>
    </row>
    <row r="698" spans="2:7" customFormat="1" ht="16.5" x14ac:dyDescent="0.25">
      <c r="B698" s="38"/>
      <c r="C698" s="38"/>
      <c r="D698" s="38"/>
      <c r="E698" s="39"/>
      <c r="F698" s="40"/>
      <c r="G698" s="40"/>
    </row>
    <row r="699" spans="2:7" customFormat="1" ht="16.5" x14ac:dyDescent="0.25">
      <c r="B699" s="38"/>
      <c r="C699" s="38"/>
      <c r="D699" s="38"/>
      <c r="E699" s="39"/>
      <c r="F699" s="40"/>
      <c r="G699" s="40"/>
    </row>
    <row r="700" spans="2:7" customFormat="1" ht="16.5" x14ac:dyDescent="0.25">
      <c r="B700" s="38"/>
      <c r="C700" s="38"/>
      <c r="D700" s="38"/>
      <c r="E700" s="39"/>
      <c r="F700" s="40"/>
      <c r="G700" s="40"/>
    </row>
    <row r="701" spans="2:7" customFormat="1" ht="16.5" x14ac:dyDescent="0.25">
      <c r="B701" s="38"/>
      <c r="C701" s="38"/>
      <c r="D701" s="38"/>
      <c r="E701" s="39"/>
      <c r="F701" s="40"/>
      <c r="G701" s="40"/>
    </row>
    <row r="702" spans="2:7" customFormat="1" ht="16.5" x14ac:dyDescent="0.25">
      <c r="B702" s="38"/>
      <c r="C702" s="38"/>
      <c r="D702" s="38"/>
      <c r="E702" s="39"/>
      <c r="F702" s="40"/>
      <c r="G702" s="40"/>
    </row>
    <row r="703" spans="2:7" customFormat="1" ht="16.5" x14ac:dyDescent="0.25">
      <c r="B703" s="38"/>
      <c r="C703" s="38"/>
      <c r="D703" s="38"/>
      <c r="E703" s="39"/>
      <c r="F703" s="40"/>
      <c r="G703" s="40"/>
    </row>
    <row r="704" spans="2:7" customFormat="1" ht="16.5" x14ac:dyDescent="0.25">
      <c r="B704" s="38"/>
      <c r="C704" s="38"/>
      <c r="D704" s="38"/>
      <c r="E704" s="39"/>
      <c r="F704" s="40"/>
      <c r="G704" s="40"/>
    </row>
    <row r="705" spans="2:7" customFormat="1" ht="16.5" x14ac:dyDescent="0.25">
      <c r="B705" s="38"/>
      <c r="C705" s="38"/>
      <c r="D705" s="38"/>
      <c r="E705" s="39"/>
      <c r="F705" s="40"/>
      <c r="G705" s="40"/>
    </row>
    <row r="706" spans="2:7" customFormat="1" ht="16.5" x14ac:dyDescent="0.25">
      <c r="B706" s="38"/>
      <c r="C706" s="38"/>
      <c r="D706" s="38"/>
      <c r="E706" s="39"/>
      <c r="F706" s="40"/>
      <c r="G706" s="40"/>
    </row>
    <row r="707" spans="2:7" customFormat="1" ht="16.5" x14ac:dyDescent="0.25">
      <c r="B707" s="38"/>
      <c r="C707" s="38"/>
      <c r="D707" s="38"/>
      <c r="E707" s="39"/>
      <c r="F707" s="40"/>
      <c r="G707" s="40"/>
    </row>
    <row r="708" spans="2:7" customFormat="1" ht="16.5" x14ac:dyDescent="0.25">
      <c r="B708" s="38"/>
      <c r="C708" s="38"/>
      <c r="D708" s="38"/>
      <c r="E708" s="39"/>
      <c r="F708" s="40"/>
      <c r="G708" s="40"/>
    </row>
    <row r="709" spans="2:7" customFormat="1" ht="16.5" x14ac:dyDescent="0.25">
      <c r="B709" s="38"/>
      <c r="C709" s="38"/>
      <c r="D709" s="38"/>
      <c r="E709" s="39"/>
      <c r="F709" s="40"/>
      <c r="G709" s="40"/>
    </row>
    <row r="710" spans="2:7" customFormat="1" ht="16.5" x14ac:dyDescent="0.25">
      <c r="B710" s="38"/>
      <c r="C710" s="38"/>
      <c r="D710" s="38"/>
      <c r="E710" s="39"/>
      <c r="F710" s="40"/>
      <c r="G710" s="40"/>
    </row>
    <row r="711" spans="2:7" customFormat="1" ht="16.5" x14ac:dyDescent="0.25">
      <c r="B711" s="38"/>
      <c r="C711" s="38"/>
      <c r="D711" s="38"/>
      <c r="E711" s="39"/>
      <c r="F711" s="40"/>
      <c r="G711" s="40"/>
    </row>
    <row r="712" spans="2:7" customFormat="1" ht="16.5" x14ac:dyDescent="0.25">
      <c r="B712" s="38"/>
      <c r="C712" s="38"/>
      <c r="D712" s="38"/>
      <c r="E712" s="39"/>
      <c r="F712" s="40"/>
      <c r="G712" s="40"/>
    </row>
    <row r="713" spans="2:7" customFormat="1" ht="16.5" x14ac:dyDescent="0.25">
      <c r="B713" s="38"/>
      <c r="C713" s="38"/>
      <c r="D713" s="38"/>
      <c r="E713" s="39"/>
      <c r="F713" s="40"/>
      <c r="G713" s="40"/>
    </row>
    <row r="714" spans="2:7" customFormat="1" ht="16.5" x14ac:dyDescent="0.25">
      <c r="B714" s="38"/>
      <c r="C714" s="38"/>
      <c r="D714" s="38"/>
      <c r="E714" s="39"/>
      <c r="F714" s="40"/>
      <c r="G714" s="40"/>
    </row>
    <row r="715" spans="2:7" customFormat="1" ht="16.5" x14ac:dyDescent="0.25">
      <c r="B715" s="38"/>
      <c r="C715" s="38"/>
      <c r="D715" s="38"/>
      <c r="E715" s="39"/>
      <c r="F715" s="40"/>
      <c r="G715" s="40"/>
    </row>
    <row r="716" spans="2:7" customFormat="1" ht="16.5" x14ac:dyDescent="0.25">
      <c r="B716" s="38"/>
      <c r="C716" s="38"/>
      <c r="D716" s="38"/>
      <c r="E716" s="39"/>
      <c r="F716" s="40"/>
      <c r="G716" s="40"/>
    </row>
    <row r="717" spans="2:7" customFormat="1" ht="16.5" x14ac:dyDescent="0.25">
      <c r="B717" s="38"/>
      <c r="C717" s="38"/>
      <c r="D717" s="38"/>
      <c r="E717" s="39"/>
      <c r="F717" s="40"/>
      <c r="G717" s="40"/>
    </row>
    <row r="718" spans="2:7" customFormat="1" ht="16.5" x14ac:dyDescent="0.25">
      <c r="B718" s="38"/>
      <c r="C718" s="38"/>
      <c r="D718" s="38"/>
      <c r="E718" s="39"/>
      <c r="F718" s="40"/>
      <c r="G718" s="40"/>
    </row>
    <row r="719" spans="2:7" customFormat="1" ht="16.5" x14ac:dyDescent="0.25">
      <c r="B719" s="38"/>
      <c r="C719" s="38"/>
      <c r="D719" s="38"/>
      <c r="E719" s="39"/>
      <c r="F719" s="40"/>
      <c r="G719" s="40"/>
    </row>
    <row r="720" spans="2:7" customFormat="1" ht="16.5" x14ac:dyDescent="0.25">
      <c r="B720" s="38"/>
      <c r="C720" s="38"/>
      <c r="D720" s="38"/>
      <c r="E720" s="39"/>
      <c r="F720" s="40"/>
      <c r="G720" s="40"/>
    </row>
    <row r="721" spans="2:7" customFormat="1" ht="16.5" x14ac:dyDescent="0.25">
      <c r="B721" s="38"/>
      <c r="C721" s="38"/>
      <c r="D721" s="38"/>
      <c r="E721" s="39"/>
      <c r="F721" s="40"/>
      <c r="G721" s="40"/>
    </row>
    <row r="722" spans="2:7" customFormat="1" ht="16.5" x14ac:dyDescent="0.25">
      <c r="B722" s="38"/>
      <c r="C722" s="38"/>
      <c r="D722" s="38"/>
      <c r="E722" s="39"/>
      <c r="F722" s="40"/>
      <c r="G722" s="40"/>
    </row>
    <row r="723" spans="2:7" customFormat="1" ht="16.5" x14ac:dyDescent="0.25">
      <c r="B723" s="38"/>
      <c r="C723" s="38"/>
      <c r="D723" s="38"/>
      <c r="E723" s="39"/>
      <c r="F723" s="40"/>
      <c r="G723" s="40"/>
    </row>
    <row r="724" spans="2:7" customFormat="1" ht="16.5" x14ac:dyDescent="0.25">
      <c r="B724" s="38"/>
      <c r="C724" s="38"/>
      <c r="D724" s="38"/>
      <c r="E724" s="39"/>
      <c r="F724" s="40"/>
      <c r="G724" s="40"/>
    </row>
    <row r="725" spans="2:7" customFormat="1" ht="16.5" x14ac:dyDescent="0.25">
      <c r="B725" s="38"/>
      <c r="C725" s="38"/>
      <c r="D725" s="38"/>
      <c r="E725" s="39"/>
      <c r="F725" s="40"/>
      <c r="G725" s="40"/>
    </row>
    <row r="726" spans="2:7" customFormat="1" ht="16.5" x14ac:dyDescent="0.25">
      <c r="B726" s="38"/>
      <c r="C726" s="38"/>
      <c r="D726" s="38"/>
      <c r="E726" s="39"/>
      <c r="F726" s="40"/>
      <c r="G726" s="40"/>
    </row>
    <row r="727" spans="2:7" customFormat="1" ht="16.5" x14ac:dyDescent="0.25">
      <c r="B727" s="38"/>
      <c r="C727" s="38"/>
      <c r="D727" s="38"/>
      <c r="E727" s="39"/>
      <c r="F727" s="40"/>
      <c r="G727" s="40"/>
    </row>
    <row r="728" spans="2:7" customFormat="1" ht="16.5" x14ac:dyDescent="0.25">
      <c r="B728" s="38"/>
      <c r="C728" s="38"/>
      <c r="D728" s="38"/>
      <c r="E728" s="39"/>
      <c r="F728" s="40"/>
      <c r="G728" s="40"/>
    </row>
    <row r="729" spans="2:7" customFormat="1" ht="16.5" x14ac:dyDescent="0.25">
      <c r="B729" s="38"/>
      <c r="C729" s="38"/>
      <c r="D729" s="38"/>
      <c r="E729" s="39"/>
      <c r="F729" s="40"/>
      <c r="G729" s="40"/>
    </row>
    <row r="730" spans="2:7" customFormat="1" ht="16.5" x14ac:dyDescent="0.25">
      <c r="B730" s="38"/>
      <c r="C730" s="38"/>
      <c r="D730" s="38"/>
      <c r="E730" s="39"/>
      <c r="F730" s="40"/>
      <c r="G730" s="40"/>
    </row>
    <row r="731" spans="2:7" customFormat="1" ht="16.5" x14ac:dyDescent="0.25">
      <c r="B731" s="38"/>
      <c r="C731" s="38"/>
      <c r="D731" s="38"/>
      <c r="E731" s="39"/>
      <c r="F731" s="40"/>
      <c r="G731" s="40"/>
    </row>
    <row r="732" spans="2:7" customFormat="1" ht="16.5" x14ac:dyDescent="0.25">
      <c r="B732" s="38"/>
      <c r="C732" s="38"/>
      <c r="D732" s="38"/>
      <c r="E732" s="39"/>
      <c r="F732" s="40"/>
      <c r="G732" s="40"/>
    </row>
    <row r="733" spans="2:7" customFormat="1" ht="16.5" x14ac:dyDescent="0.25">
      <c r="B733" s="38"/>
      <c r="C733" s="38"/>
      <c r="D733" s="38"/>
      <c r="E733" s="39"/>
      <c r="F733" s="40"/>
      <c r="G733" s="40"/>
    </row>
    <row r="734" spans="2:7" customFormat="1" ht="16.5" x14ac:dyDescent="0.25">
      <c r="B734" s="38"/>
      <c r="C734" s="38"/>
      <c r="D734" s="38"/>
      <c r="E734" s="39"/>
      <c r="F734" s="40"/>
      <c r="G734" s="40"/>
    </row>
    <row r="735" spans="2:7" customFormat="1" ht="16.5" x14ac:dyDescent="0.25">
      <c r="B735" s="38"/>
      <c r="C735" s="38"/>
      <c r="D735" s="38"/>
      <c r="E735" s="39"/>
      <c r="F735" s="40"/>
      <c r="G735" s="40"/>
    </row>
    <row r="736" spans="2:7" customFormat="1" ht="16.5" x14ac:dyDescent="0.25">
      <c r="B736" s="38"/>
      <c r="C736" s="38"/>
      <c r="D736" s="38"/>
      <c r="E736" s="39"/>
      <c r="F736" s="40"/>
      <c r="G736" s="40"/>
    </row>
    <row r="737" spans="2:7" customFormat="1" ht="16.5" x14ac:dyDescent="0.25">
      <c r="B737" s="38"/>
      <c r="C737" s="38"/>
      <c r="D737" s="38"/>
      <c r="E737" s="39"/>
      <c r="F737" s="40"/>
      <c r="G737" s="40"/>
    </row>
    <row r="738" spans="2:7" customFormat="1" ht="16.5" x14ac:dyDescent="0.25">
      <c r="B738" s="38"/>
      <c r="C738" s="38"/>
      <c r="D738" s="38"/>
      <c r="E738" s="39"/>
      <c r="F738" s="40"/>
      <c r="G738" s="40"/>
    </row>
    <row r="739" spans="2:7" customFormat="1" ht="16.5" x14ac:dyDescent="0.25">
      <c r="B739" s="38"/>
      <c r="C739" s="38"/>
      <c r="D739" s="38"/>
      <c r="E739" s="39"/>
      <c r="F739" s="40"/>
      <c r="G739" s="40"/>
    </row>
    <row r="740" spans="2:7" customFormat="1" ht="16.5" x14ac:dyDescent="0.25">
      <c r="B740" s="38"/>
      <c r="C740" s="38"/>
      <c r="D740" s="38"/>
      <c r="E740" s="39"/>
      <c r="F740" s="40"/>
      <c r="G740" s="40"/>
    </row>
    <row r="741" spans="2:7" customFormat="1" ht="16.5" x14ac:dyDescent="0.25">
      <c r="B741" s="38"/>
      <c r="C741" s="38"/>
      <c r="D741" s="38"/>
      <c r="E741" s="39"/>
      <c r="F741" s="40"/>
      <c r="G741" s="40"/>
    </row>
    <row r="742" spans="2:7" customFormat="1" ht="16.5" x14ac:dyDescent="0.25">
      <c r="B742" s="38"/>
      <c r="C742" s="38"/>
      <c r="D742" s="38"/>
      <c r="E742" s="39"/>
      <c r="F742" s="40"/>
      <c r="G742" s="40"/>
    </row>
    <row r="743" spans="2:7" customFormat="1" ht="16.5" x14ac:dyDescent="0.25">
      <c r="B743" s="38"/>
      <c r="C743" s="38"/>
      <c r="D743" s="38"/>
      <c r="E743" s="39"/>
      <c r="F743" s="40"/>
      <c r="G743" s="40"/>
    </row>
    <row r="744" spans="2:7" customFormat="1" ht="16.5" x14ac:dyDescent="0.25">
      <c r="B744" s="38"/>
      <c r="C744" s="38"/>
      <c r="D744" s="38"/>
      <c r="E744" s="39"/>
      <c r="F744" s="40"/>
      <c r="G744" s="40"/>
    </row>
    <row r="745" spans="2:7" customFormat="1" ht="16.5" x14ac:dyDescent="0.25">
      <c r="B745" s="38"/>
      <c r="C745" s="38"/>
      <c r="D745" s="38"/>
      <c r="E745" s="39"/>
      <c r="F745" s="40"/>
      <c r="G745" s="40"/>
    </row>
    <row r="746" spans="2:7" customFormat="1" ht="16.5" x14ac:dyDescent="0.25">
      <c r="B746" s="38"/>
      <c r="C746" s="38"/>
      <c r="D746" s="38"/>
      <c r="E746" s="39"/>
      <c r="F746" s="40"/>
      <c r="G746" s="40"/>
    </row>
    <row r="747" spans="2:7" customFormat="1" ht="16.5" x14ac:dyDescent="0.25">
      <c r="B747" s="38"/>
      <c r="C747" s="38"/>
      <c r="D747" s="38"/>
      <c r="E747" s="39"/>
      <c r="F747" s="40"/>
      <c r="G747" s="40"/>
    </row>
    <row r="748" spans="2:7" customFormat="1" ht="16.5" x14ac:dyDescent="0.25">
      <c r="B748" s="38"/>
      <c r="C748" s="38"/>
      <c r="D748" s="38"/>
      <c r="E748" s="39"/>
      <c r="F748" s="40"/>
      <c r="G748" s="40"/>
    </row>
    <row r="749" spans="2:7" customFormat="1" ht="16.5" x14ac:dyDescent="0.25">
      <c r="B749" s="38"/>
      <c r="C749" s="38"/>
      <c r="D749" s="38"/>
      <c r="E749" s="39"/>
      <c r="F749" s="40"/>
      <c r="G749" s="40"/>
    </row>
    <row r="750" spans="2:7" customFormat="1" ht="16.5" x14ac:dyDescent="0.25">
      <c r="B750" s="38"/>
      <c r="C750" s="38"/>
      <c r="D750" s="38"/>
      <c r="E750" s="39"/>
      <c r="F750" s="40"/>
      <c r="G750" s="40"/>
    </row>
    <row r="751" spans="2:7" customFormat="1" ht="16.5" x14ac:dyDescent="0.25">
      <c r="B751" s="38"/>
      <c r="C751" s="38"/>
      <c r="D751" s="38"/>
      <c r="E751" s="39"/>
      <c r="F751" s="40"/>
      <c r="G751" s="40"/>
    </row>
    <row r="752" spans="2:7" customFormat="1" ht="16.5" x14ac:dyDescent="0.25">
      <c r="B752" s="38"/>
      <c r="C752" s="38"/>
      <c r="D752" s="38"/>
      <c r="E752" s="39"/>
      <c r="F752" s="40"/>
      <c r="G752" s="40"/>
    </row>
    <row r="753" spans="2:7" customFormat="1" ht="16.5" x14ac:dyDescent="0.25">
      <c r="B753" s="38"/>
      <c r="C753" s="38"/>
      <c r="D753" s="38"/>
      <c r="E753" s="39"/>
      <c r="F753" s="40"/>
      <c r="G753" s="40"/>
    </row>
    <row r="754" spans="2:7" customFormat="1" ht="16.5" x14ac:dyDescent="0.25">
      <c r="B754" s="38"/>
      <c r="C754" s="38"/>
      <c r="D754" s="38"/>
      <c r="E754" s="39"/>
      <c r="F754" s="40"/>
      <c r="G754" s="40"/>
    </row>
    <row r="755" spans="2:7" customFormat="1" ht="16.5" x14ac:dyDescent="0.25">
      <c r="B755" s="38"/>
      <c r="C755" s="38"/>
      <c r="D755" s="38"/>
      <c r="E755" s="39"/>
      <c r="F755" s="40"/>
      <c r="G755" s="40"/>
    </row>
    <row r="756" spans="2:7" customFormat="1" ht="16.5" x14ac:dyDescent="0.25">
      <c r="B756" s="38"/>
      <c r="C756" s="38"/>
      <c r="D756" s="38"/>
      <c r="E756" s="39"/>
      <c r="F756" s="40"/>
      <c r="G756" s="40"/>
    </row>
    <row r="757" spans="2:7" customFormat="1" ht="16.5" x14ac:dyDescent="0.25">
      <c r="B757" s="38"/>
      <c r="C757" s="38"/>
      <c r="D757" s="38"/>
      <c r="E757" s="39"/>
      <c r="F757" s="40"/>
      <c r="G757" s="40"/>
    </row>
  </sheetData>
  <autoFilter ref="B2:G131" xr:uid="{00000000-0009-0000-0000-00000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import CapNhatTrungTuyen</vt:lpstr>
      <vt:lpstr>FILE CT (CHEP CCCD TU CHAY)</vt:lpstr>
      <vt:lpstr>DANH SACH UEH</vt:lpstr>
      <vt:lpstr>DS NGHIEP VU BO</vt:lpstr>
      <vt:lpstr>DS TAO 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Thái Bình</cp:lastModifiedBy>
  <dcterms:created xsi:type="dcterms:W3CDTF">2026-08-31T04:26:07Z</dcterms:created>
  <dcterms:modified xsi:type="dcterms:W3CDTF">2026-09-11T09:13:58Z</dcterms:modified>
</cp:coreProperties>
</file>