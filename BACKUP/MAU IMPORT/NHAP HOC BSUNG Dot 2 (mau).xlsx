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6930"/>
  </bookViews>
  <sheets>
    <sheet name="Import nhap hoc" sheetId="1" r:id="rId1"/>
  </sheets>
  <externalReferences>
    <externalReference r:id="rId2"/>
  </externalReferences>
  <definedNames>
    <definedName name="_xlnm._FilterDatabase" localSheetId="0" hidden="1">'Import nhap hoc'!$A$1:$AF$15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F3" i="1" l="1"/>
  <c r="AF4" i="1"/>
  <c r="AF5" i="1"/>
  <c r="AF6" i="1"/>
  <c r="AF7" i="1"/>
  <c r="AF8" i="1"/>
  <c r="AF9" i="1"/>
  <c r="AF10" i="1"/>
  <c r="AF11" i="1"/>
  <c r="AF12" i="1"/>
  <c r="AF13" i="1"/>
  <c r="AF14" i="1"/>
  <c r="AF15" i="1"/>
  <c r="AE3" i="1"/>
  <c r="AE4" i="1"/>
  <c r="AE5" i="1"/>
  <c r="AE6" i="1"/>
  <c r="AE7" i="1"/>
  <c r="AE8" i="1"/>
  <c r="AE9" i="1"/>
  <c r="AE10" i="1"/>
  <c r="AE11" i="1"/>
  <c r="AE12" i="1"/>
  <c r="AE13" i="1"/>
  <c r="AE14" i="1"/>
  <c r="AE15" i="1"/>
  <c r="AD3" i="1"/>
  <c r="AD4" i="1"/>
  <c r="AD5" i="1"/>
  <c r="AD6" i="1"/>
  <c r="AD7" i="1"/>
  <c r="AD8" i="1"/>
  <c r="AD9" i="1"/>
  <c r="AD10" i="1"/>
  <c r="AD11" i="1"/>
  <c r="AD12" i="1"/>
  <c r="AD13" i="1"/>
  <c r="AD14" i="1"/>
  <c r="AD15" i="1"/>
  <c r="AC3" i="1"/>
  <c r="AC4" i="1"/>
  <c r="AC5" i="1"/>
  <c r="AC6" i="1"/>
  <c r="AC7" i="1"/>
  <c r="AC8" i="1"/>
  <c r="AC9" i="1"/>
  <c r="AC10" i="1"/>
  <c r="AC11" i="1"/>
  <c r="AC12" i="1"/>
  <c r="AC13" i="1"/>
  <c r="AC14" i="1"/>
  <c r="AC15" i="1"/>
  <c r="E3" i="1"/>
  <c r="E4" i="1"/>
  <c r="E5" i="1"/>
  <c r="E6" i="1"/>
  <c r="E7" i="1"/>
  <c r="E8" i="1"/>
  <c r="E9" i="1"/>
  <c r="E10" i="1"/>
  <c r="E11" i="1"/>
  <c r="E12" i="1"/>
  <c r="E13" i="1"/>
  <c r="E14" i="1"/>
  <c r="E15" i="1"/>
  <c r="G3" i="1"/>
  <c r="G4" i="1"/>
  <c r="G5" i="1"/>
  <c r="G6" i="1"/>
  <c r="G7" i="1"/>
  <c r="G8" i="1"/>
  <c r="G9" i="1"/>
  <c r="G10" i="1"/>
  <c r="G11" i="1"/>
  <c r="G12" i="1"/>
  <c r="G13" i="1"/>
  <c r="G14" i="1"/>
  <c r="G15" i="1"/>
  <c r="A2" i="1" l="1"/>
  <c r="AC2" i="1" s="1"/>
  <c r="B2" i="1"/>
  <c r="E2" i="1"/>
  <c r="G2" i="1"/>
  <c r="Y2" i="1"/>
  <c r="AE2" i="1"/>
  <c r="A3" i="1"/>
  <c r="B3" i="1"/>
  <c r="Y3" i="1"/>
  <c r="A4" i="1"/>
  <c r="B4" i="1"/>
  <c r="Y4" i="1"/>
  <c r="A5" i="1"/>
  <c r="B5" i="1"/>
  <c r="Y5" i="1"/>
  <c r="A6" i="1"/>
  <c r="B6" i="1"/>
  <c r="Y6" i="1"/>
  <c r="A7" i="1"/>
  <c r="B7" i="1"/>
  <c r="Y7" i="1"/>
  <c r="A8" i="1"/>
  <c r="B8" i="1"/>
  <c r="Y8" i="1"/>
  <c r="A9" i="1"/>
  <c r="B9" i="1"/>
  <c r="Y9" i="1"/>
  <c r="A10" i="1"/>
  <c r="B10" i="1"/>
  <c r="Y10" i="1"/>
  <c r="A11" i="1"/>
  <c r="B11" i="1"/>
  <c r="Y11" i="1"/>
  <c r="A12" i="1"/>
  <c r="B12" i="1"/>
  <c r="Y12" i="1"/>
  <c r="A13" i="1"/>
  <c r="B13" i="1"/>
  <c r="Y13" i="1"/>
  <c r="A14" i="1"/>
  <c r="B14" i="1"/>
  <c r="Y14" i="1"/>
  <c r="AD2" i="1" l="1"/>
  <c r="AF2" i="1" s="1"/>
</calcChain>
</file>

<file path=xl/sharedStrings.xml><?xml version="1.0" encoding="utf-8"?>
<sst xmlns="http://schemas.openxmlformats.org/spreadsheetml/2006/main" count="198" uniqueCount="135">
  <si>
    <t>MaHoSo</t>
  </si>
  <si>
    <t>SBD</t>
  </si>
  <si>
    <t>v</t>
  </si>
  <si>
    <t>NgayCapNhat</t>
  </si>
  <si>
    <t>NgayCapNhat_New</t>
  </si>
  <si>
    <t>NgaySinh</t>
  </si>
  <si>
    <t>NgaySinh_new</t>
  </si>
  <si>
    <t>MaNoiSinh</t>
  </si>
  <si>
    <t>GioiTinh</t>
  </si>
  <si>
    <t>Email</t>
  </si>
  <si>
    <t>DienThoai</t>
  </si>
  <si>
    <t>CMND</t>
  </si>
  <si>
    <t>CCCD</t>
  </si>
  <si>
    <t>DanTocUid</t>
  </si>
  <si>
    <t>MSSV</t>
  </si>
  <si>
    <t>MatKhauOnline</t>
  </si>
  <si>
    <t>EmailUEH</t>
  </si>
  <si>
    <t>MatKhauEmail</t>
  </si>
  <si>
    <t>TongDiem</t>
  </si>
  <si>
    <t>DTC0PT1</t>
  </si>
  <si>
    <t>DTC0PT2</t>
  </si>
  <si>
    <t>LoaiCCQTUid</t>
  </si>
  <si>
    <t>SoDiemCCQT</t>
  </si>
  <si>
    <t>NgayThiCCQT</t>
  </si>
  <si>
    <t>NgayThiCCQT_new</t>
  </si>
  <si>
    <t>IDChungChi</t>
  </si>
  <si>
    <t>MaCTDT</t>
  </si>
  <si>
    <t>pttt</t>
  </si>
  <si>
    <t>ĐẶNG GIA HUY</t>
  </si>
  <si>
    <t>26/08/2026</t>
  </si>
  <si>
    <t>Nam</t>
  </si>
  <si>
    <t>0918192011</t>
  </si>
  <si>
    <t>082208016209</t>
  </si>
  <si>
    <t>THPT</t>
  </si>
  <si>
    <t>MAI HỮU TÀI</t>
  </si>
  <si>
    <t>0769712280</t>
  </si>
  <si>
    <t>086208009865</t>
  </si>
  <si>
    <t>DGNL</t>
  </si>
  <si>
    <t>HUỲNH THỊ THANH TUYỀN</t>
  </si>
  <si>
    <t>Nữ</t>
  </si>
  <si>
    <t>0783759499</t>
  </si>
  <si>
    <t>082307008212</t>
  </si>
  <si>
    <t>LÊ THỊ KIỀU OANH</t>
  </si>
  <si>
    <t>0395944701</t>
  </si>
  <si>
    <t>082308006662</t>
  </si>
  <si>
    <t>TRÀ NGUYỄN Ý VY</t>
  </si>
  <si>
    <t>0915946083</t>
  </si>
  <si>
    <t>096307008480</t>
  </si>
  <si>
    <t>VSAT</t>
  </si>
  <si>
    <t>HỒ PHAN THỊ TUYẾT PHƯƠNG</t>
  </si>
  <si>
    <t>0796644992</t>
  </si>
  <si>
    <t>087308013713</t>
  </si>
  <si>
    <t>PHẠM GIA LINH</t>
  </si>
  <si>
    <t>0903017782</t>
  </si>
  <si>
    <t>037308003748</t>
  </si>
  <si>
    <t>NGUYỄN NGỌC BẢO LOAN</t>
  </si>
  <si>
    <t>0365857417</t>
  </si>
  <si>
    <t>038307007810</t>
  </si>
  <si>
    <t>VÕ TUYẾT LÊ</t>
  </si>
  <si>
    <t>0962190726</t>
  </si>
  <si>
    <t>058307004501</t>
  </si>
  <si>
    <t>NGUYỄN THU HẰNG</t>
  </si>
  <si>
    <t>0972505985</t>
  </si>
  <si>
    <t>033308007672</t>
  </si>
  <si>
    <t>NGUYỄN THỊ MỸ HẠNH</t>
  </si>
  <si>
    <t>0333709867</t>
  </si>
  <si>
    <t>089308015401</t>
  </si>
  <si>
    <t>NGUYỄN THIÊN ĐỨC</t>
  </si>
  <si>
    <t>0949848299</t>
  </si>
  <si>
    <t>096208012431</t>
  </si>
  <si>
    <t>TRẦN TRUNG NHÂN</t>
  </si>
  <si>
    <t>0793872436</t>
  </si>
  <si>
    <t>086208001080</t>
  </si>
  <si>
    <t>KSVBS2617831</t>
  </si>
  <si>
    <t>TRƯƠNG HOÀNG KHÁNH LINH</t>
  </si>
  <si>
    <t>07/08/2008</t>
  </si>
  <si>
    <t>truonghoangkhanhlinh163@gmail.com</t>
  </si>
  <si>
    <t>0813281882</t>
  </si>
  <si>
    <t>089308002708</t>
  </si>
  <si>
    <t>31261570430</t>
  </si>
  <si>
    <t>Trương Hoàng Khánh Linh</t>
  </si>
  <si>
    <t>linhtruong.31261570430@st.ueh.edu.vn</t>
  </si>
  <si>
    <t>77060759</t>
  </si>
  <si>
    <t>28/03/2008</t>
  </si>
  <si>
    <t>trandang192011@gmail.com</t>
  </si>
  <si>
    <t>75167461</t>
  </si>
  <si>
    <t>huydang.31261570503@st.ueh.edu.vn</t>
  </si>
  <si>
    <t>19/05/2008</t>
  </si>
  <si>
    <t>epixgoes@gmail.com</t>
  </si>
  <si>
    <t>10400186</t>
  </si>
  <si>
    <t>taimai.31261570504@st.ueh.edu.vn</t>
  </si>
  <si>
    <t>19/10/2007</t>
  </si>
  <si>
    <t>tuyenhuynh.759499@gmail.com</t>
  </si>
  <si>
    <t>57222001</t>
  </si>
  <si>
    <t>tuyenhuynh.31261570505@st.ueh.edu.vn</t>
  </si>
  <si>
    <t>10/05/2008</t>
  </si>
  <si>
    <t>lethkieuoannh@gmail.com</t>
  </si>
  <si>
    <t>54582631</t>
  </si>
  <si>
    <t>oanhle.31261570507@st.ueh.edu.vn</t>
  </si>
  <si>
    <t>02/09/2007</t>
  </si>
  <si>
    <t>tranguyenyvy3434@gmail.com</t>
  </si>
  <si>
    <t>24260583</t>
  </si>
  <si>
    <t>vytra.31261570508@st.ueh.edu.vn</t>
  </si>
  <si>
    <t>03/11/2008</t>
  </si>
  <si>
    <t>hohophanthituyetphuong@gmail.com</t>
  </si>
  <si>
    <t>51943260</t>
  </si>
  <si>
    <t>phuongho.31261570509@st.ueh.edu.vn</t>
  </si>
  <si>
    <t>27/02/2008</t>
  </si>
  <si>
    <t>phamlinh2722@gmail.com</t>
  </si>
  <si>
    <t>84633605</t>
  </si>
  <si>
    <t>linhpham.31261570510@st.ueh.edu.vn</t>
  </si>
  <si>
    <t>31/01/2007</t>
  </si>
  <si>
    <t>nguyenngocbaoloan910@gmail.com</t>
  </si>
  <si>
    <t>22019106</t>
  </si>
  <si>
    <t>loannguyen.31261570511@st.ueh.edu.vn</t>
  </si>
  <si>
    <t>08/02/2007</t>
  </si>
  <si>
    <t>votuyetle2007@gmail.com</t>
  </si>
  <si>
    <t>54709450</t>
  </si>
  <si>
    <t>levo.31261570512@st.ueh.edu.vn</t>
  </si>
  <si>
    <t>20/04/2008</t>
  </si>
  <si>
    <t>nhhang2@gmail.com</t>
  </si>
  <si>
    <t>87102618</t>
  </si>
  <si>
    <t>hangnguyen.31261570513@st.ueh.edu.vn</t>
  </si>
  <si>
    <t>01/12/2008</t>
  </si>
  <si>
    <t>nmyhanh100@gmail.com</t>
  </si>
  <si>
    <t>61788238</t>
  </si>
  <si>
    <t>hanhnguyen.31261570514@st.ueh.edu.vn</t>
  </si>
  <si>
    <t>17/11/2008</t>
  </si>
  <si>
    <t>thienducnguyen996@gmail.com</t>
  </si>
  <si>
    <t>48742685</t>
  </si>
  <si>
    <t>ducnguyen.31261570515@st.ueh.edu.vn</t>
  </si>
  <si>
    <t>26/08/2008</t>
  </si>
  <si>
    <t>trungnhan260808@gmail.com</t>
  </si>
  <si>
    <t>32721196</t>
  </si>
  <si>
    <t>nhan.31261570516@st.ueh.edu.vn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</si>
</sst>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2"/>
      <color theme="1"/>
      <name val="Times New Roman"/>
      <family val="1"/>
    </font>
    <font>
      <sz val="12"/>
      <color rgb="FFFF0000"/>
      <name val="Times New Roman"/>
      <family val="1"/>
    </font>
    <font>
      <sz val="12"/>
      <color theme="1"/>
      <name val="Calibri"/>
      <family val="2"/>
      <scheme val="minor"/>
    </font>
    <font>
      <sz val="11"/>
      <name val="Calibri"/>
      <family val="2"/>
    </font>
    <font>
      <sz val="12"/>
      <color rgb="FF212529"/>
      <name val="Segoe UI"/>
      <family val="2"/>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bgColor rgb="FFFFF2CC"/>
      </patternFill>
    </fill>
  </fills>
  <borders count="6">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cellStyleXfs>
  <cellXfs count="37">
    <xf numFmtId="0" fontId="0" fillId="0" borderId="0" xfId="0"/>
    <xf numFmtId="0" fontId="1" fillId="0" borderId="1" xfId="0" applyFont="1" applyBorder="1" applyAlignment="1">
      <alignment vertical="center"/>
    </xf>
    <xf numFmtId="0" fontId="2" fillId="0" borderId="1" xfId="0" applyFont="1" applyBorder="1" applyAlignment="1">
      <alignment vertical="center"/>
    </xf>
    <xf numFmtId="0" fontId="1" fillId="0" borderId="1" xfId="0" applyFont="1" applyBorder="1" applyAlignment="1">
      <alignment horizontal="center" vertical="center"/>
    </xf>
    <xf numFmtId="0" fontId="1" fillId="2" borderId="1" xfId="0" applyFont="1" applyFill="1" applyBorder="1" applyAlignment="1">
      <alignment vertical="center"/>
    </xf>
    <xf numFmtId="0" fontId="1" fillId="0" borderId="0" xfId="0" applyFont="1" applyAlignment="1">
      <alignment vertical="center"/>
    </xf>
    <xf numFmtId="0" fontId="3" fillId="0" borderId="1" xfId="0" applyFont="1" applyBorder="1" applyAlignment="1">
      <alignment vertical="center"/>
    </xf>
    <xf numFmtId="0" fontId="3"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3" fillId="3" borderId="1" xfId="0" applyFont="1" applyFill="1" applyBorder="1" applyAlignment="1">
      <alignment vertical="center"/>
    </xf>
    <xf numFmtId="49" fontId="1" fillId="4" borderId="2" xfId="1" applyNumberFormat="1" applyFont="1" applyFill="1" applyBorder="1" applyAlignment="1">
      <alignment horizontal="center" vertical="center"/>
    </xf>
    <xf numFmtId="0" fontId="1" fillId="0" borderId="1" xfId="0" quotePrefix="1" applyFont="1" applyBorder="1" applyAlignment="1">
      <alignment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3" borderId="1" xfId="0" applyFont="1" applyFill="1" applyBorder="1" applyAlignment="1">
      <alignment vertical="center"/>
    </xf>
    <xf numFmtId="0" fontId="1" fillId="4" borderId="2" xfId="1" applyFont="1" applyFill="1" applyBorder="1" applyAlignment="1">
      <alignment horizontal="center" vertical="center" wrapText="1"/>
    </xf>
    <xf numFmtId="0" fontId="1" fillId="0" borderId="1" xfId="0" applyFont="1" applyBorder="1" applyAlignment="1">
      <alignment vertical="center" wrapText="1"/>
    </xf>
    <xf numFmtId="0" fontId="3" fillId="0" borderId="0" xfId="0" applyFont="1" applyAlignment="1">
      <alignment vertical="center"/>
    </xf>
    <xf numFmtId="49" fontId="1" fillId="4" borderId="2" xfId="1" quotePrefix="1" applyNumberFormat="1" applyFont="1" applyFill="1" applyBorder="1" applyAlignment="1">
      <alignment horizontal="center" vertical="center"/>
    </xf>
    <xf numFmtId="0" fontId="1" fillId="0" borderId="3" xfId="0" applyFont="1" applyBorder="1" applyAlignment="1">
      <alignment vertical="center"/>
    </xf>
    <xf numFmtId="0" fontId="3" fillId="0" borderId="3" xfId="0" applyFont="1" applyBorder="1" applyAlignment="1">
      <alignment vertical="center"/>
    </xf>
    <xf numFmtId="0" fontId="2" fillId="0" borderId="3" xfId="0" applyFont="1" applyBorder="1" applyAlignment="1">
      <alignment vertical="center"/>
    </xf>
    <xf numFmtId="0" fontId="3" fillId="0" borderId="3" xfId="0" applyFont="1" applyBorder="1" applyAlignment="1">
      <alignment horizontal="center" vertical="center"/>
    </xf>
    <xf numFmtId="0" fontId="1" fillId="3" borderId="3" xfId="0" applyFont="1" applyFill="1" applyBorder="1" applyAlignment="1">
      <alignment horizontal="center" vertical="center" wrapText="1"/>
    </xf>
    <xf numFmtId="0" fontId="3" fillId="3" borderId="3" xfId="0" applyFont="1" applyFill="1" applyBorder="1" applyAlignment="1">
      <alignment vertical="center"/>
    </xf>
    <xf numFmtId="49" fontId="1" fillId="4" borderId="4" xfId="1" quotePrefix="1" applyNumberFormat="1" applyFont="1" applyFill="1" applyBorder="1" applyAlignment="1">
      <alignment horizontal="center" vertical="center"/>
    </xf>
    <xf numFmtId="0" fontId="1" fillId="0" borderId="3" xfId="0" quotePrefix="1" applyFont="1" applyBorder="1" applyAlignment="1">
      <alignment vertical="center"/>
    </xf>
    <xf numFmtId="0" fontId="1" fillId="0" borderId="3" xfId="0" applyFont="1" applyBorder="1" applyAlignment="1">
      <alignment horizontal="left" vertical="center" wrapText="1"/>
    </xf>
    <xf numFmtId="0" fontId="1" fillId="0" borderId="3" xfId="0" applyFont="1" applyBorder="1" applyAlignment="1">
      <alignment horizontal="center" vertical="center"/>
    </xf>
    <xf numFmtId="0" fontId="1" fillId="0" borderId="3" xfId="0" applyFont="1" applyBorder="1" applyAlignment="1">
      <alignment horizontal="left" vertical="center"/>
    </xf>
    <xf numFmtId="0" fontId="1" fillId="3" borderId="3" xfId="0" applyFont="1" applyFill="1" applyBorder="1" applyAlignment="1">
      <alignment vertical="center"/>
    </xf>
    <xf numFmtId="0" fontId="1" fillId="4" borderId="5" xfId="1" applyFont="1" applyFill="1" applyBorder="1" applyAlignment="1">
      <alignment horizontal="center" vertical="center" wrapText="1"/>
    </xf>
    <xf numFmtId="0" fontId="5" fillId="0" borderId="1" xfId="0" applyFont="1" applyBorder="1" applyAlignment="1">
      <alignment vertical="center"/>
    </xf>
    <xf numFmtId="14" fontId="3" fillId="0" borderId="1" xfId="0" quotePrefix="1" applyNumberFormat="1" applyFont="1" applyBorder="1" applyAlignment="1">
      <alignment horizontal="center" vertical="center"/>
    </xf>
    <xf numFmtId="49" fontId="1" fillId="4" borderId="1" xfId="0" quotePrefix="1" applyNumberFormat="1" applyFont="1" applyFill="1" applyBorder="1" applyAlignment="1">
      <alignment horizontal="center" vertical="center"/>
    </xf>
    <xf numFmtId="0" fontId="1" fillId="4" borderId="1" xfId="0" applyFont="1" applyFill="1" applyBorder="1" applyAlignment="1">
      <alignment horizontal="center" vertical="center" wrapText="1"/>
    </xf>
    <xf numFmtId="0" fontId="3" fillId="0" borderId="0" xfId="0" applyFont="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TUYENSINH2026\XET%20BO%20SUNG\NHAPHOC\Copy%20of%20Khuongnhap1456%20NHAP%20HOC%20BSUNG%20Dot%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S  dot 1 BS (3)"/>
      <sheetName val="NGHIEPVUBO"/>
      <sheetName val="Danh sách"/>
      <sheetName val="Import nhap hoc"/>
    </sheetNames>
    <sheetDataSet>
      <sheetData sheetId="0"/>
      <sheetData sheetId="1"/>
      <sheetData sheetId="2">
        <row r="3">
          <cell r="A3">
            <v>918310123</v>
          </cell>
          <cell r="B3" t="str">
            <v>KSVBS2609179</v>
          </cell>
          <cell r="C3" t="str">
            <v>1</v>
          </cell>
          <cell r="D3" t="str">
            <v>NGUYỄN BÌNH TEST</v>
          </cell>
          <cell r="E3" t="str">
            <v>0</v>
          </cell>
          <cell r="F3" t="str">
            <v>15/03/2008</v>
          </cell>
          <cell r="G3" t="str">
            <v>ntbinh82@gmail.com</v>
          </cell>
          <cell r="H3" t="str">
            <v>0918310123</v>
          </cell>
          <cell r="I3" t="str">
            <v>086082000517</v>
          </cell>
          <cell r="J3" t="str">
            <v>180/17, Ba Cu, Tổ 6, Khu phố 4</v>
          </cell>
          <cell r="K3" t="str">
            <v>KV3</v>
          </cell>
          <cell r="M3" t="str">
            <v>Không có</v>
          </cell>
          <cell r="N3" t="str">
            <v>Kinh</v>
          </cell>
          <cell r="P3" t="str">
            <v>2026</v>
          </cell>
          <cell r="Q3" t="str">
            <v>37000970</v>
          </cell>
          <cell r="R3" t="str">
            <v>Không có</v>
          </cell>
          <cell r="S3" t="str">
            <v>Không có</v>
          </cell>
          <cell r="T3" t="str">
            <v>Không có</v>
          </cell>
          <cell r="U3" t="str">
            <v>800009</v>
          </cell>
          <cell r="V3" t="str">
            <v>D25751246</v>
          </cell>
          <cell r="W3" t="str">
            <v>600.00</v>
          </cell>
          <cell r="Z3" t="str">
            <v>0.00</v>
          </cell>
          <cell r="AA3" t="str">
            <v>Không có</v>
          </cell>
          <cell r="AE3" t="str">
            <v>ChungChiTA_1_086082000517.jpg</v>
          </cell>
          <cell r="AF3" t="str">
            <v>01N</v>
          </cell>
          <cell r="AG3" t="str">
            <v>066</v>
          </cell>
          <cell r="AH3" t="str">
            <v>THPT Phan Đình Phùng</v>
          </cell>
          <cell r="AI3" t="str">
            <v>01N</v>
          </cell>
          <cell r="AJ3" t="str">
            <v>066</v>
          </cell>
          <cell r="AK3" t="str">
            <v>THPT Phan Đình Phùng</v>
          </cell>
          <cell r="AL3" t="str">
            <v>01N</v>
          </cell>
          <cell r="AM3" t="str">
            <v>066</v>
          </cell>
          <cell r="AN3" t="str">
            <v>THPT Phan Đình Phùng</v>
          </cell>
          <cell r="AO3" t="str">
            <v>GDPT2018</v>
          </cell>
          <cell r="AP3" t="str">
            <v>Đạt</v>
          </cell>
          <cell r="AQ3" t="str">
            <v>8.76</v>
          </cell>
          <cell r="AR3" t="str">
            <v>8.51</v>
          </cell>
          <cell r="AS3" t="str">
            <v>8.80</v>
          </cell>
          <cell r="AT3" t="str">
            <v>8.95</v>
          </cell>
          <cell r="AU3" t="str">
            <v>True</v>
          </cell>
          <cell r="AW3" t="str">
            <v>7340101</v>
          </cell>
          <cell r="AX3" t="str">
            <v>Quản trị</v>
          </cell>
          <cell r="AY3" t="str">
            <v>7340120</v>
          </cell>
          <cell r="AZ3" t="str">
            <v>Kinh doanh quốc tế</v>
          </cell>
          <cell r="BA3" t="str">
            <v>7340115</v>
          </cell>
          <cell r="BB3" t="str">
            <v>Marketing</v>
          </cell>
          <cell r="BC3" t="str">
            <v>quynhlx</v>
          </cell>
          <cell r="BD3" t="str">
            <v>Không hợp lệ</v>
          </cell>
          <cell r="BF3" t="str">
            <v>3</v>
          </cell>
          <cell r="BM3" t="str">
            <v>True</v>
          </cell>
          <cell r="BN3" t="str">
            <v>True</v>
          </cell>
          <cell r="BO3" t="str">
            <v>KQTHPT_1_086082000517.pdf</v>
          </cell>
          <cell r="BP3" t="str">
            <v>KQDGNL_1_086082000517.pdf</v>
          </cell>
          <cell r="BQ3" t="str">
            <v>KQVSAT_1_086082000517.pdf</v>
          </cell>
          <cell r="BR3">
            <v>9.5</v>
          </cell>
          <cell r="BS3">
            <v>8.5</v>
          </cell>
          <cell r="BT3">
            <v>9.6999999999999993</v>
          </cell>
          <cell r="BU3">
            <v>9.5</v>
          </cell>
          <cell r="BV3">
            <v>0</v>
          </cell>
          <cell r="BW3">
            <v>0</v>
          </cell>
          <cell r="BX3">
            <v>0</v>
          </cell>
          <cell r="BY3">
            <v>6.4</v>
          </cell>
          <cell r="BZ3">
            <v>6.3</v>
          </cell>
          <cell r="CA3">
            <v>0</v>
          </cell>
          <cell r="CB3">
            <v>8.9</v>
          </cell>
          <cell r="CC3">
            <v>9.3000000000000007</v>
          </cell>
          <cell r="CD3">
            <v>0</v>
          </cell>
          <cell r="CE3">
            <v>0</v>
          </cell>
          <cell r="CF3">
            <v>0</v>
          </cell>
          <cell r="CG3">
            <v>0</v>
          </cell>
          <cell r="CH3">
            <v>0</v>
          </cell>
          <cell r="CI3">
            <v>0</v>
          </cell>
          <cell r="CJ3">
            <v>0</v>
          </cell>
          <cell r="CK3">
            <v>0</v>
          </cell>
          <cell r="CL3">
            <v>0</v>
          </cell>
          <cell r="CM3">
            <v>8</v>
          </cell>
          <cell r="CN3">
            <v>8.8000000000000007</v>
          </cell>
          <cell r="CO3">
            <v>8.8000000000000007</v>
          </cell>
          <cell r="CP3">
            <v>9.5</v>
          </cell>
          <cell r="CQ3">
            <v>0</v>
          </cell>
          <cell r="CR3">
            <v>0</v>
          </cell>
          <cell r="CS3">
            <v>0</v>
          </cell>
          <cell r="CT3">
            <v>9.1</v>
          </cell>
          <cell r="CU3">
            <v>7.2</v>
          </cell>
          <cell r="CV3">
            <v>0</v>
          </cell>
          <cell r="CW3">
            <v>9.3000000000000007</v>
          </cell>
          <cell r="CX3">
            <v>9.6999999999999993</v>
          </cell>
          <cell r="CY3">
            <v>0</v>
          </cell>
          <cell r="CZ3">
            <v>0</v>
          </cell>
          <cell r="DA3">
            <v>0</v>
          </cell>
          <cell r="DB3">
            <v>0</v>
          </cell>
          <cell r="DC3">
            <v>0</v>
          </cell>
          <cell r="DD3">
            <v>0</v>
          </cell>
          <cell r="DE3">
            <v>0</v>
          </cell>
          <cell r="DF3">
            <v>0</v>
          </cell>
          <cell r="DG3">
            <v>0</v>
          </cell>
          <cell r="DH3">
            <v>9.1999999999999993</v>
          </cell>
          <cell r="DI3">
            <v>9.4</v>
          </cell>
          <cell r="DJ3">
            <v>9.9</v>
          </cell>
          <cell r="DK3">
            <v>7.9</v>
          </cell>
          <cell r="DL3">
            <v>0</v>
          </cell>
          <cell r="DM3">
            <v>0</v>
          </cell>
          <cell r="DN3">
            <v>0</v>
          </cell>
          <cell r="DO3">
            <v>9.6999999999999993</v>
          </cell>
          <cell r="DP3">
            <v>7.8</v>
          </cell>
          <cell r="DQ3">
            <v>0</v>
          </cell>
          <cell r="DR3">
            <v>9.8000000000000007</v>
          </cell>
          <cell r="DS3">
            <v>7.9</v>
          </cell>
          <cell r="DT3">
            <v>0</v>
          </cell>
          <cell r="DU3">
            <v>0</v>
          </cell>
          <cell r="DV3">
            <v>0</v>
          </cell>
          <cell r="DW3">
            <v>0</v>
          </cell>
          <cell r="DX3">
            <v>0</v>
          </cell>
          <cell r="DY3">
            <v>0</v>
          </cell>
          <cell r="DZ3">
            <v>0</v>
          </cell>
          <cell r="EA3">
            <v>0</v>
          </cell>
          <cell r="EB3">
            <v>0</v>
          </cell>
          <cell r="EC3">
            <v>8</v>
          </cell>
          <cell r="ED3">
            <v>8</v>
          </cell>
          <cell r="EE3">
            <v>8</v>
          </cell>
          <cell r="EW3">
            <v>100</v>
          </cell>
          <cell r="EX3">
            <v>50</v>
          </cell>
          <cell r="EY3">
            <v>100</v>
          </cell>
        </row>
        <row r="4">
          <cell r="A4">
            <v>329442543</v>
          </cell>
          <cell r="D4" t="str">
            <v>NGUYỄN QUỐC KHUONG</v>
          </cell>
          <cell r="E4" t="str">
            <v>0</v>
          </cell>
          <cell r="F4" t="str">
            <v>29/04/2008</v>
          </cell>
          <cell r="G4" t="str">
            <v>khuongnq@ueh.edu.vn</v>
          </cell>
          <cell r="H4" t="str">
            <v>0329442543</v>
          </cell>
          <cell r="I4" t="str">
            <v>087202014123</v>
          </cell>
          <cell r="J4" t="str">
            <v>ấp Hưng Thành Tây A</v>
          </cell>
          <cell r="K4" t="str">
            <v>KV2-NT</v>
          </cell>
          <cell r="L4" t="str">
            <v>05a</v>
          </cell>
          <cell r="M4" t="str">
            <v>05a</v>
          </cell>
          <cell r="N4" t="str">
            <v>Kinh</v>
          </cell>
          <cell r="P4" t="str">
            <v>2026</v>
          </cell>
          <cell r="R4" t="str">
            <v>Không có</v>
          </cell>
          <cell r="S4" t="str">
            <v>Không có</v>
          </cell>
          <cell r="T4" t="str">
            <v>Không có</v>
          </cell>
          <cell r="U4" t="str">
            <v>1234568</v>
          </cell>
          <cell r="V4" t="str">
            <v>1234568</v>
          </cell>
          <cell r="W4" t="str">
            <v>701.00</v>
          </cell>
          <cell r="Z4" t="str">
            <v>0.00</v>
          </cell>
          <cell r="AA4" t="str">
            <v>Không có</v>
          </cell>
          <cell r="AF4" t="str">
            <v>87N</v>
          </cell>
          <cell r="AG4" t="str">
            <v>320</v>
          </cell>
          <cell r="AH4" t="str">
            <v>THPT Lấp Vò 2</v>
          </cell>
          <cell r="AI4" t="str">
            <v>87N</v>
          </cell>
          <cell r="AJ4" t="str">
            <v>320</v>
          </cell>
          <cell r="AK4" t="str">
            <v>THPT Lấp Vò 2</v>
          </cell>
          <cell r="AL4" t="str">
            <v>87N</v>
          </cell>
          <cell r="AM4" t="str">
            <v>320</v>
          </cell>
          <cell r="AN4" t="str">
            <v>THPT Lấp Vò 2</v>
          </cell>
          <cell r="AO4" t="str">
            <v>GDPT2018</v>
          </cell>
          <cell r="AP4" t="str">
            <v>Đạt</v>
          </cell>
          <cell r="AQ4" t="str">
            <v>8.75</v>
          </cell>
          <cell r="AR4" t="str">
            <v>8.27</v>
          </cell>
          <cell r="AS4" t="str">
            <v>8.73</v>
          </cell>
          <cell r="AT4" t="str">
            <v>9.27</v>
          </cell>
          <cell r="AU4" t="str">
            <v>True</v>
          </cell>
          <cell r="AW4" t="str">
            <v>7380107</v>
          </cell>
          <cell r="AX4" t="str">
            <v>Luật kinh tế</v>
          </cell>
          <cell r="AY4" t="str">
            <v>7340101</v>
          </cell>
          <cell r="AZ4" t="str">
            <v>Quản trị</v>
          </cell>
          <cell r="BA4" t="str">
            <v>7220201</v>
          </cell>
          <cell r="BB4" t="str">
            <v>Tiếng Anh thương mại</v>
          </cell>
          <cell r="BD4" t="str">
            <v>Chưa hoàn thành</v>
          </cell>
          <cell r="BF4" t="str">
            <v>3</v>
          </cell>
          <cell r="BM4" t="str">
            <v>True</v>
          </cell>
          <cell r="BN4" t="str">
            <v>True</v>
          </cell>
          <cell r="BO4" t="str">
            <v>KQTHPT_2_087202014123.pdf</v>
          </cell>
          <cell r="BP4" t="str">
            <v>KQDGNL_2_087202014123.pdf</v>
          </cell>
          <cell r="BQ4" t="str">
            <v>KQVSAT_2_087202014123.pdf</v>
          </cell>
          <cell r="BR4">
            <v>7.7</v>
          </cell>
          <cell r="BS4">
            <v>7.2</v>
          </cell>
          <cell r="BT4">
            <v>7.3</v>
          </cell>
          <cell r="BU4">
            <v>9.5</v>
          </cell>
          <cell r="BV4">
            <v>9.3000000000000007</v>
          </cell>
          <cell r="BW4">
            <v>9.1999999999999993</v>
          </cell>
          <cell r="BX4">
            <v>8.6999999999999993</v>
          </cell>
          <cell r="BY4">
            <v>7.4</v>
          </cell>
          <cell r="BZ4">
            <v>0</v>
          </cell>
          <cell r="CA4">
            <v>0</v>
          </cell>
          <cell r="CB4">
            <v>0</v>
          </cell>
          <cell r="CC4">
            <v>8.1</v>
          </cell>
          <cell r="CD4">
            <v>0</v>
          </cell>
          <cell r="CE4">
            <v>0</v>
          </cell>
          <cell r="CF4">
            <v>0</v>
          </cell>
          <cell r="CG4">
            <v>0</v>
          </cell>
          <cell r="CH4">
            <v>0</v>
          </cell>
          <cell r="CI4">
            <v>0</v>
          </cell>
          <cell r="CJ4">
            <v>0</v>
          </cell>
          <cell r="CK4">
            <v>0</v>
          </cell>
          <cell r="CL4">
            <v>0</v>
          </cell>
          <cell r="CM4">
            <v>8.1999999999999993</v>
          </cell>
          <cell r="CN4">
            <v>8.6</v>
          </cell>
          <cell r="CO4">
            <v>9</v>
          </cell>
          <cell r="CP4">
            <v>9.1999999999999993</v>
          </cell>
          <cell r="CQ4">
            <v>9.1</v>
          </cell>
          <cell r="CR4">
            <v>9.1999999999999993</v>
          </cell>
          <cell r="CS4">
            <v>8.6</v>
          </cell>
          <cell r="CT4">
            <v>8.1</v>
          </cell>
          <cell r="CU4">
            <v>0</v>
          </cell>
          <cell r="CV4">
            <v>0</v>
          </cell>
          <cell r="CW4">
            <v>0</v>
          </cell>
          <cell r="CX4">
            <v>8.6</v>
          </cell>
          <cell r="CY4">
            <v>0</v>
          </cell>
          <cell r="CZ4">
            <v>0</v>
          </cell>
          <cell r="DA4">
            <v>0</v>
          </cell>
          <cell r="DB4">
            <v>0</v>
          </cell>
          <cell r="DC4">
            <v>0</v>
          </cell>
          <cell r="DD4">
            <v>0</v>
          </cell>
          <cell r="DE4">
            <v>0</v>
          </cell>
          <cell r="DF4">
            <v>0</v>
          </cell>
          <cell r="DG4">
            <v>0</v>
          </cell>
          <cell r="DH4">
            <v>8.6999999999999993</v>
          </cell>
          <cell r="DI4">
            <v>9.1999999999999993</v>
          </cell>
          <cell r="DJ4">
            <v>9</v>
          </cell>
          <cell r="DK4">
            <v>9.5</v>
          </cell>
          <cell r="DL4">
            <v>9.6</v>
          </cell>
          <cell r="DM4">
            <v>9.4</v>
          </cell>
          <cell r="DN4">
            <v>9.4</v>
          </cell>
          <cell r="DO4">
            <v>8.9</v>
          </cell>
          <cell r="DP4">
            <v>0</v>
          </cell>
          <cell r="DQ4">
            <v>0</v>
          </cell>
          <cell r="DR4">
            <v>0</v>
          </cell>
          <cell r="DS4">
            <v>9.6999999999999993</v>
          </cell>
          <cell r="DT4">
            <v>0</v>
          </cell>
          <cell r="DU4">
            <v>0</v>
          </cell>
          <cell r="DV4">
            <v>0</v>
          </cell>
          <cell r="DW4">
            <v>0</v>
          </cell>
          <cell r="DX4">
            <v>0</v>
          </cell>
          <cell r="DY4">
            <v>0</v>
          </cell>
          <cell r="DZ4">
            <v>0</v>
          </cell>
          <cell r="EA4">
            <v>0</v>
          </cell>
          <cell r="EB4">
            <v>0</v>
          </cell>
          <cell r="EC4">
            <v>6.2</v>
          </cell>
          <cell r="ED4">
            <v>7</v>
          </cell>
          <cell r="EE4">
            <v>9</v>
          </cell>
          <cell r="EG4">
            <v>0</v>
          </cell>
          <cell r="EI4">
            <v>0</v>
          </cell>
          <cell r="EJ4">
            <v>0</v>
          </cell>
          <cell r="EK4">
            <v>0</v>
          </cell>
          <cell r="EL4">
            <v>0</v>
          </cell>
          <cell r="EN4">
            <v>0</v>
          </cell>
          <cell r="EW4">
            <v>63.5</v>
          </cell>
          <cell r="EX4">
            <v>100.5</v>
          </cell>
          <cell r="EY4">
            <v>90</v>
          </cell>
        </row>
        <row r="5">
          <cell r="A5">
            <v>0</v>
          </cell>
          <cell r="D5" t="str">
            <v>ĐẶNG THỊ MỸ DUYÊN</v>
          </cell>
          <cell r="E5" t="str">
            <v>0</v>
          </cell>
          <cell r="F5" t="str">
            <v>03/01/2008</v>
          </cell>
          <cell r="G5" t="str">
            <v>myyduynn579@gmail.com</v>
          </cell>
          <cell r="I5" t="str">
            <v>067308003770</v>
          </cell>
          <cell r="BD5" t="str">
            <v>Chưa hoàn thành</v>
          </cell>
          <cell r="BF5" t="str">
            <v>3</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v>0</v>
          </cell>
          <cell r="DU5">
            <v>0</v>
          </cell>
          <cell r="DV5">
            <v>0</v>
          </cell>
          <cell r="DW5">
            <v>0</v>
          </cell>
          <cell r="DX5">
            <v>0</v>
          </cell>
          <cell r="DY5">
            <v>0</v>
          </cell>
          <cell r="DZ5">
            <v>0</v>
          </cell>
          <cell r="EA5">
            <v>0</v>
          </cell>
          <cell r="EB5">
            <v>0</v>
          </cell>
        </row>
        <row r="6">
          <cell r="A6">
            <v>776806873</v>
          </cell>
          <cell r="B6" t="str">
            <v>KSVBS2630964</v>
          </cell>
          <cell r="C6" t="str">
            <v>9</v>
          </cell>
          <cell r="D6" t="str">
            <v>HUỲNH THỊ THANH NGÂN</v>
          </cell>
          <cell r="E6" t="str">
            <v>1</v>
          </cell>
          <cell r="F6" t="str">
            <v>21/10/2008</v>
          </cell>
          <cell r="G6" t="str">
            <v>nganhuynh.589514@gmail.com</v>
          </cell>
          <cell r="H6" t="str">
            <v>0776806873</v>
          </cell>
          <cell r="I6" t="str">
            <v>082308003110</v>
          </cell>
          <cell r="J6" t="str">
            <v>ấp 5, xã Long Hưng, tỉnh Đồng Tháp</v>
          </cell>
          <cell r="K6" t="str">
            <v>KV2-NT</v>
          </cell>
          <cell r="M6" t="str">
            <v>Không có</v>
          </cell>
          <cell r="N6" t="str">
            <v>Kinh</v>
          </cell>
          <cell r="P6" t="str">
            <v>2026</v>
          </cell>
          <cell r="Q6" t="str">
            <v>82027055</v>
          </cell>
          <cell r="R6" t="str">
            <v>Không có</v>
          </cell>
          <cell r="S6" t="str">
            <v>Không có</v>
          </cell>
          <cell r="T6" t="str">
            <v>Không có</v>
          </cell>
          <cell r="U6" t="str">
            <v>470194</v>
          </cell>
          <cell r="V6" t="str">
            <v>D26254142</v>
          </cell>
          <cell r="W6" t="str">
            <v>606.00</v>
          </cell>
          <cell r="Z6" t="str">
            <v>0.00</v>
          </cell>
          <cell r="AA6" t="str">
            <v>Không có</v>
          </cell>
          <cell r="AF6" t="str">
            <v>87N</v>
          </cell>
          <cell r="AG6" t="str">
            <v>626</v>
          </cell>
          <cell r="AH6" t="str">
            <v>THPT Tân Hiệp</v>
          </cell>
          <cell r="AI6" t="str">
            <v>87N</v>
          </cell>
          <cell r="AJ6" t="str">
            <v>626</v>
          </cell>
          <cell r="AK6" t="str">
            <v>THPT Tân Hiệp</v>
          </cell>
          <cell r="AL6" t="str">
            <v>87N</v>
          </cell>
          <cell r="AM6" t="str">
            <v>626</v>
          </cell>
          <cell r="AN6" t="str">
            <v>THPT Tân Hiệp</v>
          </cell>
          <cell r="AO6" t="str">
            <v>GDPT2018</v>
          </cell>
          <cell r="AP6" t="str">
            <v>Tốt</v>
          </cell>
          <cell r="AQ6" t="str">
            <v>0.00</v>
          </cell>
          <cell r="AR6" t="str">
            <v>8.27</v>
          </cell>
          <cell r="AS6" t="str">
            <v>8.73</v>
          </cell>
          <cell r="AT6" t="str">
            <v>9.27</v>
          </cell>
          <cell r="AU6" t="str">
            <v>True</v>
          </cell>
          <cell r="AW6" t="str">
            <v>7340301</v>
          </cell>
          <cell r="AX6" t="str">
            <v>Kế toán doanh nghiệp</v>
          </cell>
          <cell r="AY6" t="str">
            <v>7340201_2</v>
          </cell>
          <cell r="AZ6" t="str">
            <v>Tài chính</v>
          </cell>
          <cell r="BA6" t="str">
            <v>7340120</v>
          </cell>
          <cell r="BB6" t="str">
            <v>Kinh doanh quốc tế</v>
          </cell>
          <cell r="BC6" t="str">
            <v>quynhlx</v>
          </cell>
          <cell r="BD6" t="str">
            <v>Đã được tiếp nhận</v>
          </cell>
          <cell r="BF6" t="str">
            <v>3</v>
          </cell>
          <cell r="BM6" t="str">
            <v>True</v>
          </cell>
          <cell r="BN6" t="str">
            <v>False</v>
          </cell>
          <cell r="BO6" t="str">
            <v>KQTHPT_4_082308003110.pdf</v>
          </cell>
          <cell r="BP6" t="str">
            <v>KQDGNL_4_082308003110.pdf</v>
          </cell>
          <cell r="BR6">
            <v>7.7</v>
          </cell>
          <cell r="BS6">
            <v>7.2</v>
          </cell>
          <cell r="BT6">
            <v>7.3</v>
          </cell>
          <cell r="BU6">
            <v>9.5</v>
          </cell>
          <cell r="BV6">
            <v>9.3000000000000007</v>
          </cell>
          <cell r="BW6">
            <v>9.1999999999999993</v>
          </cell>
          <cell r="BX6">
            <v>8.6999999999999993</v>
          </cell>
          <cell r="BY6">
            <v>7.4</v>
          </cell>
          <cell r="BZ6">
            <v>0</v>
          </cell>
          <cell r="CA6">
            <v>0</v>
          </cell>
          <cell r="CB6">
            <v>0</v>
          </cell>
          <cell r="CC6">
            <v>8.1</v>
          </cell>
          <cell r="CD6">
            <v>0</v>
          </cell>
          <cell r="CE6">
            <v>0</v>
          </cell>
          <cell r="CF6">
            <v>0</v>
          </cell>
          <cell r="CG6">
            <v>0</v>
          </cell>
          <cell r="CH6">
            <v>0</v>
          </cell>
          <cell r="CI6">
            <v>0</v>
          </cell>
          <cell r="CJ6">
            <v>0</v>
          </cell>
          <cell r="CK6">
            <v>0</v>
          </cell>
          <cell r="CL6">
            <v>0</v>
          </cell>
          <cell r="CM6">
            <v>8.1999999999999993</v>
          </cell>
          <cell r="CN6">
            <v>8.6</v>
          </cell>
          <cell r="CO6">
            <v>9</v>
          </cell>
          <cell r="CP6">
            <v>9.1999999999999993</v>
          </cell>
          <cell r="CQ6">
            <v>9.1</v>
          </cell>
          <cell r="CR6">
            <v>9.1999999999999993</v>
          </cell>
          <cell r="CS6">
            <v>8.6</v>
          </cell>
          <cell r="CT6">
            <v>8.1</v>
          </cell>
          <cell r="CU6">
            <v>0</v>
          </cell>
          <cell r="CV6">
            <v>0</v>
          </cell>
          <cell r="CW6">
            <v>0</v>
          </cell>
          <cell r="CX6">
            <v>8.6</v>
          </cell>
          <cell r="CY6">
            <v>0</v>
          </cell>
          <cell r="CZ6">
            <v>0</v>
          </cell>
          <cell r="DA6">
            <v>0</v>
          </cell>
          <cell r="DB6">
            <v>0</v>
          </cell>
          <cell r="DC6">
            <v>0</v>
          </cell>
          <cell r="DD6">
            <v>0</v>
          </cell>
          <cell r="DE6">
            <v>0</v>
          </cell>
          <cell r="DF6">
            <v>0</v>
          </cell>
          <cell r="DG6">
            <v>0</v>
          </cell>
          <cell r="DH6">
            <v>8.6999999999999993</v>
          </cell>
          <cell r="DI6">
            <v>9.1999999999999993</v>
          </cell>
          <cell r="DJ6">
            <v>9</v>
          </cell>
          <cell r="DK6">
            <v>9.5</v>
          </cell>
          <cell r="DL6">
            <v>9.6</v>
          </cell>
          <cell r="DM6">
            <v>9.4</v>
          </cell>
          <cell r="DN6">
            <v>9.4</v>
          </cell>
          <cell r="DO6">
            <v>8.9</v>
          </cell>
          <cell r="DP6">
            <v>0</v>
          </cell>
          <cell r="DQ6">
            <v>0</v>
          </cell>
          <cell r="DR6">
            <v>0</v>
          </cell>
          <cell r="DS6">
            <v>9.6999999999999993</v>
          </cell>
          <cell r="DT6">
            <v>0</v>
          </cell>
          <cell r="DU6">
            <v>0</v>
          </cell>
          <cell r="DV6">
            <v>0</v>
          </cell>
          <cell r="DW6">
            <v>0</v>
          </cell>
          <cell r="DX6">
            <v>0</v>
          </cell>
          <cell r="DY6">
            <v>0</v>
          </cell>
          <cell r="DZ6">
            <v>0</v>
          </cell>
          <cell r="EA6">
            <v>0</v>
          </cell>
          <cell r="EB6">
            <v>0</v>
          </cell>
          <cell r="EC6">
            <v>6.25</v>
          </cell>
          <cell r="ED6">
            <v>7.75</v>
          </cell>
          <cell r="EE6">
            <v>5</v>
          </cell>
          <cell r="EJ6">
            <v>4.2</v>
          </cell>
        </row>
        <row r="7">
          <cell r="A7">
            <v>943853915</v>
          </cell>
          <cell r="B7" t="str">
            <v>KSVBS2648890</v>
          </cell>
          <cell r="C7" t="str">
            <v>17</v>
          </cell>
          <cell r="D7" t="str">
            <v>TRẦN THỊ HẢI HÀ</v>
          </cell>
          <cell r="E7" t="str">
            <v>1</v>
          </cell>
          <cell r="F7" t="str">
            <v>18/03/2008</v>
          </cell>
          <cell r="G7" t="str">
            <v>tranthihaiha2008@gmail.com</v>
          </cell>
          <cell r="H7" t="str">
            <v>0943853915</v>
          </cell>
          <cell r="I7" t="str">
            <v>068308007047</v>
          </cell>
          <cell r="J7" t="str">
            <v>Thôn 1</v>
          </cell>
          <cell r="K7" t="str">
            <v>KV2-NT</v>
          </cell>
          <cell r="M7" t="str">
            <v>Không có</v>
          </cell>
          <cell r="N7" t="str">
            <v>Kinh</v>
          </cell>
          <cell r="P7" t="str">
            <v>2026</v>
          </cell>
          <cell r="Q7" t="str">
            <v>68017743</v>
          </cell>
          <cell r="R7" t="str">
            <v>Không có</v>
          </cell>
          <cell r="S7" t="str">
            <v>Không có</v>
          </cell>
          <cell r="T7" t="str">
            <v>Không có</v>
          </cell>
          <cell r="AA7" t="str">
            <v>Không có</v>
          </cell>
          <cell r="AF7" t="str">
            <v>68N</v>
          </cell>
          <cell r="AG7" t="str">
            <v>201</v>
          </cell>
          <cell r="AH7" t="str">
            <v>THPT Cát Tiên (2023)</v>
          </cell>
          <cell r="AI7" t="str">
            <v>68N</v>
          </cell>
          <cell r="AJ7" t="str">
            <v>201</v>
          </cell>
          <cell r="AK7" t="str">
            <v>THPT Cát Tiên (2023)</v>
          </cell>
          <cell r="AL7" t="str">
            <v>68N</v>
          </cell>
          <cell r="AM7" t="str">
            <v>201</v>
          </cell>
          <cell r="AN7" t="str">
            <v>THPT Cát Tiên (2023)</v>
          </cell>
          <cell r="AO7" t="str">
            <v>GDPT2018</v>
          </cell>
          <cell r="AP7" t="str">
            <v>Tốt</v>
          </cell>
          <cell r="AQ7" t="str">
            <v>8.46</v>
          </cell>
          <cell r="AR7" t="str">
            <v>8.70</v>
          </cell>
          <cell r="AS7" t="str">
            <v>8.56</v>
          </cell>
          <cell r="AT7" t="str">
            <v>8.94</v>
          </cell>
          <cell r="AU7" t="str">
            <v>False</v>
          </cell>
          <cell r="AW7" t="str">
            <v>7620114</v>
          </cell>
          <cell r="AX7" t="str">
            <v>Kinh doanh nông nghiệp</v>
          </cell>
          <cell r="BC7" t="str">
            <v>quynhlx</v>
          </cell>
          <cell r="BD7" t="str">
            <v>Đã được tiếp nhận</v>
          </cell>
          <cell r="BF7" t="str">
            <v>3</v>
          </cell>
          <cell r="BM7" t="str">
            <v>True</v>
          </cell>
          <cell r="BN7" t="str">
            <v>False</v>
          </cell>
          <cell r="BO7" t="str">
            <v>KQTHPT_5_068308007047.pdf</v>
          </cell>
          <cell r="BR7">
            <v>7.9</v>
          </cell>
          <cell r="BS7">
            <v>6.9</v>
          </cell>
          <cell r="BT7">
            <v>9.3000000000000007</v>
          </cell>
          <cell r="BU7">
            <v>9.3000000000000007</v>
          </cell>
          <cell r="BV7">
            <v>9.4</v>
          </cell>
          <cell r="BW7">
            <v>9.3000000000000007</v>
          </cell>
          <cell r="BX7">
            <v>9.1999999999999993</v>
          </cell>
          <cell r="BY7">
            <v>0</v>
          </cell>
          <cell r="BZ7">
            <v>0</v>
          </cell>
          <cell r="CA7">
            <v>8.5</v>
          </cell>
          <cell r="CB7">
            <v>0</v>
          </cell>
          <cell r="CC7">
            <v>8.5</v>
          </cell>
          <cell r="CD7">
            <v>0</v>
          </cell>
          <cell r="CE7">
            <v>0</v>
          </cell>
          <cell r="CF7">
            <v>0</v>
          </cell>
          <cell r="CG7">
            <v>0</v>
          </cell>
          <cell r="CH7">
            <v>0</v>
          </cell>
          <cell r="CI7">
            <v>0</v>
          </cell>
          <cell r="CJ7">
            <v>0</v>
          </cell>
          <cell r="CK7">
            <v>0</v>
          </cell>
          <cell r="CL7">
            <v>0</v>
          </cell>
          <cell r="CM7">
            <v>7.3</v>
          </cell>
          <cell r="CN7">
            <v>7.1</v>
          </cell>
          <cell r="CO7">
            <v>9.5</v>
          </cell>
          <cell r="CP7">
            <v>8.9</v>
          </cell>
          <cell r="CQ7">
            <v>9.1</v>
          </cell>
          <cell r="CR7">
            <v>8.6999999999999993</v>
          </cell>
          <cell r="CS7">
            <v>9.4</v>
          </cell>
          <cell r="CT7">
            <v>0</v>
          </cell>
          <cell r="CU7">
            <v>0</v>
          </cell>
          <cell r="CV7">
            <v>8</v>
          </cell>
          <cell r="CW7">
            <v>0</v>
          </cell>
          <cell r="CX7">
            <v>9</v>
          </cell>
          <cell r="CY7">
            <v>0</v>
          </cell>
          <cell r="CZ7">
            <v>0</v>
          </cell>
          <cell r="DA7">
            <v>0</v>
          </cell>
          <cell r="DB7">
            <v>0</v>
          </cell>
          <cell r="DC7">
            <v>0</v>
          </cell>
          <cell r="DD7">
            <v>0</v>
          </cell>
          <cell r="DE7">
            <v>0</v>
          </cell>
          <cell r="DF7">
            <v>0</v>
          </cell>
          <cell r="DG7">
            <v>0</v>
          </cell>
          <cell r="DH7">
            <v>9.4</v>
          </cell>
          <cell r="DI7">
            <v>7.5</v>
          </cell>
          <cell r="DJ7">
            <v>9.3000000000000007</v>
          </cell>
          <cell r="DK7">
            <v>9.1</v>
          </cell>
          <cell r="DL7">
            <v>9.3000000000000007</v>
          </cell>
          <cell r="DM7">
            <v>9.4</v>
          </cell>
          <cell r="DN7">
            <v>9.1</v>
          </cell>
          <cell r="DO7">
            <v>0</v>
          </cell>
          <cell r="DP7">
            <v>0</v>
          </cell>
          <cell r="DQ7">
            <v>8.4</v>
          </cell>
          <cell r="DR7">
            <v>0</v>
          </cell>
          <cell r="DS7">
            <v>9</v>
          </cell>
          <cell r="DT7">
            <v>0</v>
          </cell>
          <cell r="DU7">
            <v>0</v>
          </cell>
          <cell r="DV7">
            <v>0</v>
          </cell>
          <cell r="DW7">
            <v>0</v>
          </cell>
          <cell r="DX7">
            <v>0</v>
          </cell>
          <cell r="DY7">
            <v>0</v>
          </cell>
          <cell r="DZ7">
            <v>0</v>
          </cell>
          <cell r="EA7">
            <v>0</v>
          </cell>
          <cell r="EB7">
            <v>0</v>
          </cell>
          <cell r="EC7">
            <v>7.75</v>
          </cell>
          <cell r="ED7">
            <v>7.75</v>
          </cell>
          <cell r="EE7">
            <v>5.25</v>
          </cell>
          <cell r="EG7">
            <v>7.75</v>
          </cell>
        </row>
        <row r="8">
          <cell r="A8">
            <v>765003017</v>
          </cell>
          <cell r="B8" t="str">
            <v>KSVBS2643351</v>
          </cell>
          <cell r="C8" t="str">
            <v>2</v>
          </cell>
          <cell r="D8" t="str">
            <v>LÊ BÙI QUỐC KHÁNH</v>
          </cell>
          <cell r="E8" t="str">
            <v>0</v>
          </cell>
          <cell r="F8" t="str">
            <v>02/09/2008</v>
          </cell>
          <cell r="G8" t="str">
            <v>quockhanh8827@gmail.com</v>
          </cell>
          <cell r="H8" t="str">
            <v>0765003017</v>
          </cell>
          <cell r="I8" t="str">
            <v>093208003708</v>
          </cell>
          <cell r="J8" t="str">
            <v>Số 31 Quốc Lộ 61 Ấp Láng Hầm, Xã Thạnh Xuân, Thành Phố Cần Thơ</v>
          </cell>
          <cell r="K8" t="str">
            <v>KV2-NT</v>
          </cell>
          <cell r="M8" t="str">
            <v>Không có</v>
          </cell>
          <cell r="N8" t="str">
            <v>Kinh</v>
          </cell>
          <cell r="P8" t="str">
            <v>2026</v>
          </cell>
          <cell r="Q8" t="str">
            <v>92017328</v>
          </cell>
          <cell r="R8" t="str">
            <v>Không có</v>
          </cell>
          <cell r="S8" t="str">
            <v>Không có</v>
          </cell>
          <cell r="T8" t="str">
            <v>Không có</v>
          </cell>
          <cell r="AA8" t="str">
            <v>Không có</v>
          </cell>
          <cell r="AF8" t="str">
            <v>92N</v>
          </cell>
          <cell r="AG8" t="str">
            <v>389</v>
          </cell>
          <cell r="AH8" t="str">
            <v>Trường THPT Tầm Vu (trước 01/7/2025)</v>
          </cell>
          <cell r="AI8" t="str">
            <v>92N</v>
          </cell>
          <cell r="AJ8" t="str">
            <v>389</v>
          </cell>
          <cell r="AK8" t="str">
            <v>Trường THPT Tầm Vu (trước 01/7/2025)</v>
          </cell>
          <cell r="AL8" t="str">
            <v>92N</v>
          </cell>
          <cell r="AM8" t="str">
            <v>116</v>
          </cell>
          <cell r="AN8" t="str">
            <v>Trường THPT Tầm Vu</v>
          </cell>
          <cell r="AO8" t="str">
            <v>GDPT2018</v>
          </cell>
          <cell r="AP8" t="str">
            <v>Khá</v>
          </cell>
          <cell r="AQ8" t="str">
            <v>7.54</v>
          </cell>
          <cell r="AR8" t="str">
            <v>7.47</v>
          </cell>
          <cell r="AS8" t="str">
            <v>6.80</v>
          </cell>
          <cell r="AT8" t="str">
            <v>7.54</v>
          </cell>
          <cell r="AU8" t="str">
            <v>False</v>
          </cell>
          <cell r="AW8" t="str">
            <v>7340301</v>
          </cell>
          <cell r="AX8" t="str">
            <v>Kế toán doanh nghiệp</v>
          </cell>
          <cell r="BC8" t="str">
            <v>quynhlx</v>
          </cell>
          <cell r="BD8" t="str">
            <v>Đã được tiếp nhận</v>
          </cell>
          <cell r="BF8" t="str">
            <v>3</v>
          </cell>
          <cell r="BM8" t="str">
            <v>False</v>
          </cell>
          <cell r="BN8" t="str">
            <v>True</v>
          </cell>
          <cell r="BQ8" t="str">
            <v>KQVSAT_6_093208003708.pdf</v>
          </cell>
          <cell r="BR8">
            <v>8</v>
          </cell>
          <cell r="BS8">
            <v>6.8</v>
          </cell>
          <cell r="BT8">
            <v>5.9</v>
          </cell>
          <cell r="BU8">
            <v>7.7</v>
          </cell>
          <cell r="BV8">
            <v>8.5</v>
          </cell>
          <cell r="BW8">
            <v>0</v>
          </cell>
          <cell r="BX8">
            <v>0</v>
          </cell>
          <cell r="BY8">
            <v>6.6</v>
          </cell>
          <cell r="BZ8">
            <v>7.4</v>
          </cell>
          <cell r="CA8">
            <v>7.5</v>
          </cell>
          <cell r="CB8">
            <v>0</v>
          </cell>
          <cell r="CC8">
            <v>8.8000000000000007</v>
          </cell>
          <cell r="CD8">
            <v>0</v>
          </cell>
          <cell r="CE8">
            <v>0</v>
          </cell>
          <cell r="CF8">
            <v>0</v>
          </cell>
          <cell r="CG8">
            <v>0</v>
          </cell>
          <cell r="CH8">
            <v>0</v>
          </cell>
          <cell r="CI8">
            <v>0</v>
          </cell>
          <cell r="CJ8">
            <v>0</v>
          </cell>
          <cell r="CK8">
            <v>0</v>
          </cell>
          <cell r="CL8">
            <v>0</v>
          </cell>
          <cell r="CM8">
            <v>8.1</v>
          </cell>
          <cell r="CN8">
            <v>5.8</v>
          </cell>
          <cell r="CO8">
            <v>5</v>
          </cell>
          <cell r="CP8">
            <v>8.1</v>
          </cell>
          <cell r="CQ8">
            <v>8</v>
          </cell>
          <cell r="CR8">
            <v>0</v>
          </cell>
          <cell r="CS8">
            <v>0</v>
          </cell>
          <cell r="CT8">
            <v>6.1</v>
          </cell>
          <cell r="CU8">
            <v>7</v>
          </cell>
          <cell r="CV8">
            <v>6.5</v>
          </cell>
          <cell r="CW8">
            <v>0</v>
          </cell>
          <cell r="CX8">
            <v>6.6</v>
          </cell>
          <cell r="CY8">
            <v>0</v>
          </cell>
          <cell r="CZ8">
            <v>0</v>
          </cell>
          <cell r="DA8">
            <v>0</v>
          </cell>
          <cell r="DB8">
            <v>0</v>
          </cell>
          <cell r="DC8">
            <v>0</v>
          </cell>
          <cell r="DD8">
            <v>0</v>
          </cell>
          <cell r="DE8">
            <v>0</v>
          </cell>
          <cell r="DF8">
            <v>0</v>
          </cell>
          <cell r="DG8">
            <v>0</v>
          </cell>
          <cell r="DH8">
            <v>7.7</v>
          </cell>
          <cell r="DI8">
            <v>7.8</v>
          </cell>
          <cell r="DJ8">
            <v>5.3</v>
          </cell>
          <cell r="DK8">
            <v>8.8000000000000007</v>
          </cell>
          <cell r="DL8">
            <v>7.5</v>
          </cell>
          <cell r="DM8">
            <v>0</v>
          </cell>
          <cell r="DN8">
            <v>0</v>
          </cell>
          <cell r="DO8">
            <v>8</v>
          </cell>
          <cell r="DP8">
            <v>8.6</v>
          </cell>
          <cell r="DQ8">
            <v>6.5</v>
          </cell>
          <cell r="DR8">
            <v>0</v>
          </cell>
          <cell r="DS8">
            <v>7.7</v>
          </cell>
          <cell r="DT8">
            <v>0</v>
          </cell>
          <cell r="DU8">
            <v>0</v>
          </cell>
          <cell r="DV8">
            <v>0</v>
          </cell>
          <cell r="DW8">
            <v>0</v>
          </cell>
          <cell r="DX8">
            <v>0</v>
          </cell>
          <cell r="DY8">
            <v>0</v>
          </cell>
          <cell r="DZ8">
            <v>0</v>
          </cell>
          <cell r="EA8">
            <v>0</v>
          </cell>
          <cell r="EB8">
            <v>0</v>
          </cell>
          <cell r="EW8">
            <v>109</v>
          </cell>
          <cell r="FB8">
            <v>89</v>
          </cell>
          <cell r="FC8">
            <v>94.5</v>
          </cell>
        </row>
        <row r="9">
          <cell r="A9">
            <v>818335529</v>
          </cell>
          <cell r="B9" t="str">
            <v>KSVBS2632732</v>
          </cell>
          <cell r="C9" t="str">
            <v>34</v>
          </cell>
          <cell r="D9" t="str">
            <v>NGUYỄN NGỌC THẢO VI</v>
          </cell>
          <cell r="E9" t="str">
            <v>1</v>
          </cell>
          <cell r="F9" t="str">
            <v>21/07/2008</v>
          </cell>
          <cell r="G9" t="str">
            <v>nnthaovi217tt@gmail.com</v>
          </cell>
          <cell r="H9" t="str">
            <v>0818335529</v>
          </cell>
          <cell r="I9" t="str">
            <v>089308010311</v>
          </cell>
          <cell r="J9" t="str">
            <v>Số Nhà 500, Tổ 18, Ấp Phú Quí, Xã Phú An, Tỉnh An Giang</v>
          </cell>
          <cell r="K9" t="str">
            <v>KV2-NT</v>
          </cell>
          <cell r="M9" t="str">
            <v>Không có</v>
          </cell>
          <cell r="N9" t="str">
            <v>Kinh</v>
          </cell>
          <cell r="P9" t="str">
            <v>2026</v>
          </cell>
          <cell r="Q9" t="str">
            <v>91014946</v>
          </cell>
          <cell r="R9" t="str">
            <v>Không có</v>
          </cell>
          <cell r="S9" t="str">
            <v>Không có</v>
          </cell>
          <cell r="T9" t="str">
            <v>Không có</v>
          </cell>
          <cell r="AA9" t="str">
            <v>Không có</v>
          </cell>
          <cell r="AF9" t="str">
            <v>89N</v>
          </cell>
          <cell r="AG9" t="str">
            <v>110</v>
          </cell>
          <cell r="AH9" t="str">
            <v>Trường THPT Chu Văn An</v>
          </cell>
          <cell r="AI9" t="str">
            <v>89N</v>
          </cell>
          <cell r="AJ9" t="str">
            <v>110</v>
          </cell>
          <cell r="AK9" t="str">
            <v>Trường THPT Chu Văn An</v>
          </cell>
          <cell r="AL9" t="str">
            <v>89N</v>
          </cell>
          <cell r="AM9" t="str">
            <v>110</v>
          </cell>
          <cell r="AN9" t="str">
            <v>Trường THPT Chu Văn An</v>
          </cell>
          <cell r="AO9" t="str">
            <v>GDPT2018</v>
          </cell>
          <cell r="AP9" t="str">
            <v>Tốt</v>
          </cell>
          <cell r="AQ9" t="str">
            <v>0.00</v>
          </cell>
          <cell r="AR9" t="str">
            <v>8.22</v>
          </cell>
          <cell r="AS9" t="str">
            <v>8.02</v>
          </cell>
          <cell r="AT9" t="str">
            <v>8.41</v>
          </cell>
          <cell r="AU9" t="str">
            <v>False</v>
          </cell>
          <cell r="AW9" t="str">
            <v>7340120</v>
          </cell>
          <cell r="AX9" t="str">
            <v>Kinh doanh quốc tế</v>
          </cell>
          <cell r="BC9" t="str">
            <v>quynhlx</v>
          </cell>
          <cell r="BD9" t="str">
            <v>Đã được tiếp nhận</v>
          </cell>
          <cell r="BE9" t="str">
            <v>Trường điều chỉnh học lực từ Giỏi -&gt; Tốt theo học bạ của em</v>
          </cell>
          <cell r="BF9" t="str">
            <v>3</v>
          </cell>
          <cell r="BM9" t="str">
            <v>True</v>
          </cell>
          <cell r="BN9" t="str">
            <v>True</v>
          </cell>
          <cell r="BO9" t="str">
            <v>KQTHPT_7_089308010311.pdf</v>
          </cell>
          <cell r="BQ9" t="str">
            <v>KQVSAT_7_089308010311.pdf</v>
          </cell>
          <cell r="BR9">
            <v>7.1</v>
          </cell>
          <cell r="BS9">
            <v>8.4</v>
          </cell>
          <cell r="BT9">
            <v>6.5</v>
          </cell>
          <cell r="BU9">
            <v>8.9</v>
          </cell>
          <cell r="BV9">
            <v>9.1999999999999993</v>
          </cell>
          <cell r="BW9">
            <v>8.6999999999999993</v>
          </cell>
          <cell r="BX9">
            <v>8.9</v>
          </cell>
          <cell r="BY9">
            <v>0</v>
          </cell>
          <cell r="BZ9">
            <v>0</v>
          </cell>
          <cell r="CA9">
            <v>0</v>
          </cell>
          <cell r="CB9">
            <v>7.9</v>
          </cell>
          <cell r="CC9">
            <v>8.4</v>
          </cell>
          <cell r="CD9">
            <v>0</v>
          </cell>
          <cell r="CE9">
            <v>0</v>
          </cell>
          <cell r="CF9">
            <v>0</v>
          </cell>
          <cell r="CG9">
            <v>0</v>
          </cell>
          <cell r="CH9">
            <v>0</v>
          </cell>
          <cell r="CI9">
            <v>0</v>
          </cell>
          <cell r="CJ9">
            <v>0</v>
          </cell>
          <cell r="CK9">
            <v>0</v>
          </cell>
          <cell r="CL9">
            <v>0</v>
          </cell>
          <cell r="CM9">
            <v>6.3</v>
          </cell>
          <cell r="CN9">
            <v>8.1</v>
          </cell>
          <cell r="CO9">
            <v>7.7</v>
          </cell>
          <cell r="CP9">
            <v>8.5</v>
          </cell>
          <cell r="CQ9">
            <v>8.3000000000000007</v>
          </cell>
          <cell r="CR9">
            <v>8.6999999999999993</v>
          </cell>
          <cell r="CS9">
            <v>9.3000000000000007</v>
          </cell>
          <cell r="CT9">
            <v>6.8</v>
          </cell>
          <cell r="CU9">
            <v>0</v>
          </cell>
          <cell r="CV9">
            <v>0</v>
          </cell>
          <cell r="CW9">
            <v>8.5</v>
          </cell>
          <cell r="CX9">
            <v>0</v>
          </cell>
          <cell r="CY9">
            <v>0</v>
          </cell>
          <cell r="CZ9">
            <v>0</v>
          </cell>
          <cell r="DA9">
            <v>0</v>
          </cell>
          <cell r="DB9">
            <v>0</v>
          </cell>
          <cell r="DC9">
            <v>0</v>
          </cell>
          <cell r="DD9">
            <v>0</v>
          </cell>
          <cell r="DE9">
            <v>0</v>
          </cell>
          <cell r="DF9">
            <v>0</v>
          </cell>
          <cell r="DG9">
            <v>0</v>
          </cell>
          <cell r="DH9">
            <v>6.9</v>
          </cell>
          <cell r="DI9">
            <v>8.1999999999999993</v>
          </cell>
          <cell r="DJ9">
            <v>7.6</v>
          </cell>
          <cell r="DK9">
            <v>9.1</v>
          </cell>
          <cell r="DL9">
            <v>8.9</v>
          </cell>
          <cell r="DM9">
            <v>9.4</v>
          </cell>
          <cell r="DN9">
            <v>9.3000000000000007</v>
          </cell>
          <cell r="DO9">
            <v>7.1</v>
          </cell>
          <cell r="DP9">
            <v>0</v>
          </cell>
          <cell r="DQ9">
            <v>0</v>
          </cell>
          <cell r="DR9">
            <v>9.1999999999999993</v>
          </cell>
          <cell r="DS9">
            <v>0</v>
          </cell>
          <cell r="DT9">
            <v>0</v>
          </cell>
          <cell r="DU9">
            <v>0</v>
          </cell>
          <cell r="DV9">
            <v>0</v>
          </cell>
          <cell r="DW9">
            <v>0</v>
          </cell>
          <cell r="DX9">
            <v>0</v>
          </cell>
          <cell r="DY9">
            <v>0</v>
          </cell>
          <cell r="DZ9">
            <v>0</v>
          </cell>
          <cell r="EA9">
            <v>0</v>
          </cell>
          <cell r="EB9">
            <v>0</v>
          </cell>
          <cell r="EC9">
            <v>4.25</v>
          </cell>
          <cell r="ED9">
            <v>7.5</v>
          </cell>
          <cell r="EE9">
            <v>4.75</v>
          </cell>
          <cell r="EI9">
            <v>5.75</v>
          </cell>
          <cell r="EW9">
            <v>89.5</v>
          </cell>
          <cell r="EX9">
            <v>105</v>
          </cell>
          <cell r="EY9">
            <v>67</v>
          </cell>
        </row>
        <row r="10">
          <cell r="A10">
            <v>795926478</v>
          </cell>
          <cell r="B10" t="str">
            <v>KSVBS2620480</v>
          </cell>
          <cell r="C10" t="str">
            <v>16</v>
          </cell>
          <cell r="D10" t="str">
            <v>LÊ THỊ NGỌC ÁNH</v>
          </cell>
          <cell r="E10" t="str">
            <v>1</v>
          </cell>
          <cell r="F10" t="str">
            <v>06/12/2008</v>
          </cell>
          <cell r="G10" t="str">
            <v>ait47748@gmail.com</v>
          </cell>
          <cell r="H10" t="str">
            <v>0795926478</v>
          </cell>
          <cell r="I10" t="str">
            <v>086308005441</v>
          </cell>
          <cell r="J10" t="str">
            <v>nhà 15/1 ấp Hòa Thuận</v>
          </cell>
          <cell r="K10" t="str">
            <v>KV2-NT</v>
          </cell>
          <cell r="M10" t="str">
            <v>Không có</v>
          </cell>
          <cell r="N10" t="str">
            <v>Kinh</v>
          </cell>
          <cell r="P10" t="str">
            <v>2026</v>
          </cell>
          <cell r="Q10" t="str">
            <v>86022658</v>
          </cell>
          <cell r="R10" t="str">
            <v>Không có</v>
          </cell>
          <cell r="S10" t="str">
            <v>Không có</v>
          </cell>
          <cell r="T10" t="str">
            <v>Không có</v>
          </cell>
          <cell r="W10" t="str">
            <v>0.00</v>
          </cell>
          <cell r="X10" t="str">
            <v>590005</v>
          </cell>
          <cell r="Y10" t="str">
            <v>D26680896</v>
          </cell>
          <cell r="Z10" t="str">
            <v>595.00</v>
          </cell>
          <cell r="AA10" t="str">
            <v>Không có</v>
          </cell>
          <cell r="AF10" t="str">
            <v>86N</v>
          </cell>
          <cell r="AG10" t="str">
            <v>414</v>
          </cell>
          <cell r="AH10" t="str">
            <v>THPT Trần Đại Nghĩa</v>
          </cell>
          <cell r="AI10" t="str">
            <v>86N</v>
          </cell>
          <cell r="AJ10" t="str">
            <v>414</v>
          </cell>
          <cell r="AK10" t="str">
            <v>THPT Trần Đại Nghĩa</v>
          </cell>
          <cell r="AL10" t="str">
            <v>86N</v>
          </cell>
          <cell r="AM10" t="str">
            <v>414</v>
          </cell>
          <cell r="AN10" t="str">
            <v>THPT Trần Đại Nghĩa</v>
          </cell>
          <cell r="AO10" t="str">
            <v>GDPT2018</v>
          </cell>
          <cell r="AP10" t="str">
            <v>Tốt</v>
          </cell>
          <cell r="AQ10" t="str">
            <v>0.00</v>
          </cell>
          <cell r="AR10" t="str">
            <v>8.36</v>
          </cell>
          <cell r="AS10" t="str">
            <v>8.65</v>
          </cell>
          <cell r="AT10" t="str">
            <v>8.80</v>
          </cell>
          <cell r="AU10" t="str">
            <v>True</v>
          </cell>
          <cell r="AW10" t="str">
            <v>7220201</v>
          </cell>
          <cell r="AX10" t="str">
            <v>Tiếng Anh thương mại</v>
          </cell>
          <cell r="BC10" t="str">
            <v>quynhlx</v>
          </cell>
          <cell r="BD10" t="str">
            <v>Đã được tiếp nhận</v>
          </cell>
          <cell r="BF10" t="str">
            <v>3</v>
          </cell>
          <cell r="BM10" t="str">
            <v>True</v>
          </cell>
          <cell r="BN10" t="str">
            <v>False</v>
          </cell>
          <cell r="BO10" t="str">
            <v>KQTHPT_8_086308005441.pdf</v>
          </cell>
          <cell r="BP10" t="str">
            <v>KQDGNL_8_086308005441.pdf</v>
          </cell>
          <cell r="BR10">
            <v>8</v>
          </cell>
          <cell r="BS10">
            <v>8.4</v>
          </cell>
          <cell r="BT10">
            <v>8.3000000000000007</v>
          </cell>
          <cell r="BU10">
            <v>9.3000000000000007</v>
          </cell>
          <cell r="BV10">
            <v>8.6</v>
          </cell>
          <cell r="BW10">
            <v>8.1999999999999993</v>
          </cell>
          <cell r="BX10">
            <v>8</v>
          </cell>
          <cell r="BY10">
            <v>8.1</v>
          </cell>
          <cell r="BZ10">
            <v>0</v>
          </cell>
          <cell r="CA10">
            <v>0</v>
          </cell>
          <cell r="CB10">
            <v>0</v>
          </cell>
          <cell r="CC10">
            <v>0</v>
          </cell>
          <cell r="CD10">
            <v>0</v>
          </cell>
          <cell r="CE10">
            <v>0</v>
          </cell>
          <cell r="CF10">
            <v>0</v>
          </cell>
          <cell r="CG10">
            <v>0</v>
          </cell>
          <cell r="CH10">
            <v>0</v>
          </cell>
          <cell r="CI10">
            <v>0</v>
          </cell>
          <cell r="CJ10">
            <v>0</v>
          </cell>
          <cell r="CK10">
            <v>0</v>
          </cell>
          <cell r="CL10">
            <v>0</v>
          </cell>
          <cell r="CM10">
            <v>8.5</v>
          </cell>
          <cell r="CN10">
            <v>8.5</v>
          </cell>
          <cell r="CO10">
            <v>8.1</v>
          </cell>
          <cell r="CP10">
            <v>8.9</v>
          </cell>
          <cell r="CQ10">
            <v>9.1</v>
          </cell>
          <cell r="CR10">
            <v>8.9</v>
          </cell>
          <cell r="CS10">
            <v>9.1</v>
          </cell>
          <cell r="CT10">
            <v>8.1</v>
          </cell>
          <cell r="CU10">
            <v>0</v>
          </cell>
          <cell r="CV10">
            <v>0</v>
          </cell>
          <cell r="CW10">
            <v>0</v>
          </cell>
          <cell r="CX10">
            <v>0</v>
          </cell>
          <cell r="CY10">
            <v>0</v>
          </cell>
          <cell r="CZ10">
            <v>0</v>
          </cell>
          <cell r="DA10">
            <v>0</v>
          </cell>
          <cell r="DB10">
            <v>0</v>
          </cell>
          <cell r="DC10">
            <v>0</v>
          </cell>
          <cell r="DD10">
            <v>0</v>
          </cell>
          <cell r="DE10">
            <v>0</v>
          </cell>
          <cell r="DF10">
            <v>0</v>
          </cell>
          <cell r="DG10">
            <v>0</v>
          </cell>
          <cell r="DH10">
            <v>9</v>
          </cell>
          <cell r="DI10">
            <v>8.8000000000000007</v>
          </cell>
          <cell r="DJ10">
            <v>9.3000000000000007</v>
          </cell>
          <cell r="DK10">
            <v>9.4</v>
          </cell>
          <cell r="DL10">
            <v>8.8000000000000007</v>
          </cell>
          <cell r="DM10">
            <v>9.1</v>
          </cell>
          <cell r="DN10">
            <v>8.4</v>
          </cell>
          <cell r="DO10">
            <v>7.6</v>
          </cell>
          <cell r="DP10">
            <v>0</v>
          </cell>
          <cell r="DQ10">
            <v>0</v>
          </cell>
          <cell r="DR10">
            <v>0</v>
          </cell>
          <cell r="DS10">
            <v>0</v>
          </cell>
          <cell r="DT10">
            <v>0</v>
          </cell>
          <cell r="DU10">
            <v>0</v>
          </cell>
          <cell r="DV10">
            <v>0</v>
          </cell>
          <cell r="DW10">
            <v>0</v>
          </cell>
          <cell r="DX10">
            <v>0</v>
          </cell>
          <cell r="DY10">
            <v>0</v>
          </cell>
          <cell r="DZ10">
            <v>0</v>
          </cell>
          <cell r="EA10">
            <v>0</v>
          </cell>
          <cell r="EB10">
            <v>0</v>
          </cell>
          <cell r="EC10">
            <v>5.5</v>
          </cell>
          <cell r="ED10">
            <v>6</v>
          </cell>
          <cell r="EE10">
            <v>6.25</v>
          </cell>
          <cell r="EG10">
            <v>6.6</v>
          </cell>
        </row>
        <row r="11">
          <cell r="A11">
            <v>335022209</v>
          </cell>
          <cell r="B11" t="str">
            <v>KSVBS2646296</v>
          </cell>
          <cell r="C11" t="str">
            <v>6</v>
          </cell>
          <cell r="D11" t="str">
            <v>NGUYỄN THỊ KIM NGÂN</v>
          </cell>
          <cell r="E11" t="str">
            <v>1</v>
          </cell>
          <cell r="F11" t="str">
            <v>05/09/2008</v>
          </cell>
          <cell r="G11" t="str">
            <v>kimngan022209@gmail.com</v>
          </cell>
          <cell r="H11" t="str">
            <v>0335022209</v>
          </cell>
          <cell r="I11" t="str">
            <v>083308003866</v>
          </cell>
          <cell r="J11" t="str">
            <v>Ấp Đông Thuận</v>
          </cell>
          <cell r="K11" t="str">
            <v>KV2-NT</v>
          </cell>
          <cell r="M11" t="str">
            <v>Không có</v>
          </cell>
          <cell r="N11" t="str">
            <v>Kinh</v>
          </cell>
          <cell r="P11" t="str">
            <v>2026</v>
          </cell>
          <cell r="Q11" t="str">
            <v>86004120</v>
          </cell>
          <cell r="R11" t="str">
            <v>Không có</v>
          </cell>
          <cell r="S11" t="str">
            <v>Không có</v>
          </cell>
          <cell r="T11" t="str">
            <v>Không có</v>
          </cell>
          <cell r="W11" t="str">
            <v>0.00</v>
          </cell>
          <cell r="X11" t="str">
            <v>090036</v>
          </cell>
          <cell r="Y11" t="str">
            <v>D26418134</v>
          </cell>
          <cell r="Z11" t="str">
            <v>570.00</v>
          </cell>
          <cell r="AA11" t="str">
            <v>Không có</v>
          </cell>
          <cell r="AF11" t="str">
            <v>86N</v>
          </cell>
          <cell r="AG11" t="str">
            <v>101</v>
          </cell>
          <cell r="AH11" t="str">
            <v>THPT Ngô Văn Cấn</v>
          </cell>
          <cell r="AI11" t="str">
            <v>86N</v>
          </cell>
          <cell r="AJ11" t="str">
            <v>101</v>
          </cell>
          <cell r="AK11" t="str">
            <v>THPT Ngô Văn Cấn</v>
          </cell>
          <cell r="AL11" t="str">
            <v>86N</v>
          </cell>
          <cell r="AM11" t="str">
            <v>101</v>
          </cell>
          <cell r="AN11" t="str">
            <v>THPT Ngô Văn Cấn</v>
          </cell>
          <cell r="AO11" t="str">
            <v>GDPT2018</v>
          </cell>
          <cell r="AP11" t="str">
            <v>Tốt</v>
          </cell>
          <cell r="AQ11" t="str">
            <v>8.36</v>
          </cell>
          <cell r="AR11" t="str">
            <v>9.07</v>
          </cell>
          <cell r="AS11" t="str">
            <v>9.32</v>
          </cell>
          <cell r="AT11" t="str">
            <v>9.54</v>
          </cell>
          <cell r="AU11" t="str">
            <v>True</v>
          </cell>
          <cell r="AW11" t="str">
            <v>7340301</v>
          </cell>
          <cell r="AX11" t="str">
            <v>Kế toán doanh nghiệp</v>
          </cell>
          <cell r="AY11" t="str">
            <v>7340122</v>
          </cell>
          <cell r="AZ11" t="str">
            <v>Thương mại điện tử</v>
          </cell>
          <cell r="BA11" t="str">
            <v>7340115</v>
          </cell>
          <cell r="BB11" t="str">
            <v>Marketing</v>
          </cell>
          <cell r="BC11" t="str">
            <v>quynhlx</v>
          </cell>
          <cell r="BD11" t="str">
            <v>Đã được tiếp nhận</v>
          </cell>
          <cell r="BE11" t="str">
            <v xml:space="preserve">- Bổ sung học bạ THPT có dấu mộc đỏ nha e
</v>
          </cell>
          <cell r="BF11" t="str">
            <v>3</v>
          </cell>
          <cell r="BM11" t="str">
            <v>True</v>
          </cell>
          <cell r="BN11" t="str">
            <v>False</v>
          </cell>
          <cell r="BO11" t="str">
            <v>KQTHPT_9_083308003866.pdf</v>
          </cell>
          <cell r="BP11" t="str">
            <v>KQDGNL_9_083308003866.pdf</v>
          </cell>
          <cell r="BR11">
            <v>9.1999999999999993</v>
          </cell>
          <cell r="BS11">
            <v>9</v>
          </cell>
          <cell r="BT11">
            <v>8.6999999999999993</v>
          </cell>
          <cell r="BU11">
            <v>9.1</v>
          </cell>
          <cell r="BV11">
            <v>9</v>
          </cell>
          <cell r="BW11">
            <v>0</v>
          </cell>
          <cell r="BX11">
            <v>0</v>
          </cell>
          <cell r="BY11">
            <v>9.5</v>
          </cell>
          <cell r="BZ11">
            <v>9.4</v>
          </cell>
          <cell r="CA11">
            <v>8.9</v>
          </cell>
          <cell r="CB11">
            <v>8.8000000000000007</v>
          </cell>
          <cell r="CC11">
            <v>0</v>
          </cell>
          <cell r="CD11">
            <v>0</v>
          </cell>
          <cell r="CE11">
            <v>0</v>
          </cell>
          <cell r="CF11">
            <v>0</v>
          </cell>
          <cell r="CG11">
            <v>0</v>
          </cell>
          <cell r="CH11">
            <v>0</v>
          </cell>
          <cell r="CI11">
            <v>0</v>
          </cell>
          <cell r="CJ11">
            <v>0</v>
          </cell>
          <cell r="CK11">
            <v>0</v>
          </cell>
          <cell r="CL11">
            <v>0</v>
          </cell>
          <cell r="CM11">
            <v>9.6</v>
          </cell>
          <cell r="CN11">
            <v>7.5</v>
          </cell>
          <cell r="CO11">
            <v>9.6999999999999993</v>
          </cell>
          <cell r="CP11">
            <v>9.3000000000000007</v>
          </cell>
          <cell r="CQ11">
            <v>9.3000000000000007</v>
          </cell>
          <cell r="CR11">
            <v>0</v>
          </cell>
          <cell r="CS11">
            <v>0</v>
          </cell>
          <cell r="CT11">
            <v>9.6</v>
          </cell>
          <cell r="CU11">
            <v>9.6</v>
          </cell>
          <cell r="CV11">
            <v>9.8000000000000007</v>
          </cell>
          <cell r="CW11">
            <v>9.5</v>
          </cell>
          <cell r="CX11">
            <v>0</v>
          </cell>
          <cell r="CY11">
            <v>0</v>
          </cell>
          <cell r="CZ11">
            <v>0</v>
          </cell>
          <cell r="DA11">
            <v>0</v>
          </cell>
          <cell r="DB11">
            <v>0</v>
          </cell>
          <cell r="DC11">
            <v>0</v>
          </cell>
          <cell r="DD11">
            <v>0</v>
          </cell>
          <cell r="DE11">
            <v>0</v>
          </cell>
          <cell r="DF11">
            <v>0</v>
          </cell>
          <cell r="DG11">
            <v>0</v>
          </cell>
          <cell r="DH11">
            <v>9.6</v>
          </cell>
          <cell r="DI11">
            <v>8.8000000000000007</v>
          </cell>
          <cell r="DJ11">
            <v>9.5</v>
          </cell>
          <cell r="DK11">
            <v>9.8000000000000007</v>
          </cell>
          <cell r="DL11">
            <v>9.4</v>
          </cell>
          <cell r="DM11">
            <v>0</v>
          </cell>
          <cell r="DN11">
            <v>0</v>
          </cell>
          <cell r="DO11">
            <v>9.8000000000000007</v>
          </cell>
          <cell r="DP11">
            <v>9.8000000000000007</v>
          </cell>
          <cell r="DQ11">
            <v>9.5</v>
          </cell>
          <cell r="DR11">
            <v>9.6999999999999993</v>
          </cell>
          <cell r="DS11">
            <v>0</v>
          </cell>
          <cell r="DT11">
            <v>0</v>
          </cell>
          <cell r="DU11">
            <v>0</v>
          </cell>
          <cell r="DV11">
            <v>0</v>
          </cell>
          <cell r="DW11">
            <v>0</v>
          </cell>
          <cell r="DX11">
            <v>0</v>
          </cell>
          <cell r="DY11">
            <v>0</v>
          </cell>
          <cell r="DZ11">
            <v>0</v>
          </cell>
          <cell r="EA11">
            <v>0</v>
          </cell>
          <cell r="EB11">
            <v>0</v>
          </cell>
          <cell r="EC11">
            <v>6.75</v>
          </cell>
          <cell r="ED11">
            <v>6</v>
          </cell>
          <cell r="EJ11">
            <v>5.35</v>
          </cell>
          <cell r="EK11">
            <v>7.25</v>
          </cell>
        </row>
        <row r="12">
          <cell r="A12">
            <v>763307374</v>
          </cell>
          <cell r="B12" t="str">
            <v>KSVBS2636913</v>
          </cell>
          <cell r="C12" t="str">
            <v>28</v>
          </cell>
          <cell r="D12" t="str">
            <v>HỒ NGUYỄN QUỐC BÌNH</v>
          </cell>
          <cell r="E12" t="str">
            <v>0</v>
          </cell>
          <cell r="F12" t="str">
            <v>17/12/2008</v>
          </cell>
          <cell r="G12" t="str">
            <v>quocbinh17122008@gmail.com</v>
          </cell>
          <cell r="H12" t="str">
            <v>0763307374</v>
          </cell>
          <cell r="I12" t="str">
            <v>089208022494</v>
          </cell>
          <cell r="J12" t="str">
            <v>206/184 đường tỉnh lộ 942 , ấp Mỹ Quí</v>
          </cell>
          <cell r="K12" t="str">
            <v>KV2-NT</v>
          </cell>
          <cell r="M12" t="str">
            <v>Không có</v>
          </cell>
          <cell r="N12" t="str">
            <v>Kinh</v>
          </cell>
          <cell r="P12" t="str">
            <v>2026</v>
          </cell>
          <cell r="Q12" t="str">
            <v>91013419</v>
          </cell>
          <cell r="R12" t="str">
            <v>Không có</v>
          </cell>
          <cell r="S12" t="str">
            <v>Không có</v>
          </cell>
          <cell r="T12" t="str">
            <v>Không có</v>
          </cell>
          <cell r="W12" t="str">
            <v>0.00</v>
          </cell>
          <cell r="X12" t="str">
            <v>614779</v>
          </cell>
          <cell r="Y12" t="str">
            <v>D26579794</v>
          </cell>
          <cell r="Z12" t="str">
            <v>603.00</v>
          </cell>
          <cell r="AA12" t="str">
            <v>Không có</v>
          </cell>
          <cell r="AF12" t="str">
            <v>89N</v>
          </cell>
          <cell r="AG12" t="str">
            <v>108</v>
          </cell>
          <cell r="AH12" t="str">
            <v>Trường THPT Châu Văn Liêm</v>
          </cell>
          <cell r="AI12" t="str">
            <v>89N</v>
          </cell>
          <cell r="AJ12" t="str">
            <v>108</v>
          </cell>
          <cell r="AK12" t="str">
            <v>Trường THPT Châu Văn Liêm</v>
          </cell>
          <cell r="AL12" t="str">
            <v>89N</v>
          </cell>
          <cell r="AM12" t="str">
            <v>108</v>
          </cell>
          <cell r="AN12" t="str">
            <v>Trường THPT Châu Văn Liêm</v>
          </cell>
          <cell r="AO12" t="str">
            <v>GDPT2018</v>
          </cell>
          <cell r="AP12" t="str">
            <v>Tốt</v>
          </cell>
          <cell r="AQ12" t="str">
            <v>7.73</v>
          </cell>
          <cell r="AR12" t="str">
            <v>8.44</v>
          </cell>
          <cell r="AS12" t="str">
            <v>8.63</v>
          </cell>
          <cell r="AT12" t="str">
            <v>9.24</v>
          </cell>
          <cell r="AU12" t="str">
            <v>True</v>
          </cell>
          <cell r="AW12" t="str">
            <v>7340115</v>
          </cell>
          <cell r="AX12" t="str">
            <v>Marketing</v>
          </cell>
          <cell r="BC12" t="str">
            <v>quynhlx</v>
          </cell>
          <cell r="BD12" t="str">
            <v>Đã được tiếp nhận</v>
          </cell>
          <cell r="BE12" t="str">
            <v xml:space="preserve">Trường điều chỉnh học lực từ Giỏi =&gt; Tốt theo học bạ của em </v>
          </cell>
          <cell r="BF12" t="str">
            <v>3</v>
          </cell>
          <cell r="BM12" t="str">
            <v>True</v>
          </cell>
          <cell r="BN12" t="str">
            <v>False</v>
          </cell>
          <cell r="BO12" t="str">
            <v>KQTHPT_10_089208022494.pdf</v>
          </cell>
          <cell r="BP12" t="str">
            <v>KQDGNL_10_089208022494.pdf</v>
          </cell>
          <cell r="BR12">
            <v>7.9</v>
          </cell>
          <cell r="BS12">
            <v>8.4</v>
          </cell>
          <cell r="BT12">
            <v>7.8</v>
          </cell>
          <cell r="BU12">
            <v>9.4</v>
          </cell>
          <cell r="BV12">
            <v>8.5</v>
          </cell>
          <cell r="BW12">
            <v>9</v>
          </cell>
          <cell r="BX12">
            <v>9</v>
          </cell>
          <cell r="BY12">
            <v>7.2</v>
          </cell>
          <cell r="BZ12">
            <v>0</v>
          </cell>
          <cell r="CA12">
            <v>0</v>
          </cell>
          <cell r="CB12">
            <v>0</v>
          </cell>
          <cell r="CC12">
            <v>8.8000000000000007</v>
          </cell>
          <cell r="CD12">
            <v>0</v>
          </cell>
          <cell r="CE12">
            <v>0</v>
          </cell>
          <cell r="CF12">
            <v>0</v>
          </cell>
          <cell r="CG12">
            <v>0</v>
          </cell>
          <cell r="CH12">
            <v>0</v>
          </cell>
          <cell r="CI12">
            <v>0</v>
          </cell>
          <cell r="CJ12">
            <v>0</v>
          </cell>
          <cell r="CK12">
            <v>0</v>
          </cell>
          <cell r="CL12">
            <v>0</v>
          </cell>
          <cell r="CM12">
            <v>8.1999999999999993</v>
          </cell>
          <cell r="CN12">
            <v>8.5</v>
          </cell>
          <cell r="CO12">
            <v>8</v>
          </cell>
          <cell r="CP12">
            <v>9.4</v>
          </cell>
          <cell r="CQ12">
            <v>8.6</v>
          </cell>
          <cell r="CR12">
            <v>9.4</v>
          </cell>
          <cell r="CS12">
            <v>9.1999999999999993</v>
          </cell>
          <cell r="CT12">
            <v>7.5</v>
          </cell>
          <cell r="CU12">
            <v>0</v>
          </cell>
          <cell r="CV12">
            <v>0</v>
          </cell>
          <cell r="CW12">
            <v>0</v>
          </cell>
          <cell r="CX12">
            <v>8.9</v>
          </cell>
          <cell r="CY12">
            <v>0</v>
          </cell>
          <cell r="CZ12">
            <v>0</v>
          </cell>
          <cell r="DA12">
            <v>0</v>
          </cell>
          <cell r="DB12">
            <v>0</v>
          </cell>
          <cell r="DC12">
            <v>0</v>
          </cell>
          <cell r="DD12">
            <v>0</v>
          </cell>
          <cell r="DE12">
            <v>0</v>
          </cell>
          <cell r="DF12">
            <v>0</v>
          </cell>
          <cell r="DG12">
            <v>0</v>
          </cell>
          <cell r="DH12">
            <v>9.1999999999999993</v>
          </cell>
          <cell r="DI12">
            <v>9.3000000000000007</v>
          </cell>
          <cell r="DJ12">
            <v>9.4</v>
          </cell>
          <cell r="DK12">
            <v>9.6</v>
          </cell>
          <cell r="DL12">
            <v>9.3000000000000007</v>
          </cell>
          <cell r="DM12">
            <v>9.3000000000000007</v>
          </cell>
          <cell r="DN12">
            <v>8.8000000000000007</v>
          </cell>
          <cell r="DO12">
            <v>9</v>
          </cell>
          <cell r="DP12">
            <v>0</v>
          </cell>
          <cell r="DQ12">
            <v>0</v>
          </cell>
          <cell r="DR12">
            <v>0</v>
          </cell>
          <cell r="DS12">
            <v>9.3000000000000007</v>
          </cell>
          <cell r="DT12">
            <v>0</v>
          </cell>
          <cell r="DU12">
            <v>0</v>
          </cell>
          <cell r="DV12">
            <v>0</v>
          </cell>
          <cell r="DW12">
            <v>0</v>
          </cell>
          <cell r="DX12">
            <v>0</v>
          </cell>
          <cell r="DY12">
            <v>0</v>
          </cell>
          <cell r="DZ12">
            <v>0</v>
          </cell>
          <cell r="EA12">
            <v>0</v>
          </cell>
          <cell r="EB12">
            <v>0</v>
          </cell>
          <cell r="EC12">
            <v>4.25</v>
          </cell>
          <cell r="ED12">
            <v>6.75</v>
          </cell>
          <cell r="EG12">
            <v>8</v>
          </cell>
          <cell r="EH12">
            <v>7.25</v>
          </cell>
        </row>
        <row r="13">
          <cell r="A13">
            <v>846226400</v>
          </cell>
          <cell r="B13" t="str">
            <v>KSVBS2603131</v>
          </cell>
          <cell r="C13" t="str">
            <v>4</v>
          </cell>
          <cell r="D13" t="str">
            <v>HUỲNH BĂNG TRÂM</v>
          </cell>
          <cell r="E13" t="str">
            <v>1</v>
          </cell>
          <cell r="F13" t="str">
            <v>23/12/2008</v>
          </cell>
          <cell r="G13" t="str">
            <v>huynhbangtram.hbt@gmail.com</v>
          </cell>
          <cell r="H13" t="str">
            <v>0846226400</v>
          </cell>
          <cell r="I13" t="str">
            <v>084308005383</v>
          </cell>
          <cell r="J13" t="str">
            <v>111/15, hẻm 288, Phạm Ngũ Lão, Trà Vinh</v>
          </cell>
          <cell r="K13" t="str">
            <v>KV1</v>
          </cell>
          <cell r="L13" t="str">
            <v>01</v>
          </cell>
          <cell r="M13" t="str">
            <v>01</v>
          </cell>
          <cell r="N13" t="str">
            <v>Khơ Me</v>
          </cell>
          <cell r="P13" t="str">
            <v>2026</v>
          </cell>
          <cell r="Q13" t="str">
            <v>86029154</v>
          </cell>
          <cell r="R13" t="str">
            <v>Không có</v>
          </cell>
          <cell r="S13" t="str">
            <v>Không có</v>
          </cell>
          <cell r="T13" t="str">
            <v>Không có</v>
          </cell>
          <cell r="AA13" t="str">
            <v>Không có</v>
          </cell>
          <cell r="AF13" t="str">
            <v>86N</v>
          </cell>
          <cell r="AG13" t="str">
            <v>761</v>
          </cell>
          <cell r="AH13" t="str">
            <v>THPT Phạm Thái Bường (Từ 04/6/2021-14/8/2024)</v>
          </cell>
          <cell r="AI13" t="str">
            <v>86N</v>
          </cell>
          <cell r="AJ13" t="str">
            <v>760</v>
          </cell>
          <cell r="AK13" t="str">
            <v>THPT Phạm Thái Bường (Từ 15/8/2024)</v>
          </cell>
          <cell r="AL13" t="str">
            <v>86N</v>
          </cell>
          <cell r="AM13" t="str">
            <v>760</v>
          </cell>
          <cell r="AN13" t="str">
            <v>THPT Phạm Thái Bường (Từ 15/8/2024)</v>
          </cell>
          <cell r="AO13" t="str">
            <v>GDPT2018</v>
          </cell>
          <cell r="AP13" t="str">
            <v>Tốt</v>
          </cell>
          <cell r="AQ13" t="str">
            <v>8.48</v>
          </cell>
          <cell r="AR13" t="str">
            <v>8.74</v>
          </cell>
          <cell r="AS13" t="str">
            <v>9.02</v>
          </cell>
          <cell r="AT13" t="str">
            <v>9.11</v>
          </cell>
          <cell r="AU13" t="str">
            <v>False</v>
          </cell>
          <cell r="AW13" t="str">
            <v>7340201_2</v>
          </cell>
          <cell r="AX13" t="str">
            <v>Tài chính</v>
          </cell>
          <cell r="BC13" t="str">
            <v>quynhlx</v>
          </cell>
          <cell r="BD13" t="str">
            <v>Đã được tiếp nhận</v>
          </cell>
          <cell r="BF13" t="str">
            <v>3</v>
          </cell>
          <cell r="BM13" t="str">
            <v>True</v>
          </cell>
          <cell r="BN13" t="str">
            <v>True</v>
          </cell>
          <cell r="BO13" t="str">
            <v>KQTHPT_11_084308005383.pdf</v>
          </cell>
          <cell r="BQ13" t="str">
            <v>KQVSAT_11_084308005383.pdf</v>
          </cell>
          <cell r="BR13">
            <v>9.4</v>
          </cell>
          <cell r="BS13">
            <v>7.7</v>
          </cell>
          <cell r="BT13">
            <v>8</v>
          </cell>
          <cell r="BU13">
            <v>8.5</v>
          </cell>
          <cell r="BV13">
            <v>9.1999999999999993</v>
          </cell>
          <cell r="BW13">
            <v>0</v>
          </cell>
          <cell r="BX13">
            <v>0</v>
          </cell>
          <cell r="BY13">
            <v>9.1</v>
          </cell>
          <cell r="BZ13">
            <v>9.5</v>
          </cell>
          <cell r="CA13">
            <v>8.5</v>
          </cell>
          <cell r="CB13">
            <v>0</v>
          </cell>
          <cell r="CC13">
            <v>8.8000000000000007</v>
          </cell>
          <cell r="CD13">
            <v>0</v>
          </cell>
          <cell r="CE13">
            <v>0</v>
          </cell>
          <cell r="CF13">
            <v>0</v>
          </cell>
          <cell r="CG13">
            <v>0</v>
          </cell>
          <cell r="CH13">
            <v>0</v>
          </cell>
          <cell r="CI13">
            <v>0</v>
          </cell>
          <cell r="CJ13">
            <v>0</v>
          </cell>
          <cell r="CK13">
            <v>0</v>
          </cell>
          <cell r="CL13">
            <v>0</v>
          </cell>
          <cell r="CM13">
            <v>8.5</v>
          </cell>
          <cell r="CN13">
            <v>8.3000000000000007</v>
          </cell>
          <cell r="CO13">
            <v>8.5</v>
          </cell>
          <cell r="CP13">
            <v>9.5</v>
          </cell>
          <cell r="CQ13">
            <v>9.6</v>
          </cell>
          <cell r="CR13">
            <v>0</v>
          </cell>
          <cell r="CS13">
            <v>0</v>
          </cell>
          <cell r="CT13">
            <v>9.1</v>
          </cell>
          <cell r="CU13">
            <v>9</v>
          </cell>
          <cell r="CV13">
            <v>9.1999999999999993</v>
          </cell>
          <cell r="CW13">
            <v>0</v>
          </cell>
          <cell r="CX13">
            <v>9.5</v>
          </cell>
          <cell r="CY13">
            <v>0</v>
          </cell>
          <cell r="CZ13">
            <v>0</v>
          </cell>
          <cell r="DA13">
            <v>0</v>
          </cell>
          <cell r="DB13">
            <v>0</v>
          </cell>
          <cell r="DC13">
            <v>0</v>
          </cell>
          <cell r="DD13">
            <v>0</v>
          </cell>
          <cell r="DE13">
            <v>0</v>
          </cell>
          <cell r="DF13">
            <v>0</v>
          </cell>
          <cell r="DG13">
            <v>0</v>
          </cell>
          <cell r="DH13">
            <v>9.5</v>
          </cell>
          <cell r="DI13">
            <v>9</v>
          </cell>
          <cell r="DJ13">
            <v>8.5</v>
          </cell>
          <cell r="DK13">
            <v>9.1</v>
          </cell>
          <cell r="DL13">
            <v>9.4</v>
          </cell>
          <cell r="DM13">
            <v>0</v>
          </cell>
          <cell r="DN13">
            <v>0</v>
          </cell>
          <cell r="DO13">
            <v>9.5</v>
          </cell>
          <cell r="DP13">
            <v>9</v>
          </cell>
          <cell r="DQ13">
            <v>9</v>
          </cell>
          <cell r="DR13">
            <v>0</v>
          </cell>
          <cell r="DS13">
            <v>9</v>
          </cell>
          <cell r="DT13">
            <v>0</v>
          </cell>
          <cell r="DU13">
            <v>0</v>
          </cell>
          <cell r="DV13">
            <v>0</v>
          </cell>
          <cell r="DW13">
            <v>0</v>
          </cell>
          <cell r="DX13">
            <v>0</v>
          </cell>
          <cell r="DY13">
            <v>0</v>
          </cell>
          <cell r="DZ13">
            <v>0</v>
          </cell>
          <cell r="EA13">
            <v>0</v>
          </cell>
          <cell r="EB13">
            <v>0</v>
          </cell>
          <cell r="EC13">
            <v>6.75</v>
          </cell>
          <cell r="ED13">
            <v>6.5</v>
          </cell>
          <cell r="EJ13">
            <v>6</v>
          </cell>
          <cell r="EK13">
            <v>8.5</v>
          </cell>
          <cell r="EW13">
            <v>131</v>
          </cell>
          <cell r="FB13">
            <v>84</v>
          </cell>
          <cell r="FC13">
            <v>106.5</v>
          </cell>
        </row>
        <row r="14">
          <cell r="A14">
            <v>383170265</v>
          </cell>
          <cell r="B14" t="str">
            <v>KSVBS2609904</v>
          </cell>
          <cell r="C14" t="str">
            <v>19</v>
          </cell>
          <cell r="D14" t="str">
            <v>PHAN THỊ KIM CÚC</v>
          </cell>
          <cell r="E14" t="str">
            <v>1</v>
          </cell>
          <cell r="F14" t="str">
            <v>23/08/2008</v>
          </cell>
          <cell r="G14" t="str">
            <v>hru891593@gmail.com</v>
          </cell>
          <cell r="H14" t="str">
            <v>0383170265</v>
          </cell>
          <cell r="I14" t="str">
            <v>089308016620</v>
          </cell>
          <cell r="J14" t="str">
            <v>số nhà 43, tổ 8, ấp phú hạ, xã phú an, tỉnh an giang</v>
          </cell>
          <cell r="K14" t="str">
            <v>KV2-NT</v>
          </cell>
          <cell r="M14" t="str">
            <v>Không có</v>
          </cell>
          <cell r="N14" t="str">
            <v>Kinh</v>
          </cell>
          <cell r="P14" t="str">
            <v>2026</v>
          </cell>
          <cell r="Q14" t="str">
            <v>91014485</v>
          </cell>
          <cell r="R14" t="str">
            <v>Không có</v>
          </cell>
          <cell r="S14" t="str">
            <v>Không có</v>
          </cell>
          <cell r="T14" t="str">
            <v>Không có</v>
          </cell>
          <cell r="U14" t="str">
            <v>541825</v>
          </cell>
          <cell r="V14" t="str">
            <v xml:space="preserve">D26104361 </v>
          </cell>
          <cell r="W14" t="str">
            <v>537.00</v>
          </cell>
          <cell r="X14" t="str">
            <v>611602</v>
          </cell>
          <cell r="Y14" t="str">
            <v xml:space="preserve">D264BE7JD </v>
          </cell>
          <cell r="Z14" t="str">
            <v>573.00</v>
          </cell>
          <cell r="AA14" t="str">
            <v>Không có</v>
          </cell>
          <cell r="AF14" t="str">
            <v>89N</v>
          </cell>
          <cell r="AG14" t="str">
            <v>110</v>
          </cell>
          <cell r="AH14" t="str">
            <v>Trường THPT Chu Văn An</v>
          </cell>
          <cell r="AI14" t="str">
            <v>89N</v>
          </cell>
          <cell r="AJ14" t="str">
            <v>110</v>
          </cell>
          <cell r="AK14" t="str">
            <v>Trường THPT Chu Văn An</v>
          </cell>
          <cell r="AL14" t="str">
            <v>89N</v>
          </cell>
          <cell r="AM14" t="str">
            <v>110</v>
          </cell>
          <cell r="AN14" t="str">
            <v>Trường THPT Chu Văn An</v>
          </cell>
          <cell r="AO14" t="str">
            <v>GDPT2018</v>
          </cell>
          <cell r="AP14" t="str">
            <v>Tốt</v>
          </cell>
          <cell r="AQ14" t="str">
            <v>0.00</v>
          </cell>
          <cell r="AR14" t="str">
            <v>8.69</v>
          </cell>
          <cell r="AS14" t="str">
            <v>8.59</v>
          </cell>
          <cell r="AT14" t="str">
            <v>8.22</v>
          </cell>
          <cell r="AU14" t="str">
            <v>True</v>
          </cell>
          <cell r="AW14" t="str">
            <v>7340301</v>
          </cell>
          <cell r="AX14" t="str">
            <v>Kế toán doanh nghiệp</v>
          </cell>
          <cell r="BC14" t="str">
            <v>quynhlx</v>
          </cell>
          <cell r="BD14" t="str">
            <v>Đã được tiếp nhận</v>
          </cell>
          <cell r="BE14" t="str">
            <v>Trường điều chỉnh học lực Đạt =&gt; Tốt theo học bạ của em</v>
          </cell>
          <cell r="BF14" t="str">
            <v>3</v>
          </cell>
          <cell r="BM14" t="str">
            <v>True</v>
          </cell>
          <cell r="BN14" t="str">
            <v>False</v>
          </cell>
          <cell r="BO14" t="str">
            <v>KQTHPT_12_089308016620.pdf</v>
          </cell>
          <cell r="BP14" t="str">
            <v>KQDGNL_12_089308016620.pdf</v>
          </cell>
          <cell r="BR14">
            <v>7.7</v>
          </cell>
          <cell r="BS14">
            <v>9.1999999999999993</v>
          </cell>
          <cell r="BT14">
            <v>7.6</v>
          </cell>
          <cell r="BU14">
            <v>9.1999999999999993</v>
          </cell>
          <cell r="BV14">
            <v>9.6999999999999993</v>
          </cell>
          <cell r="BW14">
            <v>8.4</v>
          </cell>
          <cell r="BX14">
            <v>8.6</v>
          </cell>
          <cell r="BY14">
            <v>0</v>
          </cell>
          <cell r="BZ14">
            <v>0</v>
          </cell>
          <cell r="CA14">
            <v>0</v>
          </cell>
          <cell r="CB14">
            <v>8.9</v>
          </cell>
          <cell r="CC14">
            <v>8.9</v>
          </cell>
          <cell r="CD14">
            <v>0</v>
          </cell>
          <cell r="CE14">
            <v>0</v>
          </cell>
          <cell r="CF14">
            <v>0</v>
          </cell>
          <cell r="CG14">
            <v>0</v>
          </cell>
          <cell r="CH14">
            <v>0</v>
          </cell>
          <cell r="CI14">
            <v>0</v>
          </cell>
          <cell r="CJ14">
            <v>0</v>
          </cell>
          <cell r="CK14">
            <v>0</v>
          </cell>
          <cell r="CL14">
            <v>0</v>
          </cell>
          <cell r="CM14">
            <v>8</v>
          </cell>
          <cell r="CN14">
            <v>7.9</v>
          </cell>
          <cell r="CO14">
            <v>7.9</v>
          </cell>
          <cell r="CP14">
            <v>9.1</v>
          </cell>
          <cell r="CQ14">
            <v>9</v>
          </cell>
          <cell r="CR14">
            <v>9</v>
          </cell>
          <cell r="CS14">
            <v>9.3000000000000007</v>
          </cell>
          <cell r="CT14">
            <v>0</v>
          </cell>
          <cell r="CU14">
            <v>0</v>
          </cell>
          <cell r="CV14">
            <v>0</v>
          </cell>
          <cell r="CW14">
            <v>8.4</v>
          </cell>
          <cell r="CX14">
            <v>8.6999999999999993</v>
          </cell>
          <cell r="CY14">
            <v>0</v>
          </cell>
          <cell r="CZ14">
            <v>0</v>
          </cell>
          <cell r="DA14">
            <v>0</v>
          </cell>
          <cell r="DB14">
            <v>0</v>
          </cell>
          <cell r="DC14">
            <v>0</v>
          </cell>
          <cell r="DD14">
            <v>0</v>
          </cell>
          <cell r="DE14">
            <v>0</v>
          </cell>
          <cell r="DF14">
            <v>0</v>
          </cell>
          <cell r="DG14">
            <v>0</v>
          </cell>
          <cell r="DH14">
            <v>6.7</v>
          </cell>
          <cell r="DI14">
            <v>8.1</v>
          </cell>
          <cell r="DJ14">
            <v>7.5</v>
          </cell>
          <cell r="DK14">
            <v>9.1</v>
          </cell>
          <cell r="DL14">
            <v>8.3000000000000007</v>
          </cell>
          <cell r="DM14">
            <v>8.6</v>
          </cell>
          <cell r="DN14">
            <v>8.6</v>
          </cell>
          <cell r="DO14">
            <v>0</v>
          </cell>
          <cell r="DP14">
            <v>0</v>
          </cell>
          <cell r="DQ14">
            <v>0</v>
          </cell>
          <cell r="DR14">
            <v>8.8000000000000007</v>
          </cell>
          <cell r="DS14">
            <v>8.3000000000000007</v>
          </cell>
          <cell r="DT14">
            <v>0</v>
          </cell>
          <cell r="DU14">
            <v>0</v>
          </cell>
          <cell r="DV14">
            <v>0</v>
          </cell>
          <cell r="DW14">
            <v>0</v>
          </cell>
          <cell r="DX14">
            <v>0</v>
          </cell>
          <cell r="DY14">
            <v>0</v>
          </cell>
          <cell r="DZ14">
            <v>0</v>
          </cell>
          <cell r="EA14">
            <v>0</v>
          </cell>
          <cell r="EB14">
            <v>0</v>
          </cell>
          <cell r="EC14">
            <v>6</v>
          </cell>
          <cell r="ED14">
            <v>7.25</v>
          </cell>
          <cell r="EE14">
            <v>3.5</v>
          </cell>
          <cell r="EI14">
            <v>6.25</v>
          </cell>
        </row>
        <row r="15">
          <cell r="A15">
            <v>332670210</v>
          </cell>
          <cell r="B15" t="str">
            <v>KSVBS2646087</v>
          </cell>
          <cell r="C15" t="str">
            <v>36</v>
          </cell>
          <cell r="D15" t="str">
            <v>TRẦN NGỌC MINH TÂM</v>
          </cell>
          <cell r="E15" t="str">
            <v>1</v>
          </cell>
          <cell r="F15" t="str">
            <v>02/01/2008</v>
          </cell>
          <cell r="G15" t="str">
            <v>tranngocminhtam412@gmail.com</v>
          </cell>
          <cell r="H15" t="str">
            <v>0332670210</v>
          </cell>
          <cell r="I15" t="str">
            <v>087308004738</v>
          </cell>
          <cell r="J15" t="str">
            <v>26 Lô A Khu Dân Cư, Tổ 9, khóm Tân Thuận</v>
          </cell>
          <cell r="K15" t="str">
            <v>KV2</v>
          </cell>
          <cell r="M15" t="str">
            <v>Không có</v>
          </cell>
          <cell r="N15" t="str">
            <v>Kinh</v>
          </cell>
          <cell r="P15" t="str">
            <v>2026</v>
          </cell>
          <cell r="Q15" t="str">
            <v>82017359</v>
          </cell>
          <cell r="R15" t="str">
            <v>Không có</v>
          </cell>
          <cell r="S15" t="str">
            <v>Không có</v>
          </cell>
          <cell r="T15" t="str">
            <v>Không có</v>
          </cell>
          <cell r="W15" t="str">
            <v>0.00</v>
          </cell>
          <cell r="X15" t="str">
            <v>172304</v>
          </cell>
          <cell r="Y15" t="str">
            <v>D26CHMJVR</v>
          </cell>
          <cell r="Z15" t="str">
            <v>568.00</v>
          </cell>
          <cell r="AA15" t="str">
            <v>Không có</v>
          </cell>
          <cell r="AF15" t="str">
            <v>87N</v>
          </cell>
          <cell r="AG15" t="str">
            <v>215</v>
          </cell>
          <cell r="AH15" t="str">
            <v>THPT Thành phố Sa Đéc</v>
          </cell>
          <cell r="AI15" t="str">
            <v>87N</v>
          </cell>
          <cell r="AJ15" t="str">
            <v>215</v>
          </cell>
          <cell r="AK15" t="str">
            <v>THPT Thành phố Sa Đéc</v>
          </cell>
          <cell r="AL15" t="str">
            <v>87N</v>
          </cell>
          <cell r="AM15" t="str">
            <v>327</v>
          </cell>
          <cell r="AN15" t="str">
            <v>THPT Sa Đéc</v>
          </cell>
          <cell r="AO15" t="str">
            <v>GDPT2018</v>
          </cell>
          <cell r="AP15" t="str">
            <v>Tốt</v>
          </cell>
          <cell r="AQ15" t="str">
            <v>0.00</v>
          </cell>
          <cell r="AR15" t="str">
            <v>8.38</v>
          </cell>
          <cell r="AS15" t="str">
            <v>8.44</v>
          </cell>
          <cell r="AT15" t="str">
            <v>8.51</v>
          </cell>
          <cell r="AU15" t="str">
            <v>True</v>
          </cell>
          <cell r="AW15" t="str">
            <v>7340201_2</v>
          </cell>
          <cell r="AX15" t="str">
            <v>Tài chính</v>
          </cell>
          <cell r="AY15" t="str">
            <v>7340201_1</v>
          </cell>
          <cell r="AZ15" t="str">
            <v>Ngân hàng</v>
          </cell>
          <cell r="BA15" t="str">
            <v>7340122</v>
          </cell>
          <cell r="BB15" t="str">
            <v>Thương mại điện tử</v>
          </cell>
          <cell r="BC15" t="str">
            <v>quynhlx</v>
          </cell>
          <cell r="BD15" t="str">
            <v>Đã được tiếp nhận</v>
          </cell>
          <cell r="BE15" t="str">
            <v xml:space="preserve">Trường điều chỉnh học lực từ Giỏi thành Tốt theo học bạ của em
</v>
          </cell>
          <cell r="BF15" t="str">
            <v>3</v>
          </cell>
          <cell r="BM15" t="str">
            <v>True</v>
          </cell>
          <cell r="BN15" t="str">
            <v>False</v>
          </cell>
          <cell r="BO15" t="str">
            <v>KQTHPT_13_087308004738.pdf</v>
          </cell>
          <cell r="BP15" t="str">
            <v>KQDGNL_13_087308004738.pdf</v>
          </cell>
          <cell r="BR15">
            <v>8.5</v>
          </cell>
          <cell r="BS15">
            <v>7.9</v>
          </cell>
          <cell r="BT15">
            <v>8</v>
          </cell>
          <cell r="BU15">
            <v>9</v>
          </cell>
          <cell r="BV15">
            <v>8.9</v>
          </cell>
          <cell r="BW15">
            <v>7.9</v>
          </cell>
          <cell r="BX15">
            <v>8.5</v>
          </cell>
          <cell r="BY15">
            <v>0</v>
          </cell>
          <cell r="BZ15">
            <v>0</v>
          </cell>
          <cell r="CA15">
            <v>0</v>
          </cell>
          <cell r="CB15">
            <v>8.6999999999999993</v>
          </cell>
          <cell r="CC15">
            <v>8</v>
          </cell>
          <cell r="CD15">
            <v>0</v>
          </cell>
          <cell r="CE15">
            <v>0</v>
          </cell>
          <cell r="CF15">
            <v>0</v>
          </cell>
          <cell r="CG15">
            <v>0</v>
          </cell>
          <cell r="CH15">
            <v>0</v>
          </cell>
          <cell r="CI15">
            <v>0</v>
          </cell>
          <cell r="CJ15">
            <v>0</v>
          </cell>
          <cell r="CK15">
            <v>0</v>
          </cell>
          <cell r="CL15">
            <v>0</v>
          </cell>
          <cell r="CM15">
            <v>8.1</v>
          </cell>
          <cell r="CN15">
            <v>8.1999999999999993</v>
          </cell>
          <cell r="CO15">
            <v>8.3000000000000007</v>
          </cell>
          <cell r="CP15">
            <v>8.6999999999999993</v>
          </cell>
          <cell r="CQ15">
            <v>8.1</v>
          </cell>
          <cell r="CR15">
            <v>8.3000000000000007</v>
          </cell>
          <cell r="CS15">
            <v>8.1999999999999993</v>
          </cell>
          <cell r="CT15">
            <v>0</v>
          </cell>
          <cell r="CU15">
            <v>0</v>
          </cell>
          <cell r="CV15">
            <v>0</v>
          </cell>
          <cell r="CW15">
            <v>9.3000000000000007</v>
          </cell>
          <cell r="CX15">
            <v>8.8000000000000007</v>
          </cell>
          <cell r="CY15">
            <v>0</v>
          </cell>
          <cell r="CZ15">
            <v>0</v>
          </cell>
          <cell r="DA15">
            <v>0</v>
          </cell>
          <cell r="DB15">
            <v>0</v>
          </cell>
          <cell r="DC15">
            <v>0</v>
          </cell>
          <cell r="DD15">
            <v>0</v>
          </cell>
          <cell r="DE15">
            <v>0</v>
          </cell>
          <cell r="DF15">
            <v>0</v>
          </cell>
          <cell r="DG15">
            <v>0</v>
          </cell>
          <cell r="DH15">
            <v>8.5</v>
          </cell>
          <cell r="DI15">
            <v>7.8</v>
          </cell>
          <cell r="DJ15">
            <v>7.9</v>
          </cell>
          <cell r="DK15">
            <v>9.1999999999999993</v>
          </cell>
          <cell r="DL15">
            <v>8.6</v>
          </cell>
          <cell r="DM15">
            <v>8.9</v>
          </cell>
          <cell r="DN15">
            <v>8.3000000000000007</v>
          </cell>
          <cell r="DO15">
            <v>0</v>
          </cell>
          <cell r="DP15">
            <v>0</v>
          </cell>
          <cell r="DQ15">
            <v>0</v>
          </cell>
          <cell r="DR15">
            <v>8.4</v>
          </cell>
          <cell r="DS15">
            <v>9</v>
          </cell>
          <cell r="DT15">
            <v>0</v>
          </cell>
          <cell r="DU15">
            <v>0</v>
          </cell>
          <cell r="DV15">
            <v>0</v>
          </cell>
          <cell r="DW15">
            <v>0</v>
          </cell>
          <cell r="DX15">
            <v>0</v>
          </cell>
          <cell r="DY15">
            <v>0</v>
          </cell>
          <cell r="DZ15">
            <v>0</v>
          </cell>
          <cell r="EA15">
            <v>0</v>
          </cell>
          <cell r="EB15">
            <v>0</v>
          </cell>
          <cell r="EC15">
            <v>5.5</v>
          </cell>
          <cell r="ED15">
            <v>6.75</v>
          </cell>
          <cell r="EE15">
            <v>3.5</v>
          </cell>
          <cell r="EI15">
            <v>5.25</v>
          </cell>
        </row>
        <row r="16">
          <cell r="A16">
            <v>943959098</v>
          </cell>
          <cell r="B16" t="str">
            <v>KSVBS2607081</v>
          </cell>
          <cell r="C16" t="str">
            <v>3</v>
          </cell>
          <cell r="D16" t="str">
            <v>VƯƠNG HOÀNG KIM YẾN</v>
          </cell>
          <cell r="E16" t="str">
            <v>1</v>
          </cell>
          <cell r="F16" t="str">
            <v>29/10/2008</v>
          </cell>
          <cell r="G16" t="str">
            <v>yenvhk208221@gmail.com</v>
          </cell>
          <cell r="H16" t="str">
            <v>0943959098</v>
          </cell>
          <cell r="I16" t="str">
            <v>091308007131</v>
          </cell>
          <cell r="J16" t="str">
            <v>1104 Mạc Cửu, Khu phố Nguyễn Thái Bình, Phường Rạch Giá, Tỉnh An Giang</v>
          </cell>
          <cell r="K16" t="str">
            <v>KV2</v>
          </cell>
          <cell r="M16" t="str">
            <v>Không có</v>
          </cell>
          <cell r="N16" t="str">
            <v>Kinh</v>
          </cell>
          <cell r="P16" t="str">
            <v>2026</v>
          </cell>
          <cell r="Q16" t="str">
            <v>91029508</v>
          </cell>
          <cell r="R16" t="str">
            <v>Không có</v>
          </cell>
          <cell r="S16" t="str">
            <v>Không có</v>
          </cell>
          <cell r="T16" t="str">
            <v>Không có</v>
          </cell>
          <cell r="AA16" t="str">
            <v>Không có</v>
          </cell>
          <cell r="AF16" t="str">
            <v>89N</v>
          </cell>
          <cell r="AG16" t="str">
            <v>207</v>
          </cell>
          <cell r="AH16" t="str">
            <v>Trường THPT Nguyễn Trung Trực 1 (trước 29/01/2026)</v>
          </cell>
          <cell r="AI16" t="str">
            <v>89N</v>
          </cell>
          <cell r="AJ16" t="str">
            <v>207</v>
          </cell>
          <cell r="AK16" t="str">
            <v>Trường THPT Nguyễn Trung Trực 1 (trước 29/01/2026)</v>
          </cell>
          <cell r="AL16" t="str">
            <v>89N</v>
          </cell>
          <cell r="AM16" t="str">
            <v>016</v>
          </cell>
          <cell r="AN16" t="str">
            <v>Trường THPT Nguyễn Trung Trực 1</v>
          </cell>
          <cell r="AO16" t="str">
            <v>GDPT2018</v>
          </cell>
          <cell r="AP16" t="str">
            <v>Khá</v>
          </cell>
          <cell r="AQ16" t="str">
            <v>7.59</v>
          </cell>
          <cell r="AR16" t="str">
            <v>7.21</v>
          </cell>
          <cell r="AS16" t="str">
            <v>7.78</v>
          </cell>
          <cell r="AT16" t="str">
            <v>7.59</v>
          </cell>
          <cell r="AU16" t="str">
            <v>False</v>
          </cell>
          <cell r="AW16" t="str">
            <v>7480201</v>
          </cell>
          <cell r="AX16" t="str">
            <v>Công nghệ và đổi mới sáng tạo</v>
          </cell>
          <cell r="BC16" t="str">
            <v>quynhlx</v>
          </cell>
          <cell r="BD16" t="str">
            <v>Đã được tiếp nhận</v>
          </cell>
          <cell r="BF16" t="str">
            <v>3</v>
          </cell>
          <cell r="BM16" t="str">
            <v>True</v>
          </cell>
          <cell r="BN16" t="str">
            <v>True</v>
          </cell>
          <cell r="BO16" t="str">
            <v>KQTHPT_14_091308007131.pdf</v>
          </cell>
          <cell r="BQ16" t="str">
            <v>KQVSAT_14_091308007131.pdf</v>
          </cell>
          <cell r="BR16">
            <v>6.1</v>
          </cell>
          <cell r="BS16">
            <v>8.1</v>
          </cell>
          <cell r="BT16">
            <v>5.9</v>
          </cell>
          <cell r="BU16">
            <v>8.1</v>
          </cell>
          <cell r="BV16">
            <v>8</v>
          </cell>
          <cell r="BW16">
            <v>7.3</v>
          </cell>
          <cell r="BX16">
            <v>7.7</v>
          </cell>
          <cell r="BY16">
            <v>0</v>
          </cell>
          <cell r="BZ16">
            <v>0</v>
          </cell>
          <cell r="CA16">
            <v>0</v>
          </cell>
          <cell r="CB16">
            <v>0</v>
          </cell>
          <cell r="CC16">
            <v>6.5</v>
          </cell>
          <cell r="CD16">
            <v>0</v>
          </cell>
          <cell r="CE16">
            <v>0</v>
          </cell>
          <cell r="CF16">
            <v>0</v>
          </cell>
          <cell r="CG16">
            <v>0</v>
          </cell>
          <cell r="CH16">
            <v>0</v>
          </cell>
          <cell r="CI16">
            <v>0</v>
          </cell>
          <cell r="CJ16">
            <v>0</v>
          </cell>
          <cell r="CK16">
            <v>0</v>
          </cell>
          <cell r="CL16">
            <v>0</v>
          </cell>
          <cell r="CM16">
            <v>6</v>
          </cell>
          <cell r="CN16">
            <v>7.9</v>
          </cell>
          <cell r="CO16">
            <v>6.8</v>
          </cell>
          <cell r="CP16">
            <v>9.1</v>
          </cell>
          <cell r="CQ16">
            <v>7.5</v>
          </cell>
          <cell r="CR16">
            <v>8.4</v>
          </cell>
          <cell r="CS16">
            <v>8.1</v>
          </cell>
          <cell r="CT16">
            <v>0</v>
          </cell>
          <cell r="CU16">
            <v>0</v>
          </cell>
          <cell r="CV16">
            <v>0</v>
          </cell>
          <cell r="CW16">
            <v>0</v>
          </cell>
          <cell r="CX16">
            <v>8.4</v>
          </cell>
          <cell r="CY16">
            <v>0</v>
          </cell>
          <cell r="CZ16">
            <v>0</v>
          </cell>
          <cell r="DA16">
            <v>0</v>
          </cell>
          <cell r="DB16">
            <v>0</v>
          </cell>
          <cell r="DC16">
            <v>0</v>
          </cell>
          <cell r="DD16">
            <v>0</v>
          </cell>
          <cell r="DE16">
            <v>0</v>
          </cell>
          <cell r="DF16">
            <v>0</v>
          </cell>
          <cell r="DG16">
            <v>0</v>
          </cell>
          <cell r="DH16">
            <v>6.2</v>
          </cell>
          <cell r="DI16">
            <v>8</v>
          </cell>
          <cell r="DJ16">
            <v>6.7</v>
          </cell>
          <cell r="DK16">
            <v>7.8</v>
          </cell>
          <cell r="DL16">
            <v>7.3</v>
          </cell>
          <cell r="DM16">
            <v>8.6</v>
          </cell>
          <cell r="DN16">
            <v>8.3000000000000007</v>
          </cell>
          <cell r="DO16">
            <v>0</v>
          </cell>
          <cell r="DP16">
            <v>0</v>
          </cell>
          <cell r="DQ16">
            <v>0</v>
          </cell>
          <cell r="DR16">
            <v>0</v>
          </cell>
          <cell r="DS16">
            <v>7.8</v>
          </cell>
          <cell r="DT16">
            <v>0</v>
          </cell>
          <cell r="DU16">
            <v>0</v>
          </cell>
          <cell r="DV16">
            <v>0</v>
          </cell>
          <cell r="DW16">
            <v>0</v>
          </cell>
          <cell r="DX16">
            <v>0</v>
          </cell>
          <cell r="DY16">
            <v>0</v>
          </cell>
          <cell r="DZ16">
            <v>0</v>
          </cell>
          <cell r="EA16">
            <v>0</v>
          </cell>
          <cell r="EB16">
            <v>0</v>
          </cell>
          <cell r="EC16">
            <v>4.5</v>
          </cell>
          <cell r="ED16">
            <v>6.75</v>
          </cell>
          <cell r="EH16">
            <v>6.75</v>
          </cell>
          <cell r="EI16">
            <v>4.8499999999999996</v>
          </cell>
          <cell r="EW16">
            <v>46.5</v>
          </cell>
          <cell r="EX16">
            <v>114</v>
          </cell>
          <cell r="EY16">
            <v>60.5</v>
          </cell>
          <cell r="EZ16">
            <v>67</v>
          </cell>
          <cell r="FA16">
            <v>74.5</v>
          </cell>
        </row>
        <row r="17">
          <cell r="A17">
            <v>783615145</v>
          </cell>
          <cell r="B17" t="str">
            <v>KSVBS2608556</v>
          </cell>
          <cell r="C17" t="str">
            <v>5</v>
          </cell>
          <cell r="D17" t="str">
            <v>LÊ NGỌC THIỆN</v>
          </cell>
          <cell r="E17" t="str">
            <v>0</v>
          </cell>
          <cell r="F17" t="str">
            <v>29/12/2008</v>
          </cell>
          <cell r="G17" t="str">
            <v>thienle.31261570410@st.ueh.edu.vn</v>
          </cell>
          <cell r="H17" t="str">
            <v>0783615145</v>
          </cell>
          <cell r="I17" t="str">
            <v>068208012324</v>
          </cell>
          <cell r="J17" t="str">
            <v xml:space="preserve">Thôn 2 Xã Cát Tiên 3 Tỉnh Lâm Đồng </v>
          </cell>
          <cell r="K17" t="str">
            <v>KV2-NT</v>
          </cell>
          <cell r="M17" t="str">
            <v>Không có</v>
          </cell>
          <cell r="N17" t="str">
            <v>Kinh</v>
          </cell>
          <cell r="P17" t="str">
            <v>2026</v>
          </cell>
          <cell r="Q17" t="str">
            <v>68017988</v>
          </cell>
          <cell r="R17" t="str">
            <v>Không có</v>
          </cell>
          <cell r="S17" t="str">
            <v>Không có</v>
          </cell>
          <cell r="T17" t="str">
            <v>Không có</v>
          </cell>
          <cell r="AA17" t="str">
            <v>Không có</v>
          </cell>
          <cell r="AF17" t="str">
            <v>68N</v>
          </cell>
          <cell r="AG17" t="str">
            <v>018</v>
          </cell>
          <cell r="AH17" t="str">
            <v>THPT Gia Viễn</v>
          </cell>
          <cell r="AI17" t="str">
            <v>68N</v>
          </cell>
          <cell r="AJ17" t="str">
            <v>018</v>
          </cell>
          <cell r="AK17" t="str">
            <v>THPT Gia Viễn</v>
          </cell>
          <cell r="AL17" t="str">
            <v>68N</v>
          </cell>
          <cell r="AM17" t="str">
            <v>018</v>
          </cell>
          <cell r="AN17" t="str">
            <v>THPT Gia Viễn</v>
          </cell>
          <cell r="AO17" t="str">
            <v>GDPT2018</v>
          </cell>
          <cell r="AP17" t="str">
            <v>Đạt</v>
          </cell>
          <cell r="AQ17" t="str">
            <v>7.41</v>
          </cell>
          <cell r="AR17" t="str">
            <v>7.24</v>
          </cell>
          <cell r="AS17" t="str">
            <v>7.02</v>
          </cell>
          <cell r="AT17" t="str">
            <v>7.41</v>
          </cell>
          <cell r="AU17" t="str">
            <v>False</v>
          </cell>
          <cell r="AW17" t="str">
            <v>7480201</v>
          </cell>
          <cell r="AX17" t="str">
            <v>Công nghệ và đổi mới sáng tạo</v>
          </cell>
          <cell r="AY17" t="str">
            <v>7480107</v>
          </cell>
          <cell r="AZ17" t="str">
            <v>Robot và Trí tuệ nhân tạo (hệ kỹ sư)</v>
          </cell>
          <cell r="BC17" t="str">
            <v>quynhlx</v>
          </cell>
          <cell r="BD17" t="str">
            <v>Đã được tiếp nhận</v>
          </cell>
          <cell r="BF17" t="str">
            <v>3</v>
          </cell>
          <cell r="BM17" t="str">
            <v>True</v>
          </cell>
          <cell r="BN17" t="str">
            <v>False</v>
          </cell>
          <cell r="BO17" t="str">
            <v>KQTHPT_15_068208012324.pdf</v>
          </cell>
          <cell r="BR17">
            <v>8.3000000000000007</v>
          </cell>
          <cell r="BS17">
            <v>6.7</v>
          </cell>
          <cell r="BT17">
            <v>4.9000000000000004</v>
          </cell>
          <cell r="BU17">
            <v>7.7</v>
          </cell>
          <cell r="BV17">
            <v>7.1</v>
          </cell>
          <cell r="BW17">
            <v>0</v>
          </cell>
          <cell r="BX17">
            <v>7.4</v>
          </cell>
          <cell r="BY17">
            <v>9.3000000000000007</v>
          </cell>
          <cell r="BZ17">
            <v>7.9</v>
          </cell>
          <cell r="CA17">
            <v>0</v>
          </cell>
          <cell r="CB17">
            <v>0</v>
          </cell>
          <cell r="CC17">
            <v>5.9</v>
          </cell>
          <cell r="CD17">
            <v>0</v>
          </cell>
          <cell r="CE17">
            <v>0</v>
          </cell>
          <cell r="CF17">
            <v>0</v>
          </cell>
          <cell r="CG17">
            <v>0</v>
          </cell>
          <cell r="CH17">
            <v>0</v>
          </cell>
          <cell r="CI17">
            <v>0</v>
          </cell>
          <cell r="CJ17">
            <v>0</v>
          </cell>
          <cell r="CK17">
            <v>0</v>
          </cell>
          <cell r="CL17">
            <v>0</v>
          </cell>
          <cell r="CM17">
            <v>8.8000000000000007</v>
          </cell>
          <cell r="CN17">
            <v>5.8</v>
          </cell>
          <cell r="CO17">
            <v>4.8</v>
          </cell>
          <cell r="CP17">
            <v>7.1</v>
          </cell>
          <cell r="CQ17">
            <v>6.9</v>
          </cell>
          <cell r="CR17">
            <v>0</v>
          </cell>
          <cell r="CS17">
            <v>6.6</v>
          </cell>
          <cell r="CT17">
            <v>9.1</v>
          </cell>
          <cell r="CU17">
            <v>7.7</v>
          </cell>
          <cell r="CV17">
            <v>0</v>
          </cell>
          <cell r="CW17">
            <v>0</v>
          </cell>
          <cell r="CX17">
            <v>6.4</v>
          </cell>
          <cell r="CY17">
            <v>0</v>
          </cell>
          <cell r="CZ17">
            <v>0</v>
          </cell>
          <cell r="DA17">
            <v>0</v>
          </cell>
          <cell r="DB17">
            <v>0</v>
          </cell>
          <cell r="DC17">
            <v>0</v>
          </cell>
          <cell r="DD17">
            <v>0</v>
          </cell>
          <cell r="DE17">
            <v>0</v>
          </cell>
          <cell r="DF17">
            <v>0</v>
          </cell>
          <cell r="DG17">
            <v>0</v>
          </cell>
          <cell r="DH17">
            <v>8.8000000000000007</v>
          </cell>
          <cell r="DI17">
            <v>6</v>
          </cell>
          <cell r="DJ17">
            <v>6.1</v>
          </cell>
          <cell r="DK17">
            <v>7.4</v>
          </cell>
          <cell r="DL17">
            <v>6.1</v>
          </cell>
          <cell r="DM17">
            <v>0</v>
          </cell>
          <cell r="DN17">
            <v>7.5</v>
          </cell>
          <cell r="DO17">
            <v>9.1999999999999993</v>
          </cell>
          <cell r="DP17">
            <v>8.6999999999999993</v>
          </cell>
          <cell r="DQ17">
            <v>0</v>
          </cell>
          <cell r="DR17">
            <v>0</v>
          </cell>
          <cell r="DS17">
            <v>6.9</v>
          </cell>
          <cell r="DT17">
            <v>0</v>
          </cell>
          <cell r="DU17">
            <v>0</v>
          </cell>
          <cell r="DV17">
            <v>0</v>
          </cell>
          <cell r="DW17">
            <v>0</v>
          </cell>
          <cell r="DX17">
            <v>0</v>
          </cell>
          <cell r="DY17">
            <v>0</v>
          </cell>
          <cell r="DZ17">
            <v>0</v>
          </cell>
          <cell r="EA17">
            <v>0</v>
          </cell>
          <cell r="EB17">
            <v>0</v>
          </cell>
          <cell r="EC17">
            <v>7</v>
          </cell>
          <cell r="ED17">
            <v>5.75</v>
          </cell>
          <cell r="EJ17">
            <v>5.5</v>
          </cell>
          <cell r="EK17">
            <v>5.75</v>
          </cell>
        </row>
        <row r="18">
          <cell r="A18">
            <v>837843160</v>
          </cell>
          <cell r="B18" t="str">
            <v>KSVBS2612737</v>
          </cell>
          <cell r="C18" t="str">
            <v>7</v>
          </cell>
          <cell r="D18" t="str">
            <v>NGUYỄN THỤY THẢO MY</v>
          </cell>
          <cell r="E18" t="str">
            <v>1</v>
          </cell>
          <cell r="F18" t="str">
            <v>31/08/2008</v>
          </cell>
          <cell r="G18" t="str">
            <v>wiburetien@gmail.com</v>
          </cell>
          <cell r="H18" t="str">
            <v>0837843160</v>
          </cell>
          <cell r="I18" t="str">
            <v>080308005311</v>
          </cell>
          <cell r="J18" t="str">
            <v>369/7A quốc lộ 1 khu phố bình yên đông 3 phường Long An tỉnh Tây Ninh</v>
          </cell>
          <cell r="K18" t="str">
            <v>KV2</v>
          </cell>
          <cell r="M18" t="str">
            <v>Không có</v>
          </cell>
          <cell r="N18" t="str">
            <v>Kinh</v>
          </cell>
          <cell r="P18" t="str">
            <v>2026</v>
          </cell>
          <cell r="Q18" t="str">
            <v>80002943</v>
          </cell>
          <cell r="R18" t="str">
            <v>Không có</v>
          </cell>
          <cell r="S18" t="str">
            <v>Không có</v>
          </cell>
          <cell r="T18" t="str">
            <v>Không có</v>
          </cell>
          <cell r="W18" t="str">
            <v>0.00</v>
          </cell>
          <cell r="X18" t="str">
            <v>570711</v>
          </cell>
          <cell r="Y18" t="str">
            <v>D26585679</v>
          </cell>
          <cell r="Z18" t="str">
            <v>762.00</v>
          </cell>
          <cell r="AA18" t="str">
            <v>Không có</v>
          </cell>
          <cell r="AF18" t="str">
            <v>72N</v>
          </cell>
          <cell r="AG18" t="str">
            <v>213</v>
          </cell>
          <cell r="AH18" t="str">
            <v>THPT Lê Quý Đôn - Long An</v>
          </cell>
          <cell r="AI18" t="str">
            <v>72N</v>
          </cell>
          <cell r="AJ18" t="str">
            <v>213</v>
          </cell>
          <cell r="AK18" t="str">
            <v>THPT Lê Quý Đôn - Long An</v>
          </cell>
          <cell r="AL18" t="str">
            <v>72N</v>
          </cell>
          <cell r="AM18" t="str">
            <v>213</v>
          </cell>
          <cell r="AN18" t="str">
            <v>THPT Lê Quý Đôn - Long An</v>
          </cell>
          <cell r="AO18" t="str">
            <v>GDPT2018</v>
          </cell>
          <cell r="AP18" t="str">
            <v>Tốt</v>
          </cell>
          <cell r="AQ18" t="str">
            <v>8.60</v>
          </cell>
          <cell r="AR18" t="str">
            <v>8.64</v>
          </cell>
          <cell r="AS18" t="str">
            <v>8.57</v>
          </cell>
          <cell r="AT18" t="str">
            <v>8.59</v>
          </cell>
          <cell r="AU18" t="str">
            <v>True</v>
          </cell>
          <cell r="AW18" t="str">
            <v>7480107</v>
          </cell>
          <cell r="AX18" t="str">
            <v>Robot và Trí tuệ nhân tạo (hệ kỹ sư)</v>
          </cell>
          <cell r="AY18" t="str">
            <v>7480201</v>
          </cell>
          <cell r="AZ18" t="str">
            <v>Công nghệ và đổi mới sáng tạo</v>
          </cell>
          <cell r="BA18" t="str">
            <v>7220201</v>
          </cell>
          <cell r="BB18" t="str">
            <v>Tiếng Anh thương mại</v>
          </cell>
          <cell r="BC18" t="str">
            <v>quynhlx</v>
          </cell>
          <cell r="BD18" t="str">
            <v>Đã được tiếp nhận</v>
          </cell>
          <cell r="BF18" t="str">
            <v>3</v>
          </cell>
          <cell r="BM18" t="str">
            <v>True</v>
          </cell>
          <cell r="BN18" t="str">
            <v>False</v>
          </cell>
          <cell r="BO18" t="str">
            <v>KQTHPT_16_080308005311.pdf</v>
          </cell>
          <cell r="BP18" t="str">
            <v>KQDGNL_16_080308005311.pdf</v>
          </cell>
          <cell r="BR18">
            <v>8</v>
          </cell>
          <cell r="BS18">
            <v>7.8</v>
          </cell>
          <cell r="BT18">
            <v>8.1</v>
          </cell>
          <cell r="BU18">
            <v>9.3000000000000007</v>
          </cell>
          <cell r="BV18">
            <v>9.1999999999999993</v>
          </cell>
          <cell r="BW18">
            <v>0</v>
          </cell>
          <cell r="BX18">
            <v>0</v>
          </cell>
          <cell r="BY18">
            <v>8.6999999999999993</v>
          </cell>
          <cell r="BZ18">
            <v>7.8</v>
          </cell>
          <cell r="CA18">
            <v>0</v>
          </cell>
          <cell r="CB18">
            <v>9.4</v>
          </cell>
          <cell r="CC18">
            <v>9.5</v>
          </cell>
          <cell r="CD18">
            <v>0</v>
          </cell>
          <cell r="CE18">
            <v>0</v>
          </cell>
          <cell r="CF18">
            <v>0</v>
          </cell>
          <cell r="CG18">
            <v>0</v>
          </cell>
          <cell r="CH18">
            <v>0</v>
          </cell>
          <cell r="CI18">
            <v>0</v>
          </cell>
          <cell r="CJ18">
            <v>0</v>
          </cell>
          <cell r="CK18">
            <v>0</v>
          </cell>
          <cell r="CL18">
            <v>0</v>
          </cell>
          <cell r="CM18">
            <v>8.3000000000000007</v>
          </cell>
          <cell r="CN18">
            <v>7.2</v>
          </cell>
          <cell r="CO18">
            <v>8.3000000000000007</v>
          </cell>
          <cell r="CP18">
            <v>8.8000000000000007</v>
          </cell>
          <cell r="CQ18">
            <v>9.1999999999999993</v>
          </cell>
          <cell r="CR18">
            <v>0</v>
          </cell>
          <cell r="CS18">
            <v>0</v>
          </cell>
          <cell r="CT18">
            <v>9.1</v>
          </cell>
          <cell r="CU18">
            <v>7.3</v>
          </cell>
          <cell r="CV18">
            <v>0</v>
          </cell>
          <cell r="CW18">
            <v>9.3000000000000007</v>
          </cell>
          <cell r="CX18">
            <v>9.6</v>
          </cell>
          <cell r="CY18">
            <v>0</v>
          </cell>
          <cell r="CZ18">
            <v>0</v>
          </cell>
          <cell r="DA18">
            <v>0</v>
          </cell>
          <cell r="DB18">
            <v>0</v>
          </cell>
          <cell r="DC18">
            <v>0</v>
          </cell>
          <cell r="DD18">
            <v>0</v>
          </cell>
          <cell r="DE18">
            <v>0</v>
          </cell>
          <cell r="DF18">
            <v>0</v>
          </cell>
          <cell r="DG18">
            <v>0</v>
          </cell>
          <cell r="DH18">
            <v>8.1999999999999993</v>
          </cell>
          <cell r="DI18">
            <v>8</v>
          </cell>
          <cell r="DJ18">
            <v>8.3000000000000007</v>
          </cell>
          <cell r="DK18">
            <v>8.9</v>
          </cell>
          <cell r="DL18">
            <v>8.9</v>
          </cell>
          <cell r="DM18">
            <v>0</v>
          </cell>
          <cell r="DN18">
            <v>0</v>
          </cell>
          <cell r="DO18">
            <v>8.6999999999999993</v>
          </cell>
          <cell r="DP18">
            <v>7.2</v>
          </cell>
          <cell r="DQ18">
            <v>0</v>
          </cell>
          <cell r="DR18">
            <v>9.3000000000000007</v>
          </cell>
          <cell r="DS18">
            <v>9.8000000000000007</v>
          </cell>
          <cell r="DT18">
            <v>0</v>
          </cell>
          <cell r="DU18">
            <v>0</v>
          </cell>
          <cell r="DV18">
            <v>0</v>
          </cell>
          <cell r="DW18">
            <v>0</v>
          </cell>
          <cell r="DX18">
            <v>0</v>
          </cell>
          <cell r="DY18">
            <v>0</v>
          </cell>
          <cell r="DZ18">
            <v>0</v>
          </cell>
          <cell r="EA18">
            <v>0</v>
          </cell>
          <cell r="EB18">
            <v>0</v>
          </cell>
          <cell r="EC18">
            <v>6.75</v>
          </cell>
          <cell r="ED18">
            <v>6.75</v>
          </cell>
          <cell r="EE18">
            <v>5.75</v>
          </cell>
          <cell r="EJ18">
            <v>6.75</v>
          </cell>
        </row>
        <row r="19">
          <cell r="A19">
            <v>705796418</v>
          </cell>
          <cell r="D19" t="str">
            <v>NGUYỄN LAN PHƯƠNG</v>
          </cell>
          <cell r="E19" t="str">
            <v>1</v>
          </cell>
          <cell r="F19" t="str">
            <v>25/10/2008</v>
          </cell>
          <cell r="G19" t="str">
            <v>lphuong25102008@gmail.com</v>
          </cell>
          <cell r="H19" t="str">
            <v>0705796418</v>
          </cell>
          <cell r="I19" t="str">
            <v>034309005716</v>
          </cell>
          <cell r="J19" t="str">
            <v>số nhà 40, ngõ 2, Bùi Viện</v>
          </cell>
          <cell r="K19" t="str">
            <v>KV3</v>
          </cell>
          <cell r="M19" t="str">
            <v>Không có</v>
          </cell>
          <cell r="N19" t="str">
            <v>Kinh</v>
          </cell>
          <cell r="P19" t="str">
            <v>2026</v>
          </cell>
          <cell r="Q19" t="str">
            <v>31021165</v>
          </cell>
          <cell r="R19" t="str">
            <v>Không có</v>
          </cell>
          <cell r="S19" t="str">
            <v>Không có</v>
          </cell>
          <cell r="T19" t="str">
            <v>Không có</v>
          </cell>
          <cell r="U19" t="str">
            <v>271601</v>
          </cell>
          <cell r="V19" t="str">
            <v>D26150416</v>
          </cell>
          <cell r="W19" t="str">
            <v>752.00</v>
          </cell>
          <cell r="X19" t="str">
            <v>350384</v>
          </cell>
          <cell r="Y19" t="str">
            <v>D26893247</v>
          </cell>
          <cell r="Z19" t="str">
            <v>761.00</v>
          </cell>
          <cell r="AA19" t="str">
            <v>IELTS</v>
          </cell>
          <cell r="AB19" t="str">
            <v>31/05/2026</v>
          </cell>
          <cell r="AC19" t="str">
            <v>5.5</v>
          </cell>
          <cell r="AD19" t="str">
            <v>26VN515806NGUL104A</v>
          </cell>
          <cell r="AF19" t="str">
            <v>31N</v>
          </cell>
          <cell r="AG19" t="str">
            <v>318</v>
          </cell>
          <cell r="AH19" t="str">
            <v>THPT Lê Quý Đôn</v>
          </cell>
          <cell r="AI19" t="str">
            <v>31N</v>
          </cell>
          <cell r="AJ19" t="str">
            <v>318</v>
          </cell>
          <cell r="AK19" t="str">
            <v>THPT Lê Quý Đôn</v>
          </cell>
          <cell r="AL19" t="str">
            <v>31N</v>
          </cell>
          <cell r="AM19" t="str">
            <v>318</v>
          </cell>
          <cell r="AN19" t="str">
            <v>THPT Lê Quý Đôn</v>
          </cell>
          <cell r="AO19" t="str">
            <v>GDPT2018</v>
          </cell>
          <cell r="AP19" t="str">
            <v>Giỏi</v>
          </cell>
          <cell r="AQ19" t="str">
            <v>7.06</v>
          </cell>
          <cell r="AR19" t="str">
            <v>8.68</v>
          </cell>
          <cell r="AS19" t="str">
            <v>8.11</v>
          </cell>
          <cell r="AT19" t="str">
            <v>8.93</v>
          </cell>
          <cell r="AU19" t="str">
            <v>True</v>
          </cell>
          <cell r="AW19" t="str">
            <v>7340122</v>
          </cell>
          <cell r="AX19" t="str">
            <v>Thương mại điện tử</v>
          </cell>
          <cell r="AY19" t="str">
            <v>7810201</v>
          </cell>
          <cell r="AZ19" t="str">
            <v>Quản trị khách sạn</v>
          </cell>
          <cell r="BA19" t="str">
            <v>7340201_3</v>
          </cell>
          <cell r="BB19" t="str">
            <v>Thuế</v>
          </cell>
          <cell r="BD19" t="str">
            <v>Chưa hoàn thành</v>
          </cell>
          <cell r="BF19" t="str">
            <v>3</v>
          </cell>
          <cell r="BM19" t="str">
            <v>True</v>
          </cell>
          <cell r="BN19" t="str">
            <v>False</v>
          </cell>
          <cell r="BR19">
            <v>8.5</v>
          </cell>
          <cell r="BS19">
            <v>7.2</v>
          </cell>
          <cell r="BT19">
            <v>8.6999999999999993</v>
          </cell>
          <cell r="BU19">
            <v>9.4</v>
          </cell>
          <cell r="BV19">
            <v>8.6999999999999993</v>
          </cell>
          <cell r="BW19">
            <v>0</v>
          </cell>
          <cell r="BX19">
            <v>0</v>
          </cell>
          <cell r="BY19">
            <v>8.9</v>
          </cell>
          <cell r="BZ19">
            <v>8.6</v>
          </cell>
          <cell r="CA19">
            <v>8.6999999999999993</v>
          </cell>
          <cell r="CB19">
            <v>9.4</v>
          </cell>
          <cell r="CC19">
            <v>0</v>
          </cell>
          <cell r="CD19">
            <v>0</v>
          </cell>
          <cell r="CE19">
            <v>0</v>
          </cell>
          <cell r="CF19">
            <v>0</v>
          </cell>
          <cell r="CG19">
            <v>0</v>
          </cell>
          <cell r="CH19">
            <v>0</v>
          </cell>
          <cell r="CI19">
            <v>0</v>
          </cell>
          <cell r="CJ19">
            <v>0</v>
          </cell>
          <cell r="CK19">
            <v>0</v>
          </cell>
          <cell r="CL19">
            <v>0</v>
          </cell>
          <cell r="CM19">
            <v>7.4</v>
          </cell>
          <cell r="CN19">
            <v>7.5</v>
          </cell>
          <cell r="CO19">
            <v>8.5</v>
          </cell>
          <cell r="CP19">
            <v>9.4</v>
          </cell>
          <cell r="CQ19">
            <v>8.5</v>
          </cell>
          <cell r="CR19">
            <v>0</v>
          </cell>
          <cell r="CS19">
            <v>0</v>
          </cell>
          <cell r="CT19">
            <v>7.9</v>
          </cell>
          <cell r="CU19">
            <v>7.4</v>
          </cell>
          <cell r="CV19">
            <v>7.6</v>
          </cell>
          <cell r="CW19">
            <v>8.8000000000000007</v>
          </cell>
          <cell r="CX19">
            <v>0</v>
          </cell>
          <cell r="CY19">
            <v>0</v>
          </cell>
          <cell r="CZ19">
            <v>0</v>
          </cell>
          <cell r="DA19">
            <v>0</v>
          </cell>
          <cell r="DB19">
            <v>0</v>
          </cell>
          <cell r="DC19">
            <v>0</v>
          </cell>
          <cell r="DD19">
            <v>0</v>
          </cell>
          <cell r="DE19">
            <v>0</v>
          </cell>
          <cell r="DF19">
            <v>0</v>
          </cell>
          <cell r="DG19">
            <v>0</v>
          </cell>
          <cell r="DH19">
            <v>8.8000000000000007</v>
          </cell>
          <cell r="DI19">
            <v>7.5</v>
          </cell>
          <cell r="DJ19">
            <v>9.3000000000000007</v>
          </cell>
          <cell r="DK19">
            <v>9.6</v>
          </cell>
          <cell r="DL19">
            <v>9.4</v>
          </cell>
          <cell r="DM19">
            <v>0</v>
          </cell>
          <cell r="DN19">
            <v>0</v>
          </cell>
          <cell r="DO19">
            <v>8.9</v>
          </cell>
          <cell r="DP19">
            <v>8.8000000000000007</v>
          </cell>
          <cell r="DQ19">
            <v>8.5</v>
          </cell>
          <cell r="DR19">
            <v>9.6</v>
          </cell>
          <cell r="DS19">
            <v>0</v>
          </cell>
          <cell r="DT19">
            <v>0</v>
          </cell>
          <cell r="DU19">
            <v>0</v>
          </cell>
          <cell r="DV19">
            <v>0</v>
          </cell>
          <cell r="DW19">
            <v>0</v>
          </cell>
          <cell r="DX19">
            <v>0</v>
          </cell>
          <cell r="DY19">
            <v>0</v>
          </cell>
          <cell r="DZ19">
            <v>0</v>
          </cell>
          <cell r="EA19">
            <v>0</v>
          </cell>
          <cell r="EB19">
            <v>0</v>
          </cell>
          <cell r="EC19">
            <v>5.75</v>
          </cell>
          <cell r="ED19">
            <v>7.5</v>
          </cell>
          <cell r="EE19">
            <v>3.25</v>
          </cell>
          <cell r="EJ19">
            <v>5.5</v>
          </cell>
        </row>
        <row r="20">
          <cell r="A20">
            <v>0</v>
          </cell>
          <cell r="D20" t="str">
            <v>CAO THUỲ VÂN</v>
          </cell>
          <cell r="E20" t="str">
            <v>0</v>
          </cell>
          <cell r="F20" t="str">
            <v>25/09/2008</v>
          </cell>
          <cell r="G20" t="str">
            <v>thuyvan25092008@gmail.com</v>
          </cell>
          <cell r="I20" t="str">
            <v>042308003240</v>
          </cell>
          <cell r="AR20" t="str">
            <v>7.85</v>
          </cell>
          <cell r="AS20" t="str">
            <v>7.63</v>
          </cell>
          <cell r="AT20" t="str">
            <v>7.91</v>
          </cell>
          <cell r="BD20" t="str">
            <v>Chưa hoàn thành</v>
          </cell>
          <cell r="BF20" t="str">
            <v>3</v>
          </cell>
          <cell r="BR20">
            <v>7</v>
          </cell>
          <cell r="BS20">
            <v>7.2</v>
          </cell>
          <cell r="BT20">
            <v>9</v>
          </cell>
          <cell r="BU20">
            <v>8.6999999999999993</v>
          </cell>
          <cell r="BV20">
            <v>8.4</v>
          </cell>
          <cell r="BW20">
            <v>0</v>
          </cell>
          <cell r="BX20">
            <v>7.9</v>
          </cell>
          <cell r="BY20">
            <v>7.4</v>
          </cell>
          <cell r="BZ20">
            <v>7.1</v>
          </cell>
          <cell r="CA20">
            <v>6.7</v>
          </cell>
          <cell r="CB20">
            <v>8.9</v>
          </cell>
          <cell r="CC20">
            <v>7.3</v>
          </cell>
          <cell r="CD20">
            <v>0</v>
          </cell>
          <cell r="CE20">
            <v>8.6</v>
          </cell>
          <cell r="CF20">
            <v>0</v>
          </cell>
          <cell r="CG20">
            <v>0</v>
          </cell>
          <cell r="CH20">
            <v>0</v>
          </cell>
          <cell r="CI20">
            <v>0</v>
          </cell>
          <cell r="CJ20">
            <v>0</v>
          </cell>
          <cell r="CK20">
            <v>0</v>
          </cell>
          <cell r="CL20">
            <v>0</v>
          </cell>
          <cell r="CM20">
            <v>7.4</v>
          </cell>
          <cell r="CN20">
            <v>6.9</v>
          </cell>
          <cell r="CO20">
            <v>8.8000000000000007</v>
          </cell>
          <cell r="CP20">
            <v>9</v>
          </cell>
          <cell r="CQ20">
            <v>7.5</v>
          </cell>
          <cell r="CR20">
            <v>0</v>
          </cell>
          <cell r="CS20">
            <v>8.1999999999999993</v>
          </cell>
          <cell r="CT20">
            <v>7</v>
          </cell>
          <cell r="CU20">
            <v>7.3</v>
          </cell>
          <cell r="CV20">
            <v>7.2</v>
          </cell>
          <cell r="CW20">
            <v>7.6</v>
          </cell>
          <cell r="CX20">
            <v>6.6</v>
          </cell>
          <cell r="CY20">
            <v>0</v>
          </cell>
          <cell r="CZ20">
            <v>8</v>
          </cell>
          <cell r="DA20">
            <v>0</v>
          </cell>
          <cell r="DB20">
            <v>0</v>
          </cell>
          <cell r="DC20">
            <v>0</v>
          </cell>
          <cell r="DD20">
            <v>0</v>
          </cell>
          <cell r="DE20">
            <v>0</v>
          </cell>
          <cell r="DF20">
            <v>0</v>
          </cell>
          <cell r="DG20">
            <v>0</v>
          </cell>
          <cell r="DH20">
            <v>7</v>
          </cell>
          <cell r="DI20">
            <v>6.7</v>
          </cell>
          <cell r="DJ20">
            <v>9.1999999999999993</v>
          </cell>
          <cell r="DK20">
            <v>9</v>
          </cell>
          <cell r="DL20">
            <v>6.9</v>
          </cell>
          <cell r="DM20">
            <v>0</v>
          </cell>
          <cell r="DN20">
            <v>8.1</v>
          </cell>
          <cell r="DO20">
            <v>6.9</v>
          </cell>
          <cell r="DP20">
            <v>7.6</v>
          </cell>
          <cell r="DQ20">
            <v>7.1</v>
          </cell>
          <cell r="DR20">
            <v>9.4</v>
          </cell>
          <cell r="DS20">
            <v>8.6999999999999993</v>
          </cell>
          <cell r="DT20">
            <v>0</v>
          </cell>
          <cell r="DU20">
            <v>8.3000000000000007</v>
          </cell>
          <cell r="DV20">
            <v>0</v>
          </cell>
          <cell r="DW20">
            <v>0</v>
          </cell>
          <cell r="DX20">
            <v>0</v>
          </cell>
          <cell r="DY20">
            <v>0</v>
          </cell>
          <cell r="DZ20">
            <v>0</v>
          </cell>
          <cell r="EA20">
            <v>0</v>
          </cell>
          <cell r="EB20">
            <v>0</v>
          </cell>
        </row>
        <row r="21">
          <cell r="A21">
            <v>813218460</v>
          </cell>
          <cell r="B21" t="str">
            <v>KSVBS2600593</v>
          </cell>
          <cell r="C21" t="str">
            <v>83</v>
          </cell>
          <cell r="D21" t="str">
            <v>ĐINH THỊ QUẾ ANH</v>
          </cell>
          <cell r="E21" t="str">
            <v>1</v>
          </cell>
          <cell r="F21" t="str">
            <v>23/11/2008</v>
          </cell>
          <cell r="G21" t="str">
            <v>queanhd77@gmail.com</v>
          </cell>
          <cell r="H21" t="str">
            <v>0813218460</v>
          </cell>
          <cell r="I21" t="str">
            <v>084308006597</v>
          </cell>
          <cell r="J21" t="str">
            <v>ẤP CÂY GÒN</v>
          </cell>
          <cell r="K21" t="str">
            <v>KV1</v>
          </cell>
          <cell r="M21" t="str">
            <v>Không có</v>
          </cell>
          <cell r="N21" t="str">
            <v>Kinh</v>
          </cell>
          <cell r="P21" t="str">
            <v>2026</v>
          </cell>
          <cell r="Q21" t="str">
            <v>86035965</v>
          </cell>
          <cell r="R21" t="str">
            <v>Không có</v>
          </cell>
          <cell r="S21" t="str">
            <v>Không có</v>
          </cell>
          <cell r="T21" t="str">
            <v>Không có</v>
          </cell>
          <cell r="W21" t="str">
            <v>0.00</v>
          </cell>
          <cell r="X21" t="str">
            <v>220482</v>
          </cell>
          <cell r="Y21" t="str">
            <v>D26532930</v>
          </cell>
          <cell r="Z21" t="str">
            <v>530.00</v>
          </cell>
          <cell r="AA21" t="str">
            <v>Không có</v>
          </cell>
          <cell r="AF21" t="str">
            <v>86N</v>
          </cell>
          <cell r="AG21" t="str">
            <v>727</v>
          </cell>
          <cell r="AH21" t="str">
            <v>THPT Phong Phú</v>
          </cell>
          <cell r="AI21" t="str">
            <v>86N</v>
          </cell>
          <cell r="AJ21" t="str">
            <v>727</v>
          </cell>
          <cell r="AK21" t="str">
            <v>THPT Phong Phú</v>
          </cell>
          <cell r="AL21" t="str">
            <v>86N</v>
          </cell>
          <cell r="AM21" t="str">
            <v>727</v>
          </cell>
          <cell r="AN21" t="str">
            <v>THPT Phong Phú</v>
          </cell>
          <cell r="AO21" t="str">
            <v>GDPT2018</v>
          </cell>
          <cell r="AP21" t="str">
            <v>Tốt</v>
          </cell>
          <cell r="AQ21" t="str">
            <v>8.70</v>
          </cell>
          <cell r="AR21" t="str">
            <v>8.44</v>
          </cell>
          <cell r="AS21" t="str">
            <v>8.39</v>
          </cell>
          <cell r="AT21" t="str">
            <v>8.72</v>
          </cell>
          <cell r="AU21" t="str">
            <v>True</v>
          </cell>
          <cell r="AW21" t="str">
            <v>7340120</v>
          </cell>
          <cell r="AX21" t="str">
            <v>Kinh doanh quốc tế</v>
          </cell>
          <cell r="AY21" t="str">
            <v>7340201_2</v>
          </cell>
          <cell r="AZ21" t="str">
            <v>Tài chính</v>
          </cell>
          <cell r="BA21" t="str">
            <v>7340201_1</v>
          </cell>
          <cell r="BB21" t="str">
            <v>Ngân hàng</v>
          </cell>
          <cell r="BC21" t="str">
            <v>quynhlx</v>
          </cell>
          <cell r="BD21" t="str">
            <v>Đã được tiếp nhận</v>
          </cell>
          <cell r="BF21" t="str">
            <v>3</v>
          </cell>
          <cell r="BM21" t="str">
            <v>True</v>
          </cell>
          <cell r="BN21" t="str">
            <v>True</v>
          </cell>
          <cell r="BO21" t="str">
            <v>KQTHPT_19_084308006597.pdf</v>
          </cell>
          <cell r="BP21" t="str">
            <v>KQDGNL_19_084308006597.pdf</v>
          </cell>
          <cell r="BQ21" t="str">
            <v>KQVSAT_19_084308006597.pdf</v>
          </cell>
          <cell r="BR21">
            <v>7.9</v>
          </cell>
          <cell r="BS21">
            <v>8.1999999999999993</v>
          </cell>
          <cell r="BT21">
            <v>8.6999999999999993</v>
          </cell>
          <cell r="BU21">
            <v>8.9</v>
          </cell>
          <cell r="BV21">
            <v>9.1999999999999993</v>
          </cell>
          <cell r="BW21">
            <v>0</v>
          </cell>
          <cell r="BX21">
            <v>7.3</v>
          </cell>
          <cell r="BY21">
            <v>7.6</v>
          </cell>
          <cell r="BZ21">
            <v>0</v>
          </cell>
          <cell r="CA21">
            <v>9.1</v>
          </cell>
          <cell r="CB21">
            <v>9.1</v>
          </cell>
          <cell r="CC21">
            <v>0</v>
          </cell>
          <cell r="CD21">
            <v>0</v>
          </cell>
          <cell r="CE21">
            <v>0</v>
          </cell>
          <cell r="CF21">
            <v>0</v>
          </cell>
          <cell r="CG21">
            <v>0</v>
          </cell>
          <cell r="CH21">
            <v>0</v>
          </cell>
          <cell r="CI21">
            <v>0</v>
          </cell>
          <cell r="CJ21">
            <v>0</v>
          </cell>
          <cell r="CK21">
            <v>0</v>
          </cell>
          <cell r="CL21">
            <v>0</v>
          </cell>
          <cell r="CM21">
            <v>6.8</v>
          </cell>
          <cell r="CN21">
            <v>8.4</v>
          </cell>
          <cell r="CO21">
            <v>8.8000000000000007</v>
          </cell>
          <cell r="CP21">
            <v>9.3000000000000007</v>
          </cell>
          <cell r="CQ21">
            <v>9.1999999999999993</v>
          </cell>
          <cell r="CR21">
            <v>0</v>
          </cell>
          <cell r="CS21">
            <v>7.9</v>
          </cell>
          <cell r="CT21">
            <v>7.2</v>
          </cell>
          <cell r="CU21">
            <v>0</v>
          </cell>
          <cell r="CV21">
            <v>8.4</v>
          </cell>
          <cell r="CW21">
            <v>9.5</v>
          </cell>
          <cell r="CX21">
            <v>0</v>
          </cell>
          <cell r="CY21">
            <v>0</v>
          </cell>
          <cell r="CZ21">
            <v>0</v>
          </cell>
          <cell r="DA21">
            <v>0</v>
          </cell>
          <cell r="DB21">
            <v>0</v>
          </cell>
          <cell r="DC21">
            <v>0</v>
          </cell>
          <cell r="DD21">
            <v>0</v>
          </cell>
          <cell r="DE21">
            <v>0</v>
          </cell>
          <cell r="DF21">
            <v>0</v>
          </cell>
          <cell r="DG21">
            <v>0</v>
          </cell>
          <cell r="DH21">
            <v>7.8</v>
          </cell>
          <cell r="DI21">
            <v>8.8000000000000007</v>
          </cell>
          <cell r="DJ21">
            <v>8.6</v>
          </cell>
          <cell r="DK21">
            <v>10</v>
          </cell>
          <cell r="DL21">
            <v>8.8000000000000007</v>
          </cell>
          <cell r="DM21">
            <v>0</v>
          </cell>
          <cell r="DN21">
            <v>8.8000000000000007</v>
          </cell>
          <cell r="DO21">
            <v>7.6</v>
          </cell>
          <cell r="DP21">
            <v>0</v>
          </cell>
          <cell r="DQ21">
            <v>8.8000000000000007</v>
          </cell>
          <cell r="DR21">
            <v>9.3000000000000007</v>
          </cell>
          <cell r="DS21">
            <v>0</v>
          </cell>
          <cell r="DT21">
            <v>0</v>
          </cell>
          <cell r="DU21">
            <v>0</v>
          </cell>
          <cell r="DV21">
            <v>0</v>
          </cell>
          <cell r="DW21">
            <v>0</v>
          </cell>
          <cell r="DX21">
            <v>0</v>
          </cell>
          <cell r="DY21">
            <v>0</v>
          </cell>
          <cell r="DZ21">
            <v>0</v>
          </cell>
          <cell r="EA21">
            <v>0</v>
          </cell>
          <cell r="EB21">
            <v>0</v>
          </cell>
          <cell r="EC21">
            <v>4</v>
          </cell>
          <cell r="ED21">
            <v>5.25</v>
          </cell>
          <cell r="EE21">
            <v>2.5</v>
          </cell>
          <cell r="EG21">
            <v>7.35</v>
          </cell>
          <cell r="EW21">
            <v>67.5</v>
          </cell>
          <cell r="EX21">
            <v>112</v>
          </cell>
          <cell r="EZ21">
            <v>111</v>
          </cell>
        </row>
        <row r="22">
          <cell r="A22">
            <v>355587517</v>
          </cell>
          <cell r="B22" t="str">
            <v>KSVBS2603382</v>
          </cell>
          <cell r="C22" t="str">
            <v>8</v>
          </cell>
          <cell r="D22" t="str">
            <v>VÕ PHẠM NHƯ QUỲNH</v>
          </cell>
          <cell r="E22" t="str">
            <v>1</v>
          </cell>
          <cell r="F22" t="str">
            <v>13/11/2008</v>
          </cell>
          <cell r="G22" t="str">
            <v>phamvannghiep1478@gmail.com</v>
          </cell>
          <cell r="H22" t="str">
            <v>0355587517</v>
          </cell>
          <cell r="I22" t="str">
            <v>086308010041</v>
          </cell>
          <cell r="J22" t="str">
            <v xml:space="preserve">Số nhà 45, tổ 13, khóm 5 </v>
          </cell>
          <cell r="K22" t="str">
            <v>KV2</v>
          </cell>
          <cell r="M22" t="str">
            <v>Không có</v>
          </cell>
          <cell r="N22" t="str">
            <v>Kinh</v>
          </cell>
          <cell r="P22" t="str">
            <v>2026</v>
          </cell>
          <cell r="Q22" t="str">
            <v>86020982</v>
          </cell>
          <cell r="R22" t="str">
            <v>Không có</v>
          </cell>
          <cell r="S22" t="str">
            <v>Không có</v>
          </cell>
          <cell r="T22" t="str">
            <v>Không có</v>
          </cell>
          <cell r="AA22" t="str">
            <v>Không có</v>
          </cell>
          <cell r="AF22" t="str">
            <v>86N</v>
          </cell>
          <cell r="AG22" t="str">
            <v>412</v>
          </cell>
          <cell r="AH22" t="str">
            <v>THPT Bình Minh</v>
          </cell>
          <cell r="AI22" t="str">
            <v>86N</v>
          </cell>
          <cell r="AJ22" t="str">
            <v>412</v>
          </cell>
          <cell r="AK22" t="str">
            <v>THPT Bình Minh</v>
          </cell>
          <cell r="AL22" t="str">
            <v>86N</v>
          </cell>
          <cell r="AM22" t="str">
            <v>412</v>
          </cell>
          <cell r="AN22" t="str">
            <v>THPT Bình Minh</v>
          </cell>
          <cell r="AO22" t="str">
            <v>GDPT2018</v>
          </cell>
          <cell r="AP22" t="str">
            <v>Tốt</v>
          </cell>
          <cell r="AQ22" t="str">
            <v>6.77</v>
          </cell>
          <cell r="AR22" t="str">
            <v>7.99</v>
          </cell>
          <cell r="AS22" t="str">
            <v>7.86</v>
          </cell>
          <cell r="AT22" t="str">
            <v>8.44</v>
          </cell>
          <cell r="AU22" t="str">
            <v>False</v>
          </cell>
          <cell r="AW22" t="str">
            <v>7340122</v>
          </cell>
          <cell r="AX22" t="str">
            <v>Thương mại điện tử</v>
          </cell>
          <cell r="BC22" t="str">
            <v>quynhlx</v>
          </cell>
          <cell r="BD22" t="str">
            <v>Đã được tiếp nhận</v>
          </cell>
          <cell r="BE22" t="str">
            <v>bổ sung thêm trang thông tin học sinh nha e</v>
          </cell>
          <cell r="BF22" t="str">
            <v>3</v>
          </cell>
          <cell r="BM22" t="str">
            <v>True</v>
          </cell>
          <cell r="BN22" t="str">
            <v>True</v>
          </cell>
          <cell r="BO22" t="str">
            <v>KQTHPT_20_086308010041.pdf</v>
          </cell>
          <cell r="BQ22" t="str">
            <v>KQVSAT_20_086308010041.pdf</v>
          </cell>
          <cell r="BR22">
            <v>7.1</v>
          </cell>
          <cell r="BS22">
            <v>8</v>
          </cell>
          <cell r="BT22">
            <v>7.8</v>
          </cell>
          <cell r="BU22">
            <v>8.8000000000000007</v>
          </cell>
          <cell r="BV22">
            <v>8.1</v>
          </cell>
          <cell r="BW22">
            <v>8.1999999999999993</v>
          </cell>
          <cell r="BX22">
            <v>8</v>
          </cell>
          <cell r="BY22">
            <v>7.7</v>
          </cell>
          <cell r="BZ22">
            <v>0</v>
          </cell>
          <cell r="CA22">
            <v>0</v>
          </cell>
          <cell r="CB22">
            <v>0</v>
          </cell>
          <cell r="CC22">
            <v>8.1999999999999993</v>
          </cell>
          <cell r="CD22">
            <v>0</v>
          </cell>
          <cell r="CE22">
            <v>0</v>
          </cell>
          <cell r="CF22">
            <v>0</v>
          </cell>
          <cell r="CG22">
            <v>0</v>
          </cell>
          <cell r="CH22">
            <v>0</v>
          </cell>
          <cell r="CI22">
            <v>0</v>
          </cell>
          <cell r="CJ22">
            <v>0</v>
          </cell>
          <cell r="CK22">
            <v>0</v>
          </cell>
          <cell r="CL22">
            <v>0</v>
          </cell>
          <cell r="CM22">
            <v>7.3</v>
          </cell>
          <cell r="CN22">
            <v>7.6</v>
          </cell>
          <cell r="CO22">
            <v>7.8</v>
          </cell>
          <cell r="CP22">
            <v>8.3000000000000007</v>
          </cell>
          <cell r="CQ22">
            <v>8.6</v>
          </cell>
          <cell r="CR22">
            <v>8.9</v>
          </cell>
          <cell r="CS22">
            <v>6.8</v>
          </cell>
          <cell r="CT22">
            <v>7.1</v>
          </cell>
          <cell r="CU22">
            <v>0</v>
          </cell>
          <cell r="CV22">
            <v>0</v>
          </cell>
          <cell r="CW22">
            <v>0</v>
          </cell>
          <cell r="CX22">
            <v>8.3000000000000007</v>
          </cell>
          <cell r="CY22">
            <v>0</v>
          </cell>
          <cell r="CZ22">
            <v>0</v>
          </cell>
          <cell r="DA22">
            <v>0</v>
          </cell>
          <cell r="DB22">
            <v>0</v>
          </cell>
          <cell r="DC22">
            <v>0</v>
          </cell>
          <cell r="DD22">
            <v>0</v>
          </cell>
          <cell r="DE22">
            <v>0</v>
          </cell>
          <cell r="DF22">
            <v>0</v>
          </cell>
          <cell r="DG22">
            <v>0</v>
          </cell>
          <cell r="DH22">
            <v>7.8</v>
          </cell>
          <cell r="DI22">
            <v>6.9</v>
          </cell>
          <cell r="DJ22">
            <v>8.6</v>
          </cell>
          <cell r="DK22">
            <v>9</v>
          </cell>
          <cell r="DL22">
            <v>8.6999999999999993</v>
          </cell>
          <cell r="DM22">
            <v>9.1999999999999993</v>
          </cell>
          <cell r="DN22">
            <v>8.4</v>
          </cell>
          <cell r="DO22">
            <v>7.8</v>
          </cell>
          <cell r="DP22">
            <v>0</v>
          </cell>
          <cell r="DQ22">
            <v>0</v>
          </cell>
          <cell r="DR22">
            <v>0</v>
          </cell>
          <cell r="DS22">
            <v>9.6</v>
          </cell>
          <cell r="DT22">
            <v>0</v>
          </cell>
          <cell r="DU22">
            <v>0</v>
          </cell>
          <cell r="DV22">
            <v>0</v>
          </cell>
          <cell r="DW22">
            <v>0</v>
          </cell>
          <cell r="DX22">
            <v>0</v>
          </cell>
          <cell r="DY22">
            <v>0</v>
          </cell>
          <cell r="DZ22">
            <v>0</v>
          </cell>
          <cell r="EA22">
            <v>0</v>
          </cell>
          <cell r="EB22">
            <v>0</v>
          </cell>
          <cell r="EC22">
            <v>6</v>
          </cell>
          <cell r="ED22">
            <v>6</v>
          </cell>
          <cell r="EE22">
            <v>3</v>
          </cell>
          <cell r="EJ22">
            <v>4.5</v>
          </cell>
          <cell r="EW22">
            <v>89</v>
          </cell>
          <cell r="EY22">
            <v>90.5</v>
          </cell>
          <cell r="FB22">
            <v>106.5</v>
          </cell>
        </row>
        <row r="23">
          <cell r="A23">
            <v>0</v>
          </cell>
          <cell r="D23" t="str">
            <v>NGUYỄN THỊ KIM XUYẾN</v>
          </cell>
          <cell r="E23" t="str">
            <v>0</v>
          </cell>
          <cell r="F23" t="str">
            <v>01/01/2006</v>
          </cell>
          <cell r="G23" t="str">
            <v>tjrjrfjjdjjd@gmail.com</v>
          </cell>
          <cell r="I23" t="str">
            <v>096306004043</v>
          </cell>
          <cell r="BD23" t="str">
            <v>Chưa hoàn thành</v>
          </cell>
          <cell r="BF23" t="str">
            <v>3</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v>0</v>
          </cell>
          <cell r="DU23">
            <v>0</v>
          </cell>
          <cell r="DV23">
            <v>0</v>
          </cell>
          <cell r="DW23">
            <v>0</v>
          </cell>
          <cell r="DX23">
            <v>0</v>
          </cell>
          <cell r="DY23">
            <v>0</v>
          </cell>
          <cell r="DZ23">
            <v>0</v>
          </cell>
          <cell r="EA23">
            <v>0</v>
          </cell>
          <cell r="EB23">
            <v>0</v>
          </cell>
        </row>
        <row r="24">
          <cell r="A24">
            <v>948965065</v>
          </cell>
          <cell r="B24" t="str">
            <v>KSVBS2646885</v>
          </cell>
          <cell r="C24" t="str">
            <v>90</v>
          </cell>
          <cell r="D24" t="str">
            <v>NGUYỄN THỊ DIỄM KIỀU</v>
          </cell>
          <cell r="E24" t="str">
            <v>1</v>
          </cell>
          <cell r="F24" t="str">
            <v>19/01/2007</v>
          </cell>
          <cell r="G24" t="str">
            <v>dkieu1901@gmail.com</v>
          </cell>
          <cell r="H24" t="str">
            <v>0948965065</v>
          </cell>
          <cell r="I24" t="str">
            <v>095307002559</v>
          </cell>
          <cell r="J24" t="str">
            <v xml:space="preserve">ấp Thạnh Hưng 2 </v>
          </cell>
          <cell r="K24" t="str">
            <v>KV1</v>
          </cell>
          <cell r="M24" t="str">
            <v>Không có</v>
          </cell>
          <cell r="N24" t="str">
            <v>Kinh</v>
          </cell>
          <cell r="P24" t="str">
            <v>2025</v>
          </cell>
          <cell r="Q24" t="str">
            <v>96012922</v>
          </cell>
          <cell r="R24" t="str">
            <v>Không có</v>
          </cell>
          <cell r="S24" t="str">
            <v>Không có</v>
          </cell>
          <cell r="T24" t="str">
            <v>Không có</v>
          </cell>
          <cell r="U24" t="str">
            <v>560503</v>
          </cell>
          <cell r="V24" t="str">
            <v>D26295028</v>
          </cell>
          <cell r="W24" t="str">
            <v>637.00</v>
          </cell>
          <cell r="X24" t="str">
            <v>630099</v>
          </cell>
          <cell r="Y24" t="str">
            <v>D26936074</v>
          </cell>
          <cell r="Z24" t="str">
            <v>682.00</v>
          </cell>
          <cell r="AA24" t="str">
            <v>Không có</v>
          </cell>
          <cell r="AF24" t="str">
            <v>96N</v>
          </cell>
          <cell r="AG24" t="str">
            <v>517</v>
          </cell>
          <cell r="AH24" t="str">
            <v>THPT Lê Thị Riêng</v>
          </cell>
          <cell r="AI24" t="str">
            <v>96N</v>
          </cell>
          <cell r="AJ24" t="str">
            <v>517</v>
          </cell>
          <cell r="AK24" t="str">
            <v>THPT Lê Thị Riêng</v>
          </cell>
          <cell r="AL24" t="str">
            <v>96N</v>
          </cell>
          <cell r="AM24" t="str">
            <v>517</v>
          </cell>
          <cell r="AN24" t="str">
            <v>THPT Lê Thị Riêng</v>
          </cell>
          <cell r="AO24" t="str">
            <v>GDPT2018</v>
          </cell>
          <cell r="AP24" t="str">
            <v>Khá</v>
          </cell>
          <cell r="AQ24" t="str">
            <v>0.00</v>
          </cell>
          <cell r="AR24" t="str">
            <v>7.56</v>
          </cell>
          <cell r="AS24" t="str">
            <v>8.07</v>
          </cell>
          <cell r="AT24" t="str">
            <v>7.67</v>
          </cell>
          <cell r="AU24" t="str">
            <v>True</v>
          </cell>
          <cell r="AW24" t="str">
            <v>7340201_2</v>
          </cell>
          <cell r="AX24" t="str">
            <v>Tài chính</v>
          </cell>
          <cell r="AY24" t="str">
            <v>7340201_1</v>
          </cell>
          <cell r="AZ24" t="str">
            <v>Ngân hàng</v>
          </cell>
          <cell r="BA24" t="str">
            <v>7340201_3</v>
          </cell>
          <cell r="BB24" t="str">
            <v>Thuế</v>
          </cell>
          <cell r="BC24" t="str">
            <v>phamhuong</v>
          </cell>
          <cell r="BD24" t="str">
            <v>Đã được tiếp nhận</v>
          </cell>
          <cell r="BE24" t="str">
            <v xml:space="preserve">- Bổ sung học bạ THPT em chụp đủ 7 trang nhé
</v>
          </cell>
          <cell r="BF24" t="str">
            <v>3</v>
          </cell>
          <cell r="BM24" t="str">
            <v>True</v>
          </cell>
          <cell r="BN24" t="str">
            <v>True</v>
          </cell>
          <cell r="BO24" t="str">
            <v>KQTHPT_22_095307002559.pdf</v>
          </cell>
          <cell r="BP24" t="str">
            <v>KQDGNL_22_095307002559.pdf</v>
          </cell>
          <cell r="BQ24" t="str">
            <v>KQVSAT_22_095307002559.pdf</v>
          </cell>
          <cell r="BR24">
            <v>6.3</v>
          </cell>
          <cell r="BS24">
            <v>7.7</v>
          </cell>
          <cell r="BT24">
            <v>7.7</v>
          </cell>
          <cell r="BU24">
            <v>7.9</v>
          </cell>
          <cell r="BV24">
            <v>6.6</v>
          </cell>
          <cell r="BW24">
            <v>8.1</v>
          </cell>
          <cell r="BX24">
            <v>0</v>
          </cell>
          <cell r="BY24">
            <v>7.5</v>
          </cell>
          <cell r="BZ24">
            <v>7.2</v>
          </cell>
          <cell r="CA24">
            <v>0</v>
          </cell>
          <cell r="CB24">
            <v>0</v>
          </cell>
          <cell r="CC24">
            <v>9</v>
          </cell>
          <cell r="CD24">
            <v>0</v>
          </cell>
          <cell r="CE24">
            <v>0</v>
          </cell>
          <cell r="CF24">
            <v>0</v>
          </cell>
          <cell r="CG24">
            <v>0</v>
          </cell>
          <cell r="CH24">
            <v>0</v>
          </cell>
          <cell r="CI24">
            <v>0</v>
          </cell>
          <cell r="CJ24">
            <v>0</v>
          </cell>
          <cell r="CK24">
            <v>0</v>
          </cell>
          <cell r="CL24">
            <v>0</v>
          </cell>
          <cell r="CM24">
            <v>7.3</v>
          </cell>
          <cell r="CN24">
            <v>7.5</v>
          </cell>
          <cell r="CO24">
            <v>8.6999999999999993</v>
          </cell>
          <cell r="CP24">
            <v>8.9</v>
          </cell>
          <cell r="CQ24">
            <v>7</v>
          </cell>
          <cell r="CR24">
            <v>9.1</v>
          </cell>
          <cell r="CS24">
            <v>0</v>
          </cell>
          <cell r="CT24">
            <v>7.4</v>
          </cell>
          <cell r="CU24">
            <v>7.4</v>
          </cell>
          <cell r="CV24">
            <v>0</v>
          </cell>
          <cell r="CW24">
            <v>0</v>
          </cell>
          <cell r="CX24">
            <v>9.3000000000000007</v>
          </cell>
          <cell r="CY24">
            <v>0</v>
          </cell>
          <cell r="CZ24">
            <v>0</v>
          </cell>
          <cell r="DA24">
            <v>0</v>
          </cell>
          <cell r="DB24">
            <v>0</v>
          </cell>
          <cell r="DC24">
            <v>0</v>
          </cell>
          <cell r="DD24">
            <v>0</v>
          </cell>
          <cell r="DE24">
            <v>0</v>
          </cell>
          <cell r="DF24">
            <v>0</v>
          </cell>
          <cell r="DG24">
            <v>0</v>
          </cell>
          <cell r="DH24">
            <v>7.4</v>
          </cell>
          <cell r="DI24">
            <v>7.5</v>
          </cell>
          <cell r="DJ24">
            <v>8</v>
          </cell>
          <cell r="DK24">
            <v>8.1</v>
          </cell>
          <cell r="DL24">
            <v>7.3</v>
          </cell>
          <cell r="DM24">
            <v>7.9</v>
          </cell>
          <cell r="DN24">
            <v>0</v>
          </cell>
          <cell r="DO24">
            <v>7.8</v>
          </cell>
          <cell r="DP24">
            <v>6.4</v>
          </cell>
          <cell r="DQ24">
            <v>0</v>
          </cell>
          <cell r="DR24">
            <v>0</v>
          </cell>
          <cell r="DS24">
            <v>8.6</v>
          </cell>
          <cell r="DT24">
            <v>0</v>
          </cell>
          <cell r="DU24">
            <v>0</v>
          </cell>
          <cell r="DV24">
            <v>0</v>
          </cell>
          <cell r="DW24">
            <v>0</v>
          </cell>
          <cell r="DX24">
            <v>0</v>
          </cell>
          <cell r="DY24">
            <v>0</v>
          </cell>
          <cell r="DZ24">
            <v>0</v>
          </cell>
          <cell r="EA24">
            <v>0</v>
          </cell>
          <cell r="EB24">
            <v>0</v>
          </cell>
          <cell r="EC24">
            <v>5.5</v>
          </cell>
          <cell r="ED24">
            <v>7.25</v>
          </cell>
          <cell r="EE24">
            <v>4</v>
          </cell>
          <cell r="EG24">
            <v>5.75</v>
          </cell>
          <cell r="EW24">
            <v>111</v>
          </cell>
          <cell r="EX24">
            <v>103.5</v>
          </cell>
          <cell r="EY24">
            <v>75.5</v>
          </cell>
        </row>
        <row r="25">
          <cell r="A25">
            <v>395625080</v>
          </cell>
          <cell r="B25" t="str">
            <v>KSVBS2605434</v>
          </cell>
          <cell r="C25" t="str">
            <v>10</v>
          </cell>
          <cell r="D25" t="str">
            <v>TRƯƠNG NGUYÊN PHÚC</v>
          </cell>
          <cell r="E25" t="str">
            <v>0</v>
          </cell>
          <cell r="F25" t="str">
            <v>19/12/2008</v>
          </cell>
          <cell r="G25" t="str">
            <v>phuctruong.31261570440@st.ueh.edu.vn</v>
          </cell>
          <cell r="H25" t="str">
            <v>0395625080</v>
          </cell>
          <cell r="I25" t="str">
            <v>083208009377</v>
          </cell>
          <cell r="J25" t="str">
            <v>73A, Ấp Phước Tự</v>
          </cell>
          <cell r="K25" t="str">
            <v>KV2-NT</v>
          </cell>
          <cell r="M25" t="str">
            <v>Không có</v>
          </cell>
          <cell r="N25" t="str">
            <v>Kinh</v>
          </cell>
          <cell r="P25" t="str">
            <v>2026</v>
          </cell>
          <cell r="Q25" t="str">
            <v>86001609</v>
          </cell>
          <cell r="R25" t="str">
            <v>Không có</v>
          </cell>
          <cell r="S25" t="str">
            <v>Không có</v>
          </cell>
          <cell r="T25" t="str">
            <v>Không có</v>
          </cell>
          <cell r="W25" t="str">
            <v>0.00</v>
          </cell>
          <cell r="X25" t="str">
            <v>090903</v>
          </cell>
          <cell r="Y25" t="str">
            <v>D269BXNJR</v>
          </cell>
          <cell r="Z25" t="str">
            <v>621.00</v>
          </cell>
          <cell r="AA25" t="str">
            <v>IELTS</v>
          </cell>
          <cell r="AB25" t="str">
            <v>31/05/2026</v>
          </cell>
          <cell r="AC25" t="str">
            <v>5.5</v>
          </cell>
          <cell r="AD25" t="str">
            <v>26VN506719TRUN028A</v>
          </cell>
          <cell r="AE25" t="str">
            <v>ChungChiTA_23_083208009377.pdf</v>
          </cell>
          <cell r="AF25" t="str">
            <v>86N</v>
          </cell>
          <cell r="AG25" t="str">
            <v>120</v>
          </cell>
          <cell r="AH25" t="str">
            <v>THPT Trần Văn Ơn</v>
          </cell>
          <cell r="AI25" t="str">
            <v>86N</v>
          </cell>
          <cell r="AJ25" t="str">
            <v>120</v>
          </cell>
          <cell r="AK25" t="str">
            <v>THPT Trần Văn Ơn</v>
          </cell>
          <cell r="AL25" t="str">
            <v>86N</v>
          </cell>
          <cell r="AM25" t="str">
            <v>120</v>
          </cell>
          <cell r="AN25" t="str">
            <v>THPT Trần Văn Ơn</v>
          </cell>
          <cell r="AO25" t="str">
            <v>GDPT2018</v>
          </cell>
          <cell r="AP25" t="str">
            <v>Tốt</v>
          </cell>
          <cell r="AQ25" t="str">
            <v>8.16</v>
          </cell>
          <cell r="AR25" t="str">
            <v>7.44</v>
          </cell>
          <cell r="AS25" t="str">
            <v>7.87</v>
          </cell>
          <cell r="AT25" t="str">
            <v>8.16</v>
          </cell>
          <cell r="AU25" t="str">
            <v>True</v>
          </cell>
          <cell r="AW25" t="str">
            <v>7340115</v>
          </cell>
          <cell r="AX25" t="str">
            <v>Marketing</v>
          </cell>
          <cell r="AY25" t="str">
            <v>7340120</v>
          </cell>
          <cell r="AZ25" t="str">
            <v>Kinh doanh quốc tế</v>
          </cell>
          <cell r="BA25" t="str">
            <v>7220201</v>
          </cell>
          <cell r="BB25" t="str">
            <v>Tiếng Anh thương mại</v>
          </cell>
          <cell r="BC25" t="str">
            <v>quynhlx</v>
          </cell>
          <cell r="BD25" t="str">
            <v>Đã được tiếp nhận</v>
          </cell>
          <cell r="BE25" t="str">
            <v>Trường sửa điểm cho em từ 641 (em kê) thành 621 theo minh chứng em up</v>
          </cell>
          <cell r="BF25" t="str">
            <v>3</v>
          </cell>
          <cell r="BM25" t="str">
            <v>True</v>
          </cell>
          <cell r="BN25" t="str">
            <v>False</v>
          </cell>
          <cell r="BO25" t="str">
            <v>KQTHPT_23_083208009377.pdf</v>
          </cell>
          <cell r="BP25" t="str">
            <v>KQDGNL_23_083208009377.pdf</v>
          </cell>
          <cell r="BR25">
            <v>6.8</v>
          </cell>
          <cell r="BS25">
            <v>7.1</v>
          </cell>
          <cell r="BT25">
            <v>6.7</v>
          </cell>
          <cell r="BU25">
            <v>9</v>
          </cell>
          <cell r="BV25">
            <v>7.5</v>
          </cell>
          <cell r="BW25">
            <v>7.3</v>
          </cell>
          <cell r="BX25">
            <v>7.7</v>
          </cell>
          <cell r="BY25">
            <v>0</v>
          </cell>
          <cell r="BZ25">
            <v>6.9</v>
          </cell>
          <cell r="CA25">
            <v>0</v>
          </cell>
          <cell r="CB25">
            <v>8</v>
          </cell>
          <cell r="CC25">
            <v>0</v>
          </cell>
          <cell r="CD25">
            <v>0</v>
          </cell>
          <cell r="CE25">
            <v>0</v>
          </cell>
          <cell r="CF25">
            <v>0</v>
          </cell>
          <cell r="CG25">
            <v>0</v>
          </cell>
          <cell r="CH25">
            <v>0</v>
          </cell>
          <cell r="CI25">
            <v>0</v>
          </cell>
          <cell r="CJ25">
            <v>0</v>
          </cell>
          <cell r="CK25">
            <v>0</v>
          </cell>
          <cell r="CL25">
            <v>0</v>
          </cell>
          <cell r="CM25">
            <v>8.5</v>
          </cell>
          <cell r="CN25">
            <v>6.8</v>
          </cell>
          <cell r="CO25">
            <v>6.3</v>
          </cell>
          <cell r="CP25">
            <v>9.3000000000000007</v>
          </cell>
          <cell r="CQ25">
            <v>8.3000000000000007</v>
          </cell>
          <cell r="CR25">
            <v>7.8</v>
          </cell>
          <cell r="CS25">
            <v>6.8</v>
          </cell>
          <cell r="CT25">
            <v>0</v>
          </cell>
          <cell r="CU25">
            <v>8.3000000000000007</v>
          </cell>
          <cell r="CV25">
            <v>0</v>
          </cell>
          <cell r="CW25">
            <v>8.6999999999999993</v>
          </cell>
          <cell r="CX25">
            <v>0</v>
          </cell>
          <cell r="CY25">
            <v>0</v>
          </cell>
          <cell r="CZ25">
            <v>0</v>
          </cell>
          <cell r="DA25">
            <v>0</v>
          </cell>
          <cell r="DB25">
            <v>0</v>
          </cell>
          <cell r="DC25">
            <v>0</v>
          </cell>
          <cell r="DD25">
            <v>0</v>
          </cell>
          <cell r="DE25">
            <v>0</v>
          </cell>
          <cell r="DF25">
            <v>0</v>
          </cell>
          <cell r="DG25">
            <v>0</v>
          </cell>
          <cell r="DH25">
            <v>8.1999999999999993</v>
          </cell>
          <cell r="DI25">
            <v>8.4</v>
          </cell>
          <cell r="DJ25">
            <v>7.4</v>
          </cell>
          <cell r="DK25">
            <v>9.3000000000000007</v>
          </cell>
          <cell r="DL25">
            <v>9.1</v>
          </cell>
          <cell r="DM25">
            <v>7.4</v>
          </cell>
          <cell r="DN25">
            <v>8</v>
          </cell>
          <cell r="DO25">
            <v>0</v>
          </cell>
          <cell r="DP25">
            <v>6.5</v>
          </cell>
          <cell r="DQ25">
            <v>0</v>
          </cell>
          <cell r="DR25">
            <v>9.1</v>
          </cell>
          <cell r="DS25">
            <v>0</v>
          </cell>
          <cell r="DT25">
            <v>0</v>
          </cell>
          <cell r="DU25">
            <v>0</v>
          </cell>
          <cell r="DV25">
            <v>0</v>
          </cell>
          <cell r="DW25">
            <v>0</v>
          </cell>
          <cell r="DX25">
            <v>0</v>
          </cell>
          <cell r="DY25">
            <v>0</v>
          </cell>
          <cell r="DZ25">
            <v>0</v>
          </cell>
          <cell r="EA25">
            <v>0</v>
          </cell>
          <cell r="EB25">
            <v>0</v>
          </cell>
          <cell r="EC25">
            <v>4.75</v>
          </cell>
          <cell r="ED25">
            <v>6.25</v>
          </cell>
          <cell r="EE25">
            <v>3.25</v>
          </cell>
          <cell r="EG25">
            <v>7.75</v>
          </cell>
        </row>
        <row r="26">
          <cell r="A26">
            <v>937640023</v>
          </cell>
          <cell r="B26" t="str">
            <v>KSVBS2608241</v>
          </cell>
          <cell r="C26" t="str">
            <v>12</v>
          </cell>
          <cell r="D26" t="str">
            <v>VŨ LÊ QUỲNH ANH</v>
          </cell>
          <cell r="E26" t="str">
            <v>1</v>
          </cell>
          <cell r="F26" t="str">
            <v>12/07/2008</v>
          </cell>
          <cell r="G26" t="str">
            <v>vuleequynhanh1278@gmail.com</v>
          </cell>
          <cell r="H26" t="str">
            <v>0937640023</v>
          </cell>
          <cell r="I26" t="str">
            <v>077308001983</v>
          </cell>
          <cell r="J26" t="str">
            <v>tổ 14, ấp Phước Thới</v>
          </cell>
          <cell r="K26" t="str">
            <v>KV2-NT</v>
          </cell>
          <cell r="M26" t="str">
            <v>Không có</v>
          </cell>
          <cell r="N26" t="str">
            <v>Kinh</v>
          </cell>
          <cell r="P26" t="str">
            <v>2026</v>
          </cell>
          <cell r="Q26" t="str">
            <v>79133877</v>
          </cell>
          <cell r="R26" t="str">
            <v>Không có</v>
          </cell>
          <cell r="S26" t="str">
            <v>Không có</v>
          </cell>
          <cell r="T26" t="str">
            <v>Không có</v>
          </cell>
          <cell r="U26" t="str">
            <v>230311</v>
          </cell>
          <cell r="V26" t="str">
            <v>D26240712</v>
          </cell>
          <cell r="W26" t="str">
            <v>642.00</v>
          </cell>
          <cell r="Z26" t="str">
            <v>0.00</v>
          </cell>
          <cell r="AA26" t="str">
            <v>Không có</v>
          </cell>
          <cell r="AF26" t="str">
            <v>79N</v>
          </cell>
          <cell r="AG26" t="str">
            <v>744</v>
          </cell>
          <cell r="AH26" t="str">
            <v>THPT Võ Thị Sáu - Bà Rịa - Vũng Tàu</v>
          </cell>
          <cell r="AI26" t="str">
            <v>79N</v>
          </cell>
          <cell r="AJ26" t="str">
            <v>744</v>
          </cell>
          <cell r="AK26" t="str">
            <v>THPT Võ Thị Sáu - Bà Rịa - Vũng Tàu</v>
          </cell>
          <cell r="AL26" t="str">
            <v>79N</v>
          </cell>
          <cell r="AM26" t="str">
            <v>744</v>
          </cell>
          <cell r="AN26" t="str">
            <v>THPT Võ Thị Sáu - Bà Rịa - Vũng Tàu</v>
          </cell>
          <cell r="AO26" t="str">
            <v>GDPT2018</v>
          </cell>
          <cell r="AP26" t="str">
            <v>Khá</v>
          </cell>
          <cell r="AQ26" t="str">
            <v>6.84</v>
          </cell>
          <cell r="AR26" t="str">
            <v>7.57</v>
          </cell>
          <cell r="AS26" t="str">
            <v>7.88</v>
          </cell>
          <cell r="AT26" t="str">
            <v>8.21</v>
          </cell>
          <cell r="AU26" t="str">
            <v>True</v>
          </cell>
          <cell r="AW26" t="str">
            <v>7340122</v>
          </cell>
          <cell r="AX26" t="str">
            <v>Thương mại điện tử</v>
          </cell>
          <cell r="AY26" t="str">
            <v>7480201</v>
          </cell>
          <cell r="AZ26" t="str">
            <v>Công nghệ và đổi mới sáng tạo</v>
          </cell>
          <cell r="BA26" t="str">
            <v>7340201_3</v>
          </cell>
          <cell r="BB26" t="str">
            <v>Thuế</v>
          </cell>
          <cell r="BC26" t="str">
            <v>quynhlx</v>
          </cell>
          <cell r="BD26" t="str">
            <v>Đã được tiếp nhận</v>
          </cell>
          <cell r="BF26" t="str">
            <v>3</v>
          </cell>
          <cell r="BM26" t="str">
            <v>True</v>
          </cell>
          <cell r="BN26" t="str">
            <v>False</v>
          </cell>
          <cell r="BO26" t="str">
            <v>KQTHPT_24_077308001983.pdf</v>
          </cell>
          <cell r="BP26" t="str">
            <v>KQDGNL_24_077308001983.pdf</v>
          </cell>
          <cell r="BR26">
            <v>8.6999999999999993</v>
          </cell>
          <cell r="BS26">
            <v>6.4</v>
          </cell>
          <cell r="BT26">
            <v>6.4</v>
          </cell>
          <cell r="BU26">
            <v>9</v>
          </cell>
          <cell r="BV26">
            <v>6.6</v>
          </cell>
          <cell r="BW26">
            <v>0</v>
          </cell>
          <cell r="BX26">
            <v>7.1</v>
          </cell>
          <cell r="BY26">
            <v>8.9</v>
          </cell>
          <cell r="BZ26">
            <v>0</v>
          </cell>
          <cell r="CA26">
            <v>0</v>
          </cell>
          <cell r="CB26">
            <v>7.4</v>
          </cell>
          <cell r="CC26">
            <v>7.6</v>
          </cell>
          <cell r="CD26">
            <v>0</v>
          </cell>
          <cell r="CE26">
            <v>0</v>
          </cell>
          <cell r="CF26">
            <v>0</v>
          </cell>
          <cell r="CG26">
            <v>0</v>
          </cell>
          <cell r="CH26">
            <v>0</v>
          </cell>
          <cell r="CI26">
            <v>0</v>
          </cell>
          <cell r="CJ26">
            <v>0</v>
          </cell>
          <cell r="CK26">
            <v>0</v>
          </cell>
          <cell r="CL26">
            <v>0</v>
          </cell>
          <cell r="CM26">
            <v>8</v>
          </cell>
          <cell r="CN26">
            <v>7</v>
          </cell>
          <cell r="CO26">
            <v>7.8</v>
          </cell>
          <cell r="CP26">
            <v>6.8</v>
          </cell>
          <cell r="CQ26">
            <v>7</v>
          </cell>
          <cell r="CR26">
            <v>0</v>
          </cell>
          <cell r="CS26">
            <v>7.6</v>
          </cell>
          <cell r="CT26">
            <v>8.8000000000000007</v>
          </cell>
          <cell r="CU26">
            <v>0</v>
          </cell>
          <cell r="CV26">
            <v>0</v>
          </cell>
          <cell r="CW26">
            <v>9</v>
          </cell>
          <cell r="CX26">
            <v>8.9</v>
          </cell>
          <cell r="CY26">
            <v>0</v>
          </cell>
          <cell r="CZ26">
            <v>0</v>
          </cell>
          <cell r="DA26">
            <v>0</v>
          </cell>
          <cell r="DB26">
            <v>0</v>
          </cell>
          <cell r="DC26">
            <v>0</v>
          </cell>
          <cell r="DD26">
            <v>0</v>
          </cell>
          <cell r="DE26">
            <v>0</v>
          </cell>
          <cell r="DF26">
            <v>0</v>
          </cell>
          <cell r="DG26">
            <v>0</v>
          </cell>
          <cell r="DH26">
            <v>8.1</v>
          </cell>
          <cell r="DI26">
            <v>7.1</v>
          </cell>
          <cell r="DJ26">
            <v>7.5</v>
          </cell>
          <cell r="DK26">
            <v>8.6999999999999993</v>
          </cell>
          <cell r="DL26">
            <v>7.9</v>
          </cell>
          <cell r="DM26">
            <v>0</v>
          </cell>
          <cell r="DN26">
            <v>7.9</v>
          </cell>
          <cell r="DO26">
            <v>8.6999999999999993</v>
          </cell>
          <cell r="DP26">
            <v>0</v>
          </cell>
          <cell r="DQ26">
            <v>0</v>
          </cell>
          <cell r="DR26">
            <v>8.9</v>
          </cell>
          <cell r="DS26">
            <v>9.1</v>
          </cell>
          <cell r="DT26">
            <v>0</v>
          </cell>
          <cell r="DU26">
            <v>0</v>
          </cell>
          <cell r="DV26">
            <v>0</v>
          </cell>
          <cell r="DW26">
            <v>0</v>
          </cell>
          <cell r="DX26">
            <v>0</v>
          </cell>
          <cell r="DY26">
            <v>0</v>
          </cell>
          <cell r="DZ26">
            <v>0</v>
          </cell>
          <cell r="EA26">
            <v>0</v>
          </cell>
          <cell r="EB26">
            <v>0</v>
          </cell>
          <cell r="EC26">
            <v>8</v>
          </cell>
          <cell r="ED26">
            <v>6.75</v>
          </cell>
          <cell r="EE26">
            <v>2.25</v>
          </cell>
          <cell r="EJ26">
            <v>5.75</v>
          </cell>
        </row>
        <row r="27">
          <cell r="A27">
            <v>777129981</v>
          </cell>
          <cell r="B27" t="str">
            <v>KSVBS2625294</v>
          </cell>
          <cell r="C27" t="str">
            <v>11</v>
          </cell>
          <cell r="D27" t="str">
            <v>TRỊNH NGUYỄN ĐAN KHANH</v>
          </cell>
          <cell r="E27" t="str">
            <v>1</v>
          </cell>
          <cell r="F27" t="str">
            <v>27/06/2008</v>
          </cell>
          <cell r="G27" t="str">
            <v>dankhanh1921@gmail.com</v>
          </cell>
          <cell r="H27" t="str">
            <v>0777129981</v>
          </cell>
          <cell r="I27" t="str">
            <v>095308002044</v>
          </cell>
          <cell r="J27" t="str">
            <v>49, Lê Văn Năm</v>
          </cell>
          <cell r="K27" t="str">
            <v>KV2</v>
          </cell>
          <cell r="M27" t="str">
            <v>Không có</v>
          </cell>
          <cell r="N27" t="str">
            <v>Kinh</v>
          </cell>
          <cell r="P27" t="str">
            <v>2026</v>
          </cell>
          <cell r="Q27" t="str">
            <v>96012205</v>
          </cell>
          <cell r="R27" t="str">
            <v>Không có</v>
          </cell>
          <cell r="S27" t="str">
            <v>Không có</v>
          </cell>
          <cell r="T27" t="str">
            <v>Không có</v>
          </cell>
          <cell r="U27" t="str">
            <v>560695</v>
          </cell>
          <cell r="V27" t="str">
            <v>D26189693</v>
          </cell>
          <cell r="W27" t="str">
            <v>667.00</v>
          </cell>
          <cell r="Z27" t="str">
            <v>0.00</v>
          </cell>
          <cell r="AA27" t="str">
            <v>Không có</v>
          </cell>
          <cell r="AF27" t="str">
            <v>96N</v>
          </cell>
          <cell r="AG27" t="str">
            <v>508</v>
          </cell>
          <cell r="AH27" t="str">
            <v>THPT Chuyên Bạc Liêu</v>
          </cell>
          <cell r="AI27" t="str">
            <v>96N</v>
          </cell>
          <cell r="AJ27" t="str">
            <v>508</v>
          </cell>
          <cell r="AK27" t="str">
            <v>THPT Chuyên Bạc Liêu</v>
          </cell>
          <cell r="AL27" t="str">
            <v>96N</v>
          </cell>
          <cell r="AM27" t="str">
            <v>500</v>
          </cell>
          <cell r="AN27" t="str">
            <v>THPT Chuyên Bạc Liêu</v>
          </cell>
          <cell r="AO27" t="str">
            <v>GDPT2018</v>
          </cell>
          <cell r="AP27" t="str">
            <v>Khá</v>
          </cell>
          <cell r="AQ27" t="str">
            <v>0.00</v>
          </cell>
          <cell r="AR27" t="str">
            <v>7.49</v>
          </cell>
          <cell r="AS27" t="str">
            <v>7.68</v>
          </cell>
          <cell r="AT27" t="str">
            <v>8.03</v>
          </cell>
          <cell r="AU27" t="str">
            <v>True</v>
          </cell>
          <cell r="AW27" t="str">
            <v>7340115</v>
          </cell>
          <cell r="AX27" t="str">
            <v>Marketing</v>
          </cell>
          <cell r="BC27" t="str">
            <v>quynhlx</v>
          </cell>
          <cell r="BD27" t="str">
            <v>Đã được tiếp nhận</v>
          </cell>
          <cell r="BE27" t="str">
            <v>Em up thêm trang đầu tiên: trang thông tin học sinh nhe</v>
          </cell>
          <cell r="BF27" t="str">
            <v>3</v>
          </cell>
          <cell r="BM27" t="str">
            <v>True</v>
          </cell>
          <cell r="BN27" t="str">
            <v>False</v>
          </cell>
          <cell r="BO27" t="str">
            <v>KQTHPT_25_095308002044.pdf</v>
          </cell>
          <cell r="BP27" t="str">
            <v>KQDGNL_25_095308002044.pdf</v>
          </cell>
          <cell r="BR27">
            <v>6.8</v>
          </cell>
          <cell r="BS27">
            <v>7.5</v>
          </cell>
          <cell r="BT27">
            <v>7.6</v>
          </cell>
          <cell r="BU27">
            <v>9</v>
          </cell>
          <cell r="BV27">
            <v>8.8000000000000007</v>
          </cell>
          <cell r="BW27">
            <v>0</v>
          </cell>
          <cell r="BX27">
            <v>8.6999999999999993</v>
          </cell>
          <cell r="BY27">
            <v>5.9</v>
          </cell>
          <cell r="BZ27">
            <v>6.5</v>
          </cell>
          <cell r="CA27">
            <v>6.6</v>
          </cell>
          <cell r="CB27">
            <v>0</v>
          </cell>
          <cell r="CC27">
            <v>0</v>
          </cell>
          <cell r="CD27">
            <v>0</v>
          </cell>
          <cell r="CE27">
            <v>0</v>
          </cell>
          <cell r="CF27">
            <v>0</v>
          </cell>
          <cell r="CG27">
            <v>0</v>
          </cell>
          <cell r="CH27">
            <v>0</v>
          </cell>
          <cell r="CI27">
            <v>0</v>
          </cell>
          <cell r="CJ27">
            <v>0</v>
          </cell>
          <cell r="CK27">
            <v>0</v>
          </cell>
          <cell r="CL27">
            <v>0</v>
          </cell>
          <cell r="CM27">
            <v>6.3</v>
          </cell>
          <cell r="CN27">
            <v>7.7</v>
          </cell>
          <cell r="CO27">
            <v>7.8</v>
          </cell>
          <cell r="CP27">
            <v>9</v>
          </cell>
          <cell r="CQ27">
            <v>8.4</v>
          </cell>
          <cell r="CR27">
            <v>0</v>
          </cell>
          <cell r="CS27">
            <v>8.1999999999999993</v>
          </cell>
          <cell r="CT27">
            <v>6.7</v>
          </cell>
          <cell r="CU27">
            <v>6.6</v>
          </cell>
          <cell r="CV27">
            <v>8.4</v>
          </cell>
          <cell r="CW27">
            <v>0</v>
          </cell>
          <cell r="CX27">
            <v>0</v>
          </cell>
          <cell r="CY27">
            <v>0</v>
          </cell>
          <cell r="CZ27">
            <v>0</v>
          </cell>
          <cell r="DA27">
            <v>0</v>
          </cell>
          <cell r="DB27">
            <v>0</v>
          </cell>
          <cell r="DC27">
            <v>0</v>
          </cell>
          <cell r="DD27">
            <v>0</v>
          </cell>
          <cell r="DE27">
            <v>0</v>
          </cell>
          <cell r="DF27">
            <v>0</v>
          </cell>
          <cell r="DG27">
            <v>0</v>
          </cell>
          <cell r="DH27">
            <v>7.1</v>
          </cell>
          <cell r="DI27">
            <v>8.1</v>
          </cell>
          <cell r="DJ27">
            <v>6.8</v>
          </cell>
          <cell r="DK27">
            <v>9</v>
          </cell>
          <cell r="DL27">
            <v>9.5</v>
          </cell>
          <cell r="DM27">
            <v>0</v>
          </cell>
          <cell r="DN27">
            <v>8.4</v>
          </cell>
          <cell r="DO27">
            <v>7</v>
          </cell>
          <cell r="DP27">
            <v>7.7</v>
          </cell>
          <cell r="DQ27">
            <v>8.6999999999999993</v>
          </cell>
          <cell r="DR27">
            <v>0</v>
          </cell>
          <cell r="DS27">
            <v>0</v>
          </cell>
          <cell r="DT27">
            <v>0</v>
          </cell>
          <cell r="DU27">
            <v>0</v>
          </cell>
          <cell r="DV27">
            <v>0</v>
          </cell>
          <cell r="DW27">
            <v>0</v>
          </cell>
          <cell r="DX27">
            <v>0</v>
          </cell>
          <cell r="DY27">
            <v>0</v>
          </cell>
          <cell r="DZ27">
            <v>0</v>
          </cell>
          <cell r="EA27">
            <v>0</v>
          </cell>
          <cell r="EB27">
            <v>0</v>
          </cell>
          <cell r="EC27">
            <v>5.5</v>
          </cell>
          <cell r="ED27">
            <v>7.5</v>
          </cell>
          <cell r="EJ27">
            <v>5.75</v>
          </cell>
          <cell r="EL27">
            <v>6.5</v>
          </cell>
        </row>
        <row r="28">
          <cell r="A28">
            <v>329442543</v>
          </cell>
          <cell r="B28" t="str">
            <v>KSVBS2604028</v>
          </cell>
          <cell r="C28" t="str">
            <v>13</v>
          </cell>
          <cell r="D28" t="str">
            <v>NGUYỄN QUỐC KHƯƠNG TEST</v>
          </cell>
          <cell r="E28" t="str">
            <v>0</v>
          </cell>
          <cell r="F28" t="str">
            <v>29/04/2002</v>
          </cell>
          <cell r="G28" t="str">
            <v>khuongnq@ueh.edu.vn</v>
          </cell>
          <cell r="H28" t="str">
            <v>0329442543</v>
          </cell>
          <cell r="I28" t="str">
            <v>086302008256</v>
          </cell>
          <cell r="J28" t="str">
            <v>304 ấp Hưng Thành Tây A</v>
          </cell>
          <cell r="K28" t="str">
            <v>KV2-NT</v>
          </cell>
          <cell r="L28" t="str">
            <v>05a</v>
          </cell>
          <cell r="M28" t="str">
            <v>05a</v>
          </cell>
          <cell r="N28" t="str">
            <v>Kinh</v>
          </cell>
          <cell r="P28" t="str">
            <v>2026</v>
          </cell>
          <cell r="Q28" t="str">
            <v>1234564</v>
          </cell>
          <cell r="R28" t="str">
            <v>Toán</v>
          </cell>
          <cell r="S28" t="str">
            <v>2026</v>
          </cell>
          <cell r="T28" t="str">
            <v>Ba</v>
          </cell>
          <cell r="U28" t="str">
            <v>1234587936</v>
          </cell>
          <cell r="V28" t="str">
            <v>ah123547889</v>
          </cell>
          <cell r="W28" t="str">
            <v>700.00</v>
          </cell>
          <cell r="Z28" t="str">
            <v>0.00</v>
          </cell>
          <cell r="AA28" t="str">
            <v>IELTS</v>
          </cell>
          <cell r="AB28" t="str">
            <v>28/09/2025</v>
          </cell>
          <cell r="AC28" t="str">
            <v>7</v>
          </cell>
          <cell r="AD28" t="str">
            <v>20ASNGU1267389289</v>
          </cell>
          <cell r="AE28" t="str">
            <v>ChungChiTA_26_086302008256.jpg</v>
          </cell>
          <cell r="AF28" t="str">
            <v>86N</v>
          </cell>
          <cell r="AG28" t="str">
            <v>409</v>
          </cell>
          <cell r="AH28" t="str">
            <v>THPT Lưu Văn Liệt</v>
          </cell>
          <cell r="AI28" t="str">
            <v>86N</v>
          </cell>
          <cell r="AJ28" t="str">
            <v>409</v>
          </cell>
          <cell r="AK28" t="str">
            <v>THPT Lưu Văn Liệt</v>
          </cell>
          <cell r="AL28" t="str">
            <v>86N</v>
          </cell>
          <cell r="AM28" t="str">
            <v>409</v>
          </cell>
          <cell r="AN28" t="str">
            <v>THPT Lưu Văn Liệt</v>
          </cell>
          <cell r="AO28" t="str">
            <v>GDPT2018</v>
          </cell>
          <cell r="AP28" t="str">
            <v>Tốt</v>
          </cell>
          <cell r="AQ28" t="str">
            <v>8.75</v>
          </cell>
          <cell r="AR28" t="str">
            <v>8.22</v>
          </cell>
          <cell r="AS28" t="str">
            <v>8.29</v>
          </cell>
          <cell r="AT28" t="str">
            <v>8.56</v>
          </cell>
          <cell r="AU28" t="str">
            <v>True</v>
          </cell>
          <cell r="AW28" t="str">
            <v>7340115</v>
          </cell>
          <cell r="AX28" t="str">
            <v>Marketing</v>
          </cell>
          <cell r="AY28" t="str">
            <v>7480201</v>
          </cell>
          <cell r="AZ28" t="str">
            <v>Công nghệ và đổi mới sáng tạo</v>
          </cell>
          <cell r="BA28" t="str">
            <v>7480107</v>
          </cell>
          <cell r="BB28" t="str">
            <v>Robot và Trí tuệ nhân tạo (hệ kỹ sư)</v>
          </cell>
          <cell r="BC28" t="str">
            <v>quynhlx</v>
          </cell>
          <cell r="BD28" t="str">
            <v>Không hợp lệ</v>
          </cell>
          <cell r="BF28" t="str">
            <v>3</v>
          </cell>
          <cell r="BM28" t="str">
            <v>True</v>
          </cell>
          <cell r="BN28" t="str">
            <v>True</v>
          </cell>
          <cell r="BO28" t="str">
            <v>KQTHPT_26_086302008256.pdf</v>
          </cell>
          <cell r="BP28" t="str">
            <v>KQDGNL_26_086302008256.pdf</v>
          </cell>
          <cell r="BQ28" t="str">
            <v>KQVSAT_26_086302008256.pdf</v>
          </cell>
          <cell r="BR28">
            <v>7.5</v>
          </cell>
          <cell r="BS28">
            <v>8</v>
          </cell>
          <cell r="BT28">
            <v>9</v>
          </cell>
          <cell r="BU28">
            <v>8</v>
          </cell>
          <cell r="BV28">
            <v>0</v>
          </cell>
          <cell r="BW28">
            <v>8.5</v>
          </cell>
          <cell r="BX28">
            <v>8</v>
          </cell>
          <cell r="BY28">
            <v>9.5</v>
          </cell>
          <cell r="BZ28">
            <v>6</v>
          </cell>
          <cell r="CA28">
            <v>0</v>
          </cell>
          <cell r="CB28">
            <v>0</v>
          </cell>
          <cell r="CC28">
            <v>9.5</v>
          </cell>
          <cell r="CD28">
            <v>0</v>
          </cell>
          <cell r="CE28">
            <v>0</v>
          </cell>
          <cell r="CF28">
            <v>0</v>
          </cell>
          <cell r="CG28">
            <v>0</v>
          </cell>
          <cell r="CH28">
            <v>0</v>
          </cell>
          <cell r="CI28">
            <v>0</v>
          </cell>
          <cell r="CJ28">
            <v>0</v>
          </cell>
          <cell r="CK28">
            <v>0</v>
          </cell>
          <cell r="CL28">
            <v>0</v>
          </cell>
          <cell r="CM28">
            <v>8.8000000000000007</v>
          </cell>
          <cell r="CN28">
            <v>7</v>
          </cell>
          <cell r="CO28">
            <v>9.5</v>
          </cell>
          <cell r="CP28">
            <v>9</v>
          </cell>
          <cell r="CQ28">
            <v>0</v>
          </cell>
          <cell r="CR28">
            <v>8.5</v>
          </cell>
          <cell r="CS28">
            <v>7</v>
          </cell>
          <cell r="CT28">
            <v>9.5</v>
          </cell>
          <cell r="CU28">
            <v>6.8</v>
          </cell>
          <cell r="CV28">
            <v>0</v>
          </cell>
          <cell r="CW28">
            <v>0</v>
          </cell>
          <cell r="CX28">
            <v>8.5</v>
          </cell>
          <cell r="CY28">
            <v>0</v>
          </cell>
          <cell r="CZ28">
            <v>0</v>
          </cell>
          <cell r="DA28">
            <v>0</v>
          </cell>
          <cell r="DB28">
            <v>0</v>
          </cell>
          <cell r="DC28">
            <v>0</v>
          </cell>
          <cell r="DD28">
            <v>0</v>
          </cell>
          <cell r="DE28">
            <v>0</v>
          </cell>
          <cell r="DF28">
            <v>0</v>
          </cell>
          <cell r="DG28">
            <v>0</v>
          </cell>
          <cell r="DH28">
            <v>9</v>
          </cell>
          <cell r="DI28">
            <v>6.5</v>
          </cell>
          <cell r="DJ28">
            <v>9</v>
          </cell>
          <cell r="DK28">
            <v>9.5</v>
          </cell>
          <cell r="DL28">
            <v>0</v>
          </cell>
          <cell r="DM28">
            <v>9</v>
          </cell>
          <cell r="DN28">
            <v>8</v>
          </cell>
          <cell r="DO28">
            <v>9</v>
          </cell>
          <cell r="DP28">
            <v>7</v>
          </cell>
          <cell r="DQ28">
            <v>0</v>
          </cell>
          <cell r="DR28">
            <v>0</v>
          </cell>
          <cell r="DS28">
            <v>10</v>
          </cell>
          <cell r="DT28">
            <v>0</v>
          </cell>
          <cell r="DU28">
            <v>0</v>
          </cell>
          <cell r="DV28">
            <v>0</v>
          </cell>
          <cell r="DW28">
            <v>0</v>
          </cell>
          <cell r="DX28">
            <v>0</v>
          </cell>
          <cell r="DY28">
            <v>0</v>
          </cell>
          <cell r="DZ28">
            <v>0</v>
          </cell>
          <cell r="EA28">
            <v>0</v>
          </cell>
          <cell r="EB28">
            <v>0</v>
          </cell>
          <cell r="EC28">
            <v>9</v>
          </cell>
          <cell r="ED28">
            <v>6</v>
          </cell>
          <cell r="EE28">
            <v>9</v>
          </cell>
          <cell r="EJ28">
            <v>8.5</v>
          </cell>
          <cell r="EW28">
            <v>100</v>
          </cell>
          <cell r="EX28">
            <v>96.5</v>
          </cell>
          <cell r="EY28">
            <v>80</v>
          </cell>
          <cell r="FB28">
            <v>69.599999999999994</v>
          </cell>
        </row>
        <row r="29">
          <cell r="A29">
            <v>0</v>
          </cell>
          <cell r="D29" t="str">
            <v>HUỲNH THỊ QUỲNH NHI</v>
          </cell>
          <cell r="E29" t="str">
            <v>0</v>
          </cell>
          <cell r="F29" t="str">
            <v>02/01/2007</v>
          </cell>
          <cell r="G29" t="str">
            <v>hanhi020107@icloud.com</v>
          </cell>
          <cell r="I29" t="str">
            <v>038307009321</v>
          </cell>
          <cell r="AR29" t="str">
            <v>8.09</v>
          </cell>
          <cell r="AS29" t="str">
            <v>8.67</v>
          </cell>
          <cell r="AT29" t="str">
            <v>8.29</v>
          </cell>
          <cell r="BD29" t="str">
            <v>Chưa hoàn thành</v>
          </cell>
          <cell r="BF29" t="str">
            <v>3</v>
          </cell>
          <cell r="BR29">
            <v>8</v>
          </cell>
          <cell r="BS29">
            <v>7.7</v>
          </cell>
          <cell r="BT29">
            <v>7.7</v>
          </cell>
          <cell r="BU29">
            <v>8.6</v>
          </cell>
          <cell r="BV29">
            <v>7.9</v>
          </cell>
          <cell r="BW29">
            <v>0</v>
          </cell>
          <cell r="BX29">
            <v>0</v>
          </cell>
          <cell r="BY29">
            <v>8.1999999999999993</v>
          </cell>
          <cell r="BZ29">
            <v>7.8</v>
          </cell>
          <cell r="CA29">
            <v>7.8</v>
          </cell>
          <cell r="CB29">
            <v>0</v>
          </cell>
          <cell r="CC29">
            <v>9.1</v>
          </cell>
          <cell r="CD29">
            <v>0</v>
          </cell>
          <cell r="CE29">
            <v>0</v>
          </cell>
          <cell r="CF29">
            <v>0</v>
          </cell>
          <cell r="CG29">
            <v>0</v>
          </cell>
          <cell r="CH29">
            <v>0</v>
          </cell>
          <cell r="CI29">
            <v>0</v>
          </cell>
          <cell r="CJ29">
            <v>0</v>
          </cell>
          <cell r="CK29">
            <v>0</v>
          </cell>
          <cell r="CL29">
            <v>0</v>
          </cell>
          <cell r="CM29">
            <v>7.8</v>
          </cell>
          <cell r="CN29">
            <v>8.1999999999999993</v>
          </cell>
          <cell r="CO29">
            <v>8.1999999999999993</v>
          </cell>
          <cell r="CP29">
            <v>9.1999999999999993</v>
          </cell>
          <cell r="CQ29">
            <v>9.1</v>
          </cell>
          <cell r="CR29">
            <v>0</v>
          </cell>
          <cell r="CS29">
            <v>0</v>
          </cell>
          <cell r="CT29">
            <v>8.9</v>
          </cell>
          <cell r="CU29">
            <v>9.1</v>
          </cell>
          <cell r="CV29">
            <v>8.5</v>
          </cell>
          <cell r="CW29">
            <v>0</v>
          </cell>
          <cell r="CX29">
            <v>9</v>
          </cell>
          <cell r="CY29">
            <v>0</v>
          </cell>
          <cell r="CZ29">
            <v>0</v>
          </cell>
          <cell r="DA29">
            <v>0</v>
          </cell>
          <cell r="DB29">
            <v>0</v>
          </cell>
          <cell r="DC29">
            <v>0</v>
          </cell>
          <cell r="DD29">
            <v>0</v>
          </cell>
          <cell r="DE29">
            <v>0</v>
          </cell>
          <cell r="DF29">
            <v>0</v>
          </cell>
          <cell r="DG29">
            <v>0</v>
          </cell>
          <cell r="DH29">
            <v>8.1999999999999993</v>
          </cell>
          <cell r="DI29">
            <v>7.7</v>
          </cell>
          <cell r="DJ29">
            <v>7</v>
          </cell>
          <cell r="DK29">
            <v>9.6</v>
          </cell>
          <cell r="DL29">
            <v>8.1999999999999993</v>
          </cell>
          <cell r="DM29">
            <v>0</v>
          </cell>
          <cell r="DN29">
            <v>0</v>
          </cell>
          <cell r="DO29">
            <v>8.1999999999999993</v>
          </cell>
          <cell r="DP29">
            <v>9</v>
          </cell>
          <cell r="DQ29">
            <v>7.9</v>
          </cell>
          <cell r="DR29">
            <v>0</v>
          </cell>
          <cell r="DS29">
            <v>8.8000000000000007</v>
          </cell>
          <cell r="DT29">
            <v>0</v>
          </cell>
          <cell r="DU29">
            <v>0</v>
          </cell>
          <cell r="DV29">
            <v>0</v>
          </cell>
          <cell r="DW29">
            <v>0</v>
          </cell>
          <cell r="DX29">
            <v>0</v>
          </cell>
          <cell r="DY29">
            <v>0</v>
          </cell>
          <cell r="DZ29">
            <v>0</v>
          </cell>
          <cell r="EA29">
            <v>0</v>
          </cell>
          <cell r="EB29">
            <v>0</v>
          </cell>
        </row>
        <row r="30">
          <cell r="A30">
            <v>705796418</v>
          </cell>
          <cell r="B30" t="str">
            <v>KSVBS2626874</v>
          </cell>
          <cell r="C30" t="str">
            <v>14</v>
          </cell>
          <cell r="D30" t="str">
            <v>NGUYỄN LAN PHƯƠNG</v>
          </cell>
          <cell r="E30" t="str">
            <v>1</v>
          </cell>
          <cell r="F30" t="str">
            <v>25/10/2008</v>
          </cell>
          <cell r="G30" t="str">
            <v>lphuong25102008@gmail.com</v>
          </cell>
          <cell r="H30" t="str">
            <v>0705796418</v>
          </cell>
          <cell r="I30" t="str">
            <v>034308005716</v>
          </cell>
          <cell r="J30" t="str">
            <v>số nhà 40, ngõ 2, Bùi Viện</v>
          </cell>
          <cell r="K30" t="str">
            <v>KV3</v>
          </cell>
          <cell r="M30" t="str">
            <v>Không có</v>
          </cell>
          <cell r="N30" t="str">
            <v>Kinh</v>
          </cell>
          <cell r="P30" t="str">
            <v>2026</v>
          </cell>
          <cell r="Q30" t="str">
            <v>31021165</v>
          </cell>
          <cell r="R30" t="str">
            <v>Không có</v>
          </cell>
          <cell r="S30" t="str">
            <v>Không có</v>
          </cell>
          <cell r="T30" t="str">
            <v>Không có</v>
          </cell>
          <cell r="U30" t="str">
            <v>271601</v>
          </cell>
          <cell r="V30" t="str">
            <v>D26150416</v>
          </cell>
          <cell r="W30" t="str">
            <v>752.00</v>
          </cell>
          <cell r="X30" t="str">
            <v>350384</v>
          </cell>
          <cell r="Y30" t="str">
            <v>D26893247</v>
          </cell>
          <cell r="Z30" t="str">
            <v>761.00</v>
          </cell>
          <cell r="AA30" t="str">
            <v>IELTS</v>
          </cell>
          <cell r="AB30" t="str">
            <v>31/05/2026</v>
          </cell>
          <cell r="AC30" t="str">
            <v>5.5</v>
          </cell>
          <cell r="AD30" t="str">
            <v>26VN515806NGUL104A</v>
          </cell>
          <cell r="AE30" t="str">
            <v>ChungChiTA_28_034307005716.pdf</v>
          </cell>
          <cell r="AF30" t="str">
            <v>31N</v>
          </cell>
          <cell r="AG30" t="str">
            <v>318</v>
          </cell>
          <cell r="AH30" t="str">
            <v>THPT Lê Quý Đôn</v>
          </cell>
          <cell r="AI30" t="str">
            <v>31N</v>
          </cell>
          <cell r="AJ30" t="str">
            <v>318</v>
          </cell>
          <cell r="AK30" t="str">
            <v>THPT Lê Quý Đôn</v>
          </cell>
          <cell r="AL30" t="str">
            <v>31N</v>
          </cell>
          <cell r="AM30" t="str">
            <v>318</v>
          </cell>
          <cell r="AN30" t="str">
            <v>THPT Lê Quý Đôn</v>
          </cell>
          <cell r="AO30" t="str">
            <v>GDPT2018</v>
          </cell>
          <cell r="AP30" t="str">
            <v>Tốt</v>
          </cell>
          <cell r="AQ30" t="str">
            <v>7.06</v>
          </cell>
          <cell r="AR30" t="str">
            <v>8.68</v>
          </cell>
          <cell r="AS30" t="str">
            <v>8.11</v>
          </cell>
          <cell r="AT30" t="str">
            <v>8.93</v>
          </cell>
          <cell r="AU30" t="str">
            <v>True</v>
          </cell>
          <cell r="AW30" t="str">
            <v>7340122</v>
          </cell>
          <cell r="AX30" t="str">
            <v>Thương mại điện tử</v>
          </cell>
          <cell r="AY30" t="str">
            <v>7810201</v>
          </cell>
          <cell r="AZ30" t="str">
            <v>Quản trị khách sạn</v>
          </cell>
          <cell r="BA30" t="str">
            <v>7340201_3</v>
          </cell>
          <cell r="BB30" t="str">
            <v>Thuế</v>
          </cell>
          <cell r="BC30" t="str">
            <v>quynhlx</v>
          </cell>
          <cell r="BD30" t="str">
            <v>Đã được tiếp nhận</v>
          </cell>
          <cell r="BF30" t="str">
            <v>3</v>
          </cell>
          <cell r="BM30" t="str">
            <v>True</v>
          </cell>
          <cell r="BN30" t="str">
            <v>False</v>
          </cell>
          <cell r="BO30" t="str">
            <v>KQTHPT_28_034307005716.pdf</v>
          </cell>
          <cell r="BP30" t="str">
            <v>KQDGNL_28_034307005716.pdf</v>
          </cell>
          <cell r="BR30">
            <v>8.5</v>
          </cell>
          <cell r="BS30">
            <v>7.2</v>
          </cell>
          <cell r="BT30">
            <v>8.6999999999999993</v>
          </cell>
          <cell r="BU30">
            <v>9.4</v>
          </cell>
          <cell r="BV30">
            <v>8.6999999999999993</v>
          </cell>
          <cell r="BW30">
            <v>0</v>
          </cell>
          <cell r="BX30">
            <v>0</v>
          </cell>
          <cell r="BY30">
            <v>8.9</v>
          </cell>
          <cell r="BZ30">
            <v>8.6</v>
          </cell>
          <cell r="CA30">
            <v>8.6999999999999993</v>
          </cell>
          <cell r="CB30">
            <v>9.4</v>
          </cell>
          <cell r="CC30">
            <v>0</v>
          </cell>
          <cell r="CD30">
            <v>0</v>
          </cell>
          <cell r="CE30">
            <v>0</v>
          </cell>
          <cell r="CF30">
            <v>0</v>
          </cell>
          <cell r="CG30">
            <v>0</v>
          </cell>
          <cell r="CH30">
            <v>0</v>
          </cell>
          <cell r="CI30">
            <v>0</v>
          </cell>
          <cell r="CJ30">
            <v>0</v>
          </cell>
          <cell r="CK30">
            <v>0</v>
          </cell>
          <cell r="CL30">
            <v>0</v>
          </cell>
          <cell r="CM30">
            <v>7.4</v>
          </cell>
          <cell r="CN30">
            <v>7.5</v>
          </cell>
          <cell r="CO30">
            <v>8.5</v>
          </cell>
          <cell r="CP30">
            <v>9.4</v>
          </cell>
          <cell r="CQ30">
            <v>8.5</v>
          </cell>
          <cell r="CR30">
            <v>0</v>
          </cell>
          <cell r="CS30">
            <v>0</v>
          </cell>
          <cell r="CT30">
            <v>7.9</v>
          </cell>
          <cell r="CU30">
            <v>7.4</v>
          </cell>
          <cell r="CV30">
            <v>7.6</v>
          </cell>
          <cell r="CW30">
            <v>8.8000000000000007</v>
          </cell>
          <cell r="CX30">
            <v>0</v>
          </cell>
          <cell r="CY30">
            <v>0</v>
          </cell>
          <cell r="CZ30">
            <v>0</v>
          </cell>
          <cell r="DA30">
            <v>0</v>
          </cell>
          <cell r="DB30">
            <v>0</v>
          </cell>
          <cell r="DC30">
            <v>0</v>
          </cell>
          <cell r="DD30">
            <v>0</v>
          </cell>
          <cell r="DE30">
            <v>0</v>
          </cell>
          <cell r="DF30">
            <v>0</v>
          </cell>
          <cell r="DG30">
            <v>0</v>
          </cell>
          <cell r="DH30">
            <v>8.8000000000000007</v>
          </cell>
          <cell r="DI30">
            <v>7.5</v>
          </cell>
          <cell r="DJ30">
            <v>9.3000000000000007</v>
          </cell>
          <cell r="DK30">
            <v>9.6</v>
          </cell>
          <cell r="DL30">
            <v>9.4</v>
          </cell>
          <cell r="DM30">
            <v>0</v>
          </cell>
          <cell r="DN30">
            <v>0</v>
          </cell>
          <cell r="DO30">
            <v>8.9</v>
          </cell>
          <cell r="DP30">
            <v>8.8000000000000007</v>
          </cell>
          <cell r="DQ30">
            <v>8.5</v>
          </cell>
          <cell r="DR30">
            <v>9.6</v>
          </cell>
          <cell r="DS30">
            <v>0</v>
          </cell>
          <cell r="DT30">
            <v>0</v>
          </cell>
          <cell r="DU30">
            <v>0</v>
          </cell>
          <cell r="DV30">
            <v>0</v>
          </cell>
          <cell r="DW30">
            <v>0</v>
          </cell>
          <cell r="DX30">
            <v>0</v>
          </cell>
          <cell r="DY30">
            <v>0</v>
          </cell>
          <cell r="DZ30">
            <v>0</v>
          </cell>
          <cell r="EA30">
            <v>0</v>
          </cell>
          <cell r="EB30">
            <v>0</v>
          </cell>
          <cell r="EC30">
            <v>5.75</v>
          </cell>
          <cell r="ED30">
            <v>7.5</v>
          </cell>
          <cell r="EE30">
            <v>3.25</v>
          </cell>
          <cell r="EJ30">
            <v>5.5</v>
          </cell>
        </row>
        <row r="31">
          <cell r="A31">
            <v>866408046</v>
          </cell>
          <cell r="B31" t="str">
            <v>KSVBS2629470</v>
          </cell>
          <cell r="C31" t="str">
            <v>15</v>
          </cell>
          <cell r="D31" t="str">
            <v>LÊ HOÀNG PHƯƠNG ANH</v>
          </cell>
          <cell r="E31" t="str">
            <v>1</v>
          </cell>
          <cell r="F31" t="str">
            <v>02/11/2008</v>
          </cell>
          <cell r="G31" t="str">
            <v>phwgahn0203@gmail.com</v>
          </cell>
          <cell r="H31" t="str">
            <v>0866408046</v>
          </cell>
          <cell r="I31" t="str">
            <v>079308045991</v>
          </cell>
          <cell r="J31" t="str">
            <v>41L/3, ấp Phước Hanh A</v>
          </cell>
          <cell r="K31" t="str">
            <v>KV2</v>
          </cell>
          <cell r="M31" t="str">
            <v>Không có</v>
          </cell>
          <cell r="N31" t="str">
            <v>Kinh</v>
          </cell>
          <cell r="P31" t="str">
            <v>2026</v>
          </cell>
          <cell r="Q31" t="str">
            <v>86015830</v>
          </cell>
          <cell r="R31" t="str">
            <v>Không có</v>
          </cell>
          <cell r="S31" t="str">
            <v>Không có</v>
          </cell>
          <cell r="T31" t="str">
            <v>Không có</v>
          </cell>
          <cell r="U31" t="str">
            <v>510419</v>
          </cell>
          <cell r="V31" t="str">
            <v xml:space="preserve"> D26634020</v>
          </cell>
          <cell r="W31" t="str">
            <v>475.00</v>
          </cell>
          <cell r="X31" t="str">
            <v xml:space="preserve">590116 </v>
          </cell>
          <cell r="Y31" t="str">
            <v>D26105909</v>
          </cell>
          <cell r="Z31" t="str">
            <v>569.00</v>
          </cell>
          <cell r="AA31" t="str">
            <v>Không có</v>
          </cell>
          <cell r="AF31" t="str">
            <v>86N</v>
          </cell>
          <cell r="AG31" t="str">
            <v>410</v>
          </cell>
          <cell r="AH31" t="str">
            <v>THPT Vĩnh Long</v>
          </cell>
          <cell r="AI31" t="str">
            <v>86N</v>
          </cell>
          <cell r="AJ31" t="str">
            <v>410</v>
          </cell>
          <cell r="AK31" t="str">
            <v>THPT Vĩnh Long</v>
          </cell>
          <cell r="AL31" t="str">
            <v>86N</v>
          </cell>
          <cell r="AM31" t="str">
            <v>410</v>
          </cell>
          <cell r="AN31" t="str">
            <v>THPT Vĩnh Long</v>
          </cell>
          <cell r="AO31" t="str">
            <v>GDPT2018</v>
          </cell>
          <cell r="AP31" t="str">
            <v>Tốt</v>
          </cell>
          <cell r="AQ31" t="str">
            <v>0.00</v>
          </cell>
          <cell r="AR31" t="str">
            <v>8.47</v>
          </cell>
          <cell r="AS31" t="str">
            <v>8.49</v>
          </cell>
          <cell r="AT31" t="str">
            <v>8.32</v>
          </cell>
          <cell r="AU31" t="str">
            <v>True</v>
          </cell>
          <cell r="AW31" t="str">
            <v>7810201</v>
          </cell>
          <cell r="AX31" t="str">
            <v>Quản trị khách sạn</v>
          </cell>
          <cell r="BC31" t="str">
            <v>quynhlx</v>
          </cell>
          <cell r="BD31" t="str">
            <v>Đã được tiếp nhận</v>
          </cell>
          <cell r="BF31" t="str">
            <v>3</v>
          </cell>
          <cell r="BM31" t="str">
            <v>True</v>
          </cell>
          <cell r="BN31" t="str">
            <v>False</v>
          </cell>
          <cell r="BO31" t="str">
            <v>KQTHPT_29_079308045991.pdf</v>
          </cell>
          <cell r="BP31" t="str">
            <v>KQDGNL_29_079308045991.pdf</v>
          </cell>
          <cell r="BR31">
            <v>8.1999999999999993</v>
          </cell>
          <cell r="BS31">
            <v>9.4</v>
          </cell>
          <cell r="BT31">
            <v>8</v>
          </cell>
          <cell r="BU31">
            <v>8.6</v>
          </cell>
          <cell r="BV31">
            <v>8.1</v>
          </cell>
          <cell r="BW31">
            <v>0</v>
          </cell>
          <cell r="BX31">
            <v>7.9</v>
          </cell>
          <cell r="BY31">
            <v>0</v>
          </cell>
          <cell r="BZ31">
            <v>0</v>
          </cell>
          <cell r="CA31">
            <v>8</v>
          </cell>
          <cell r="CB31">
            <v>9.1999999999999993</v>
          </cell>
          <cell r="CC31">
            <v>8.8000000000000007</v>
          </cell>
          <cell r="CD31">
            <v>0</v>
          </cell>
          <cell r="CE31">
            <v>0</v>
          </cell>
          <cell r="CF31">
            <v>0</v>
          </cell>
          <cell r="CG31">
            <v>0</v>
          </cell>
          <cell r="CH31">
            <v>0</v>
          </cell>
          <cell r="CI31">
            <v>0</v>
          </cell>
          <cell r="CJ31">
            <v>0</v>
          </cell>
          <cell r="CK31">
            <v>0</v>
          </cell>
          <cell r="CL31">
            <v>0</v>
          </cell>
          <cell r="CM31">
            <v>7</v>
          </cell>
          <cell r="CN31">
            <v>9</v>
          </cell>
          <cell r="CO31">
            <v>7.5</v>
          </cell>
          <cell r="CP31">
            <v>8.6</v>
          </cell>
          <cell r="CQ31">
            <v>9.1999999999999993</v>
          </cell>
          <cell r="CR31">
            <v>0</v>
          </cell>
          <cell r="CS31">
            <v>8.5</v>
          </cell>
          <cell r="CT31">
            <v>0</v>
          </cell>
          <cell r="CU31">
            <v>0</v>
          </cell>
          <cell r="CV31">
            <v>8.4</v>
          </cell>
          <cell r="CW31">
            <v>9.1999999999999993</v>
          </cell>
          <cell r="CX31">
            <v>9</v>
          </cell>
          <cell r="CY31">
            <v>0</v>
          </cell>
          <cell r="CZ31">
            <v>0</v>
          </cell>
          <cell r="DA31">
            <v>0</v>
          </cell>
          <cell r="DB31">
            <v>0</v>
          </cell>
          <cell r="DC31">
            <v>0</v>
          </cell>
          <cell r="DD31">
            <v>0</v>
          </cell>
          <cell r="DE31">
            <v>0</v>
          </cell>
          <cell r="DF31">
            <v>0</v>
          </cell>
          <cell r="DG31">
            <v>0</v>
          </cell>
          <cell r="DH31">
            <v>7.1</v>
          </cell>
          <cell r="DI31">
            <v>8.5</v>
          </cell>
          <cell r="DJ31">
            <v>7.3</v>
          </cell>
          <cell r="DK31">
            <v>9.6999999999999993</v>
          </cell>
          <cell r="DL31">
            <v>8</v>
          </cell>
          <cell r="DM31">
            <v>0</v>
          </cell>
          <cell r="DN31">
            <v>8.3000000000000007</v>
          </cell>
          <cell r="DO31">
            <v>0</v>
          </cell>
          <cell r="DP31">
            <v>0</v>
          </cell>
          <cell r="DQ31">
            <v>7.6</v>
          </cell>
          <cell r="DR31">
            <v>9.4</v>
          </cell>
          <cell r="DS31">
            <v>9</v>
          </cell>
          <cell r="DT31">
            <v>0</v>
          </cell>
          <cell r="DU31">
            <v>0</v>
          </cell>
          <cell r="DV31">
            <v>0</v>
          </cell>
          <cell r="DW31">
            <v>0</v>
          </cell>
          <cell r="DX31">
            <v>0</v>
          </cell>
          <cell r="DY31">
            <v>0</v>
          </cell>
          <cell r="DZ31">
            <v>0</v>
          </cell>
          <cell r="EA31">
            <v>0</v>
          </cell>
          <cell r="EB31">
            <v>0</v>
          </cell>
          <cell r="EC31">
            <v>5.25</v>
          </cell>
          <cell r="ED31">
            <v>7</v>
          </cell>
          <cell r="EE31">
            <v>3.5</v>
          </cell>
          <cell r="EG31">
            <v>6.75</v>
          </cell>
        </row>
        <row r="32">
          <cell r="A32">
            <v>792398749</v>
          </cell>
          <cell r="B32" t="str">
            <v>KSVBS2631718</v>
          </cell>
          <cell r="C32" t="str">
            <v>20</v>
          </cell>
          <cell r="D32" t="str">
            <v>LÊ PHÚC AN</v>
          </cell>
          <cell r="E32" t="str">
            <v>1</v>
          </cell>
          <cell r="F32" t="str">
            <v>27/07/2008</v>
          </cell>
          <cell r="G32" t="str">
            <v>phucanle171913@gmail.com</v>
          </cell>
          <cell r="H32" t="str">
            <v>0792398749</v>
          </cell>
          <cell r="I32" t="str">
            <v>086308009238</v>
          </cell>
          <cell r="J32" t="str">
            <v xml:space="preserve">75/10A, Đường Trần Phú, Tổ 6, Khóm 6, Phường Phước Hậu-Vĩnh Long </v>
          </cell>
          <cell r="K32" t="str">
            <v>KV2</v>
          </cell>
          <cell r="M32" t="str">
            <v>Không có</v>
          </cell>
          <cell r="N32" t="str">
            <v>Kinh</v>
          </cell>
          <cell r="P32" t="str">
            <v>2026</v>
          </cell>
          <cell r="Q32" t="str">
            <v>86015817</v>
          </cell>
          <cell r="R32" t="str">
            <v>Không có</v>
          </cell>
          <cell r="S32" t="str">
            <v>Không có</v>
          </cell>
          <cell r="T32" t="str">
            <v>Không có</v>
          </cell>
          <cell r="U32" t="str">
            <v>500532</v>
          </cell>
          <cell r="V32" t="str">
            <v>D26640429</v>
          </cell>
          <cell r="W32" t="str">
            <v>525.00</v>
          </cell>
          <cell r="Z32" t="str">
            <v>0.00</v>
          </cell>
          <cell r="AA32" t="str">
            <v>Không có</v>
          </cell>
          <cell r="AF32" t="str">
            <v>86N</v>
          </cell>
          <cell r="AG32" t="str">
            <v>410</v>
          </cell>
          <cell r="AH32" t="str">
            <v>THPT Vĩnh Long</v>
          </cell>
          <cell r="AI32" t="str">
            <v>86N</v>
          </cell>
          <cell r="AJ32" t="str">
            <v>410</v>
          </cell>
          <cell r="AK32" t="str">
            <v>THPT Vĩnh Long</v>
          </cell>
          <cell r="AL32" t="str">
            <v>86N</v>
          </cell>
          <cell r="AM32" t="str">
            <v>410</v>
          </cell>
          <cell r="AN32" t="str">
            <v>THPT Vĩnh Long</v>
          </cell>
          <cell r="AO32" t="str">
            <v>GDPT2018</v>
          </cell>
          <cell r="AP32" t="str">
            <v>Tốt</v>
          </cell>
          <cell r="AQ32" t="str">
            <v>0.00</v>
          </cell>
          <cell r="AR32" t="str">
            <v>8.47</v>
          </cell>
          <cell r="AS32" t="str">
            <v>8.60</v>
          </cell>
          <cell r="AT32" t="str">
            <v>8.64</v>
          </cell>
          <cell r="AU32" t="str">
            <v>True</v>
          </cell>
          <cell r="AW32" t="str">
            <v>7340120</v>
          </cell>
          <cell r="AX32" t="str">
            <v>Kinh doanh quốc tế</v>
          </cell>
          <cell r="BC32" t="str">
            <v>quynhlx</v>
          </cell>
          <cell r="BD32" t="str">
            <v>Đã được tiếp nhận</v>
          </cell>
          <cell r="BF32" t="str">
            <v>3</v>
          </cell>
          <cell r="BM32" t="str">
            <v>True</v>
          </cell>
          <cell r="BN32" t="str">
            <v>True</v>
          </cell>
          <cell r="BO32" t="str">
            <v>KQTHPT_30_086308009238.pdf</v>
          </cell>
          <cell r="BP32" t="str">
            <v>KQDGNL_30_086308009238.pdf</v>
          </cell>
          <cell r="BQ32" t="str">
            <v>KQVSAT_30_086308009238.pdf</v>
          </cell>
          <cell r="BR32">
            <v>8.4</v>
          </cell>
          <cell r="BS32">
            <v>8.1</v>
          </cell>
          <cell r="BT32">
            <v>8</v>
          </cell>
          <cell r="BU32">
            <v>10</v>
          </cell>
          <cell r="BV32">
            <v>8.8000000000000007</v>
          </cell>
          <cell r="BW32">
            <v>0</v>
          </cell>
          <cell r="BX32">
            <v>8.1999999999999993</v>
          </cell>
          <cell r="BY32">
            <v>5.8</v>
          </cell>
          <cell r="BZ32">
            <v>0</v>
          </cell>
          <cell r="CA32">
            <v>0</v>
          </cell>
          <cell r="CB32">
            <v>9.8000000000000007</v>
          </cell>
          <cell r="CC32">
            <v>9.1</v>
          </cell>
          <cell r="CD32">
            <v>0</v>
          </cell>
          <cell r="CE32">
            <v>0</v>
          </cell>
          <cell r="CF32">
            <v>0</v>
          </cell>
          <cell r="CG32">
            <v>0</v>
          </cell>
          <cell r="CH32">
            <v>0</v>
          </cell>
          <cell r="CI32">
            <v>0</v>
          </cell>
          <cell r="CJ32">
            <v>0</v>
          </cell>
          <cell r="CK32">
            <v>0</v>
          </cell>
          <cell r="CL32">
            <v>0</v>
          </cell>
          <cell r="CM32">
            <v>7.4</v>
          </cell>
          <cell r="CN32">
            <v>7.8</v>
          </cell>
          <cell r="CO32">
            <v>8.1</v>
          </cell>
          <cell r="CP32">
            <v>9.1999999999999993</v>
          </cell>
          <cell r="CQ32">
            <v>9.8000000000000007</v>
          </cell>
          <cell r="CR32">
            <v>0</v>
          </cell>
          <cell r="CS32">
            <v>8.1</v>
          </cell>
          <cell r="CT32">
            <v>8.4</v>
          </cell>
          <cell r="CU32">
            <v>0</v>
          </cell>
          <cell r="CV32">
            <v>0</v>
          </cell>
          <cell r="CW32">
            <v>9.4</v>
          </cell>
          <cell r="CX32">
            <v>9.1999999999999993</v>
          </cell>
          <cell r="CY32">
            <v>0</v>
          </cell>
          <cell r="CZ32">
            <v>0</v>
          </cell>
          <cell r="DA32">
            <v>0</v>
          </cell>
          <cell r="DB32">
            <v>0</v>
          </cell>
          <cell r="DC32">
            <v>0</v>
          </cell>
          <cell r="DD32">
            <v>0</v>
          </cell>
          <cell r="DE32">
            <v>0</v>
          </cell>
          <cell r="DF32">
            <v>0</v>
          </cell>
          <cell r="DG32">
            <v>0</v>
          </cell>
          <cell r="DH32">
            <v>8.9</v>
          </cell>
          <cell r="DI32">
            <v>8.1</v>
          </cell>
          <cell r="DJ32">
            <v>7.3</v>
          </cell>
          <cell r="DK32">
            <v>9.8000000000000007</v>
          </cell>
          <cell r="DL32">
            <v>9</v>
          </cell>
          <cell r="DM32">
            <v>0</v>
          </cell>
          <cell r="DN32">
            <v>9.1999999999999993</v>
          </cell>
          <cell r="DO32">
            <v>6.8</v>
          </cell>
          <cell r="DP32">
            <v>0</v>
          </cell>
          <cell r="DQ32">
            <v>0</v>
          </cell>
          <cell r="DR32">
            <v>9.6999999999999993</v>
          </cell>
          <cell r="DS32">
            <v>9</v>
          </cell>
          <cell r="DT32">
            <v>0</v>
          </cell>
          <cell r="DU32">
            <v>0</v>
          </cell>
          <cell r="DV32">
            <v>0</v>
          </cell>
          <cell r="DW32">
            <v>0</v>
          </cell>
          <cell r="DX32">
            <v>0</v>
          </cell>
          <cell r="DY32">
            <v>0</v>
          </cell>
          <cell r="DZ32">
            <v>0</v>
          </cell>
          <cell r="EA32">
            <v>0</v>
          </cell>
          <cell r="EB32">
            <v>0</v>
          </cell>
          <cell r="EC32">
            <v>5.25</v>
          </cell>
          <cell r="ED32">
            <v>6.5</v>
          </cell>
          <cell r="EG32">
            <v>7.75</v>
          </cell>
          <cell r="EI32">
            <v>5</v>
          </cell>
          <cell r="EX32">
            <v>107.5</v>
          </cell>
          <cell r="EZ32">
            <v>117</v>
          </cell>
          <cell r="FA32">
            <v>92</v>
          </cell>
        </row>
        <row r="33">
          <cell r="A33">
            <v>919969394</v>
          </cell>
          <cell r="B33" t="str">
            <v>KSVBS2638358</v>
          </cell>
          <cell r="C33" t="str">
            <v>80</v>
          </cell>
          <cell r="D33" t="str">
            <v>ĐẶNG HUỲNH TRÚC PHƯƠNG</v>
          </cell>
          <cell r="E33" t="str">
            <v>1</v>
          </cell>
          <cell r="F33" t="str">
            <v>19/10/2008</v>
          </cell>
          <cell r="G33" t="str">
            <v>ptruc1967@gmail.com</v>
          </cell>
          <cell r="H33" t="str">
            <v>0919969394</v>
          </cell>
          <cell r="I33" t="str">
            <v>086308004288</v>
          </cell>
          <cell r="J33" t="str">
            <v>ấp mỹ phú 3, xã Tam Bình, Tỉnh Vĩnh Long</v>
          </cell>
          <cell r="K33" t="str">
            <v>KV2-NT</v>
          </cell>
          <cell r="M33" t="str">
            <v>Không có</v>
          </cell>
          <cell r="N33" t="str">
            <v>Kinh</v>
          </cell>
          <cell r="P33" t="str">
            <v>2026</v>
          </cell>
          <cell r="Q33" t="str">
            <v>86022886</v>
          </cell>
          <cell r="R33" t="str">
            <v>Không có</v>
          </cell>
          <cell r="S33" t="str">
            <v>Không có</v>
          </cell>
          <cell r="T33" t="str">
            <v>Không có</v>
          </cell>
          <cell r="AA33" t="str">
            <v>Không có</v>
          </cell>
          <cell r="AF33" t="str">
            <v>86N</v>
          </cell>
          <cell r="AG33" t="str">
            <v>414</v>
          </cell>
          <cell r="AH33" t="str">
            <v>THPT Trần Đại Nghĩa</v>
          </cell>
          <cell r="AI33" t="str">
            <v>86N</v>
          </cell>
          <cell r="AJ33" t="str">
            <v>414</v>
          </cell>
          <cell r="AK33" t="str">
            <v>THPT Trần Đại Nghĩa</v>
          </cell>
          <cell r="AL33" t="str">
            <v>86N</v>
          </cell>
          <cell r="AM33" t="str">
            <v>414</v>
          </cell>
          <cell r="AN33" t="str">
            <v>THPT Trần Đại Nghĩa</v>
          </cell>
          <cell r="AO33" t="str">
            <v>GDPT2018</v>
          </cell>
          <cell r="AP33" t="str">
            <v>Tốt</v>
          </cell>
          <cell r="AQ33" t="str">
            <v>6.79</v>
          </cell>
          <cell r="AR33" t="str">
            <v>8.17</v>
          </cell>
          <cell r="AS33" t="str">
            <v>8.98</v>
          </cell>
          <cell r="AT33" t="str">
            <v>9.12</v>
          </cell>
          <cell r="AU33" t="str">
            <v>False</v>
          </cell>
          <cell r="AW33" t="str">
            <v>7340120</v>
          </cell>
          <cell r="AX33" t="str">
            <v>Kinh doanh quốc tế</v>
          </cell>
          <cell r="BC33" t="str">
            <v>quynhlx</v>
          </cell>
          <cell r="BD33" t="str">
            <v>Đã được tiếp nhận</v>
          </cell>
          <cell r="BE33" t="str">
            <v xml:space="preserve">Trường điều chỉnh giới tính từ Nam sang Nữ theo CCCD </v>
          </cell>
          <cell r="BF33" t="str">
            <v>3</v>
          </cell>
          <cell r="BM33" t="str">
            <v>True</v>
          </cell>
          <cell r="BN33" t="str">
            <v>True</v>
          </cell>
          <cell r="BO33" t="str">
            <v>KQTHPT_31_086308004288.pdf</v>
          </cell>
          <cell r="BQ33" t="str">
            <v>KQVSAT_31_086308004288.pdf</v>
          </cell>
          <cell r="BR33">
            <v>7.4</v>
          </cell>
          <cell r="BS33">
            <v>7.2</v>
          </cell>
          <cell r="BT33">
            <v>7.6</v>
          </cell>
          <cell r="BU33">
            <v>8.9</v>
          </cell>
          <cell r="BV33">
            <v>8.9</v>
          </cell>
          <cell r="BW33">
            <v>0</v>
          </cell>
          <cell r="BX33">
            <v>0</v>
          </cell>
          <cell r="BY33">
            <v>8.1</v>
          </cell>
          <cell r="BZ33">
            <v>7.5</v>
          </cell>
          <cell r="CA33">
            <v>0</v>
          </cell>
          <cell r="CB33">
            <v>9.4</v>
          </cell>
          <cell r="CC33">
            <v>8.5</v>
          </cell>
          <cell r="CD33">
            <v>0</v>
          </cell>
          <cell r="CE33">
            <v>0</v>
          </cell>
          <cell r="CF33">
            <v>0</v>
          </cell>
          <cell r="CG33">
            <v>0</v>
          </cell>
          <cell r="CH33">
            <v>0</v>
          </cell>
          <cell r="CI33">
            <v>0</v>
          </cell>
          <cell r="CJ33">
            <v>0</v>
          </cell>
          <cell r="CK33">
            <v>0</v>
          </cell>
          <cell r="CL33">
            <v>0</v>
          </cell>
          <cell r="CM33">
            <v>8</v>
          </cell>
          <cell r="CN33">
            <v>7.8</v>
          </cell>
          <cell r="CO33">
            <v>9.1999999999999993</v>
          </cell>
          <cell r="CP33">
            <v>9.9</v>
          </cell>
          <cell r="CQ33">
            <v>9</v>
          </cell>
          <cell r="CR33">
            <v>0</v>
          </cell>
          <cell r="CS33">
            <v>0</v>
          </cell>
          <cell r="CT33">
            <v>9.1999999999999993</v>
          </cell>
          <cell r="CU33">
            <v>8.1999999999999993</v>
          </cell>
          <cell r="CV33">
            <v>0</v>
          </cell>
          <cell r="CW33">
            <v>9.9</v>
          </cell>
          <cell r="CX33">
            <v>9.6</v>
          </cell>
          <cell r="CY33">
            <v>0</v>
          </cell>
          <cell r="CZ33">
            <v>0</v>
          </cell>
          <cell r="DA33">
            <v>0</v>
          </cell>
          <cell r="DB33">
            <v>0</v>
          </cell>
          <cell r="DC33">
            <v>0</v>
          </cell>
          <cell r="DD33">
            <v>0</v>
          </cell>
          <cell r="DE33">
            <v>0</v>
          </cell>
          <cell r="DF33">
            <v>0</v>
          </cell>
          <cell r="DG33">
            <v>0</v>
          </cell>
          <cell r="DH33">
            <v>9.1999999999999993</v>
          </cell>
          <cell r="DI33">
            <v>9.1</v>
          </cell>
          <cell r="DJ33">
            <v>8.9</v>
          </cell>
          <cell r="DK33">
            <v>9.4</v>
          </cell>
          <cell r="DL33">
            <v>8.4</v>
          </cell>
          <cell r="DM33">
            <v>0</v>
          </cell>
          <cell r="DN33">
            <v>0</v>
          </cell>
          <cell r="DO33">
            <v>8.9</v>
          </cell>
          <cell r="DP33">
            <v>9.5</v>
          </cell>
          <cell r="DQ33">
            <v>0</v>
          </cell>
          <cell r="DR33">
            <v>9.6999999999999993</v>
          </cell>
          <cell r="DS33">
            <v>9</v>
          </cell>
          <cell r="DT33">
            <v>0</v>
          </cell>
          <cell r="DU33">
            <v>0</v>
          </cell>
          <cell r="DV33">
            <v>0</v>
          </cell>
          <cell r="DW33">
            <v>0</v>
          </cell>
          <cell r="DX33">
            <v>0</v>
          </cell>
          <cell r="DY33">
            <v>0</v>
          </cell>
          <cell r="DZ33">
            <v>0</v>
          </cell>
          <cell r="EA33">
            <v>0</v>
          </cell>
          <cell r="EB33">
            <v>0</v>
          </cell>
          <cell r="EC33">
            <v>5</v>
          </cell>
          <cell r="ED33">
            <v>5.08</v>
          </cell>
          <cell r="EE33">
            <v>3.5</v>
          </cell>
          <cell r="EJ33">
            <v>5</v>
          </cell>
          <cell r="EW33">
            <v>96</v>
          </cell>
          <cell r="EX33">
            <v>106</v>
          </cell>
          <cell r="EY33">
            <v>80.5</v>
          </cell>
        </row>
        <row r="34">
          <cell r="A34">
            <v>933026760</v>
          </cell>
          <cell r="B34" t="str">
            <v>KSVBS2646165</v>
          </cell>
          <cell r="C34" t="str">
            <v>22</v>
          </cell>
          <cell r="D34" t="str">
            <v>TRẦN NGUYỄN TÂM NHƯ</v>
          </cell>
          <cell r="E34" t="str">
            <v>1</v>
          </cell>
          <cell r="F34" t="str">
            <v>16/05/2008</v>
          </cell>
          <cell r="G34" t="str">
            <v>tamnhu052008@gmail.com</v>
          </cell>
          <cell r="H34" t="str">
            <v>0933026760</v>
          </cell>
          <cell r="I34" t="str">
            <v>080308005425</v>
          </cell>
          <cell r="J34" t="str">
            <v>1/21, ô3, Ấp Thủ Khoa Thừa 1, Xã Thủ Thừa, Tỉnh Tây Ninh</v>
          </cell>
          <cell r="K34" t="str">
            <v>KV2-NT</v>
          </cell>
          <cell r="M34" t="str">
            <v>Không có</v>
          </cell>
          <cell r="N34" t="str">
            <v>Kinh</v>
          </cell>
          <cell r="P34" t="str">
            <v>2026</v>
          </cell>
          <cell r="Q34" t="str">
            <v>80007124</v>
          </cell>
          <cell r="R34" t="str">
            <v>Không có</v>
          </cell>
          <cell r="S34" t="str">
            <v>Không có</v>
          </cell>
          <cell r="T34" t="str">
            <v>Không có</v>
          </cell>
          <cell r="AA34" t="str">
            <v>Không có</v>
          </cell>
          <cell r="AF34" t="str">
            <v>72N</v>
          </cell>
          <cell r="AG34" t="str">
            <v>223</v>
          </cell>
          <cell r="AH34" t="str">
            <v>THPT Thủ Thừa</v>
          </cell>
          <cell r="AI34" t="str">
            <v>72N</v>
          </cell>
          <cell r="AJ34" t="str">
            <v>223</v>
          </cell>
          <cell r="AK34" t="str">
            <v>THPT Thủ Thừa</v>
          </cell>
          <cell r="AL34" t="str">
            <v>72N</v>
          </cell>
          <cell r="AM34" t="str">
            <v>223</v>
          </cell>
          <cell r="AN34" t="str">
            <v>THPT Thủ Thừa</v>
          </cell>
          <cell r="AO34" t="str">
            <v>GDPT2018</v>
          </cell>
          <cell r="AP34" t="str">
            <v>Tốt</v>
          </cell>
          <cell r="AQ34" t="str">
            <v>0.00</v>
          </cell>
          <cell r="AR34" t="str">
            <v>7.39</v>
          </cell>
          <cell r="AS34" t="str">
            <v>8.67</v>
          </cell>
          <cell r="AT34" t="str">
            <v>9.04</v>
          </cell>
          <cell r="AU34" t="str">
            <v>False</v>
          </cell>
          <cell r="AW34" t="str">
            <v>7340201_1</v>
          </cell>
          <cell r="AX34" t="str">
            <v>Ngân hàng</v>
          </cell>
          <cell r="BC34" t="str">
            <v>quynhlx</v>
          </cell>
          <cell r="BD34" t="str">
            <v>Đã được tiếp nhận</v>
          </cell>
          <cell r="BF34" t="str">
            <v>3</v>
          </cell>
          <cell r="BM34" t="str">
            <v>True</v>
          </cell>
          <cell r="BN34" t="str">
            <v>False</v>
          </cell>
          <cell r="BO34" t="str">
            <v>KQTHPT_32_080308005425.pdf</v>
          </cell>
          <cell r="BR34">
            <v>7</v>
          </cell>
          <cell r="BS34">
            <v>6.2</v>
          </cell>
          <cell r="BT34">
            <v>7.2</v>
          </cell>
          <cell r="BU34">
            <v>7.9</v>
          </cell>
          <cell r="BV34">
            <v>7.5</v>
          </cell>
          <cell r="BW34">
            <v>7</v>
          </cell>
          <cell r="BX34">
            <v>6.5</v>
          </cell>
          <cell r="BY34">
            <v>0</v>
          </cell>
          <cell r="BZ34">
            <v>0</v>
          </cell>
          <cell r="CA34">
            <v>0</v>
          </cell>
          <cell r="CB34">
            <v>7.8</v>
          </cell>
          <cell r="CC34">
            <v>9.4</v>
          </cell>
          <cell r="CD34">
            <v>0</v>
          </cell>
          <cell r="CE34">
            <v>0</v>
          </cell>
          <cell r="CF34">
            <v>0</v>
          </cell>
          <cell r="CG34">
            <v>0</v>
          </cell>
          <cell r="CH34">
            <v>0</v>
          </cell>
          <cell r="CI34">
            <v>0</v>
          </cell>
          <cell r="CJ34">
            <v>0</v>
          </cell>
          <cell r="CK34">
            <v>0</v>
          </cell>
          <cell r="CL34">
            <v>0</v>
          </cell>
          <cell r="CM34">
            <v>7.7</v>
          </cell>
          <cell r="CN34">
            <v>6.9</v>
          </cell>
          <cell r="CO34">
            <v>8.6</v>
          </cell>
          <cell r="CP34">
            <v>9.1</v>
          </cell>
          <cell r="CQ34">
            <v>8.5</v>
          </cell>
          <cell r="CR34">
            <v>8.6</v>
          </cell>
          <cell r="CS34">
            <v>9.1999999999999993</v>
          </cell>
          <cell r="CT34">
            <v>0</v>
          </cell>
          <cell r="CU34">
            <v>0</v>
          </cell>
          <cell r="CV34">
            <v>0</v>
          </cell>
          <cell r="CW34">
            <v>9.8000000000000007</v>
          </cell>
          <cell r="CX34">
            <v>9.6</v>
          </cell>
          <cell r="CY34">
            <v>0</v>
          </cell>
          <cell r="CZ34">
            <v>0</v>
          </cell>
          <cell r="DA34">
            <v>0</v>
          </cell>
          <cell r="DB34">
            <v>0</v>
          </cell>
          <cell r="DC34">
            <v>0</v>
          </cell>
          <cell r="DD34">
            <v>0</v>
          </cell>
          <cell r="DE34">
            <v>0</v>
          </cell>
          <cell r="DF34">
            <v>0</v>
          </cell>
          <cell r="DG34">
            <v>0</v>
          </cell>
          <cell r="DH34">
            <v>9.4</v>
          </cell>
          <cell r="DI34">
            <v>8</v>
          </cell>
          <cell r="DJ34">
            <v>7.3</v>
          </cell>
          <cell r="DK34">
            <v>9</v>
          </cell>
          <cell r="DL34">
            <v>9.4</v>
          </cell>
          <cell r="DM34">
            <v>9.6</v>
          </cell>
          <cell r="DN34">
            <v>9.6</v>
          </cell>
          <cell r="DO34">
            <v>0</v>
          </cell>
          <cell r="DP34">
            <v>0</v>
          </cell>
          <cell r="DQ34">
            <v>0</v>
          </cell>
          <cell r="DR34">
            <v>9.4</v>
          </cell>
          <cell r="DS34">
            <v>9.6999999999999993</v>
          </cell>
          <cell r="DT34">
            <v>0</v>
          </cell>
          <cell r="DU34">
            <v>0</v>
          </cell>
          <cell r="DV34">
            <v>0</v>
          </cell>
          <cell r="DW34">
            <v>0</v>
          </cell>
          <cell r="DX34">
            <v>0</v>
          </cell>
          <cell r="DY34">
            <v>0</v>
          </cell>
          <cell r="DZ34">
            <v>0</v>
          </cell>
          <cell r="EA34">
            <v>0</v>
          </cell>
          <cell r="EB34">
            <v>0</v>
          </cell>
          <cell r="EC34">
            <v>7.5</v>
          </cell>
          <cell r="ED34">
            <v>5.5</v>
          </cell>
          <cell r="EE34">
            <v>2.5</v>
          </cell>
          <cell r="EH34">
            <v>4.5999999999999996</v>
          </cell>
        </row>
        <row r="35">
          <cell r="A35">
            <v>919311306</v>
          </cell>
          <cell r="B35" t="str">
            <v>KSVBS2612974</v>
          </cell>
          <cell r="C35" t="str">
            <v>24</v>
          </cell>
          <cell r="D35" t="str">
            <v>NGUYỄN HÙNG SANG</v>
          </cell>
          <cell r="E35" t="str">
            <v>0</v>
          </cell>
          <cell r="F35" t="str">
            <v>10/01/2008</v>
          </cell>
          <cell r="G35" t="str">
            <v>sangnguyenhung532@gmail.com</v>
          </cell>
          <cell r="H35" t="str">
            <v>0919311306</v>
          </cell>
          <cell r="I35" t="str">
            <v>091208001550</v>
          </cell>
          <cell r="J35" t="str">
            <v>859/74 Mạc Cửu</v>
          </cell>
          <cell r="K35" t="str">
            <v>KV2</v>
          </cell>
          <cell r="M35" t="str">
            <v>Không có</v>
          </cell>
          <cell r="N35" t="str">
            <v>Kinh</v>
          </cell>
          <cell r="P35" t="str">
            <v>2026</v>
          </cell>
          <cell r="Q35" t="str">
            <v>91029245</v>
          </cell>
          <cell r="R35" t="str">
            <v>Không có</v>
          </cell>
          <cell r="S35" t="str">
            <v>Không có</v>
          </cell>
          <cell r="T35" t="str">
            <v>Không có</v>
          </cell>
          <cell r="W35" t="str">
            <v>0.00</v>
          </cell>
          <cell r="X35" t="str">
            <v>620593</v>
          </cell>
          <cell r="Y35" t="str">
            <v>D26954835</v>
          </cell>
          <cell r="Z35" t="str">
            <v>583.00</v>
          </cell>
          <cell r="AA35" t="str">
            <v>Không có</v>
          </cell>
          <cell r="AF35" t="str">
            <v>89N</v>
          </cell>
          <cell r="AG35" t="str">
            <v>016</v>
          </cell>
          <cell r="AH35" t="str">
            <v>Trường THPT Nguyễn Trung Trực 1</v>
          </cell>
          <cell r="AI35" t="str">
            <v>89N</v>
          </cell>
          <cell r="AJ35" t="str">
            <v>016</v>
          </cell>
          <cell r="AK35" t="str">
            <v>Trường THPT Nguyễn Trung Trực 1</v>
          </cell>
          <cell r="AL35" t="str">
            <v>89N</v>
          </cell>
          <cell r="AM35" t="str">
            <v>016</v>
          </cell>
          <cell r="AN35" t="str">
            <v>Trường THPT Nguyễn Trung Trực 1</v>
          </cell>
          <cell r="AO35" t="str">
            <v>GDPT2018</v>
          </cell>
          <cell r="AP35" t="str">
            <v>Đạt</v>
          </cell>
          <cell r="AQ35" t="str">
            <v>6.00</v>
          </cell>
          <cell r="AR35" t="str">
            <v>6.03</v>
          </cell>
          <cell r="AS35" t="str">
            <v>6.56</v>
          </cell>
          <cell r="AT35" t="str">
            <v>7.00</v>
          </cell>
          <cell r="AU35" t="str">
            <v>True</v>
          </cell>
          <cell r="AW35" t="str">
            <v>7340120</v>
          </cell>
          <cell r="AX35" t="str">
            <v>Kinh doanh quốc tế</v>
          </cell>
          <cell r="AY35" t="str">
            <v>7340122</v>
          </cell>
          <cell r="AZ35" t="str">
            <v>Thương mại điện tử</v>
          </cell>
          <cell r="BA35" t="str">
            <v>7220201</v>
          </cell>
          <cell r="BB35" t="str">
            <v>Tiếng Anh thương mại</v>
          </cell>
          <cell r="BC35" t="str">
            <v>quynhlx</v>
          </cell>
          <cell r="BD35" t="str">
            <v>Đã được tiếp nhận</v>
          </cell>
          <cell r="BE35" t="str">
            <v xml:space="preserve">Em tải lên lại học bạ theo tiêu chí sau: Học bạ gồm ít nhất 07 trang: trang thông tin học sinh, trang kết quả học tập + trang nhận xét của lớp 10, 11, 12. 
</v>
          </cell>
          <cell r="BF35" t="str">
            <v>3</v>
          </cell>
          <cell r="BM35" t="str">
            <v>True</v>
          </cell>
          <cell r="BN35" t="str">
            <v>True</v>
          </cell>
          <cell r="BO35" t="str">
            <v>KQTHPT_33_091208001550.pdf</v>
          </cell>
          <cell r="BP35" t="str">
            <v>KQDGNL_33_091208001550.pdf</v>
          </cell>
          <cell r="BQ35" t="str">
            <v>KQVSAT_33_091208001550.pdf</v>
          </cell>
          <cell r="BR35">
            <v>5.8</v>
          </cell>
          <cell r="BS35">
            <v>4.4000000000000004</v>
          </cell>
          <cell r="BT35">
            <v>5.9</v>
          </cell>
          <cell r="BU35">
            <v>7.8</v>
          </cell>
          <cell r="BV35">
            <v>6.6</v>
          </cell>
          <cell r="BW35">
            <v>6.8</v>
          </cell>
          <cell r="BX35">
            <v>6.5</v>
          </cell>
          <cell r="BY35">
            <v>5.2</v>
          </cell>
          <cell r="BZ35">
            <v>0</v>
          </cell>
          <cell r="CA35">
            <v>5.3</v>
          </cell>
          <cell r="CB35">
            <v>0</v>
          </cell>
          <cell r="CC35">
            <v>0</v>
          </cell>
          <cell r="CD35">
            <v>0</v>
          </cell>
          <cell r="CE35">
            <v>0</v>
          </cell>
          <cell r="CF35">
            <v>0</v>
          </cell>
          <cell r="CG35">
            <v>0</v>
          </cell>
          <cell r="CH35">
            <v>0</v>
          </cell>
          <cell r="CI35">
            <v>0</v>
          </cell>
          <cell r="CJ35">
            <v>0</v>
          </cell>
          <cell r="CK35">
            <v>0</v>
          </cell>
          <cell r="CL35">
            <v>0</v>
          </cell>
          <cell r="CM35">
            <v>5.6</v>
          </cell>
          <cell r="CN35">
            <v>6.5</v>
          </cell>
          <cell r="CO35">
            <v>6.7</v>
          </cell>
          <cell r="CP35">
            <v>5.8</v>
          </cell>
          <cell r="CQ35">
            <v>7.3</v>
          </cell>
          <cell r="CR35">
            <v>8.1</v>
          </cell>
          <cell r="CS35">
            <v>7.8</v>
          </cell>
          <cell r="CT35">
            <v>4.7</v>
          </cell>
          <cell r="CU35">
            <v>0</v>
          </cell>
          <cell r="CV35">
            <v>6.5</v>
          </cell>
          <cell r="CW35">
            <v>0</v>
          </cell>
          <cell r="CX35">
            <v>0</v>
          </cell>
          <cell r="CY35">
            <v>0</v>
          </cell>
          <cell r="CZ35">
            <v>0</v>
          </cell>
          <cell r="DA35">
            <v>0</v>
          </cell>
          <cell r="DB35">
            <v>0</v>
          </cell>
          <cell r="DC35">
            <v>0</v>
          </cell>
          <cell r="DD35">
            <v>0</v>
          </cell>
          <cell r="DE35">
            <v>0</v>
          </cell>
          <cell r="DF35">
            <v>0</v>
          </cell>
          <cell r="DG35">
            <v>0</v>
          </cell>
          <cell r="DH35">
            <v>6.3</v>
          </cell>
          <cell r="DI35">
            <v>6.7</v>
          </cell>
          <cell r="DJ35">
            <v>7.7</v>
          </cell>
          <cell r="DK35">
            <v>7.6</v>
          </cell>
          <cell r="DL35">
            <v>6.8</v>
          </cell>
          <cell r="DM35">
            <v>8.4</v>
          </cell>
          <cell r="DN35">
            <v>7.8</v>
          </cell>
          <cell r="DO35">
            <v>4.9000000000000004</v>
          </cell>
          <cell r="DP35">
            <v>0</v>
          </cell>
          <cell r="DQ35">
            <v>6.8</v>
          </cell>
          <cell r="DR35">
            <v>0</v>
          </cell>
          <cell r="DS35">
            <v>0</v>
          </cell>
          <cell r="DT35">
            <v>0</v>
          </cell>
          <cell r="DU35">
            <v>0</v>
          </cell>
          <cell r="DV35">
            <v>0</v>
          </cell>
          <cell r="DW35">
            <v>0</v>
          </cell>
          <cell r="DX35">
            <v>0</v>
          </cell>
          <cell r="DY35">
            <v>0</v>
          </cell>
          <cell r="DZ35">
            <v>0</v>
          </cell>
          <cell r="EA35">
            <v>0</v>
          </cell>
          <cell r="EB35">
            <v>0</v>
          </cell>
          <cell r="EC35">
            <v>5</v>
          </cell>
          <cell r="ED35">
            <v>5.5</v>
          </cell>
          <cell r="EE35">
            <v>3.75</v>
          </cell>
          <cell r="EH35">
            <v>7</v>
          </cell>
          <cell r="EW35">
            <v>58.5</v>
          </cell>
          <cell r="EX35">
            <v>96</v>
          </cell>
          <cell r="EY35">
            <v>96</v>
          </cell>
        </row>
        <row r="36">
          <cell r="A36">
            <v>973900764</v>
          </cell>
          <cell r="B36" t="str">
            <v>KSVBS2610916</v>
          </cell>
          <cell r="C36" t="str">
            <v>18</v>
          </cell>
          <cell r="D36" t="str">
            <v>NGUYỄN THÙY LINH</v>
          </cell>
          <cell r="E36" t="str">
            <v>1</v>
          </cell>
          <cell r="F36" t="str">
            <v>04/06/2008</v>
          </cell>
          <cell r="G36" t="str">
            <v>nguyenhathuylinh8@gmail.com</v>
          </cell>
          <cell r="H36" t="str">
            <v>0973900764</v>
          </cell>
          <cell r="I36" t="str">
            <v>075308023084</v>
          </cell>
          <cell r="J36" t="str">
            <v>161, huỳnh dân sanh, tổ 19, kp 32</v>
          </cell>
          <cell r="K36" t="str">
            <v>KV2</v>
          </cell>
          <cell r="M36" t="str">
            <v>Không có</v>
          </cell>
          <cell r="N36" t="str">
            <v>Kinh</v>
          </cell>
          <cell r="P36" t="str">
            <v>2026</v>
          </cell>
          <cell r="Q36" t="str">
            <v>75006902</v>
          </cell>
          <cell r="R36" t="str">
            <v>Không có</v>
          </cell>
          <cell r="S36" t="str">
            <v>Không có</v>
          </cell>
          <cell r="T36" t="str">
            <v>Không có</v>
          </cell>
          <cell r="U36" t="str">
            <v>431859</v>
          </cell>
          <cell r="V36" t="str">
            <v>D26685279</v>
          </cell>
          <cell r="W36" t="str">
            <v>751.00</v>
          </cell>
          <cell r="Z36" t="str">
            <v>0.00</v>
          </cell>
          <cell r="AA36" t="str">
            <v>Không có</v>
          </cell>
          <cell r="AF36" t="str">
            <v>75N</v>
          </cell>
          <cell r="AG36" t="str">
            <v>009</v>
          </cell>
          <cell r="AH36" t="str">
            <v>THPT Ngô Quyền</v>
          </cell>
          <cell r="AI36" t="str">
            <v>75N</v>
          </cell>
          <cell r="AJ36" t="str">
            <v>009</v>
          </cell>
          <cell r="AK36" t="str">
            <v>THPT Ngô Quyền</v>
          </cell>
          <cell r="AL36" t="str">
            <v>75N</v>
          </cell>
          <cell r="AM36" t="str">
            <v>009</v>
          </cell>
          <cell r="AN36" t="str">
            <v>THPT Ngô Quyền</v>
          </cell>
          <cell r="AO36" t="str">
            <v>GDPT2018</v>
          </cell>
          <cell r="AP36" t="str">
            <v>Khá</v>
          </cell>
          <cell r="AQ36" t="str">
            <v>7.69</v>
          </cell>
          <cell r="AR36" t="str">
            <v>7.72</v>
          </cell>
          <cell r="AS36" t="str">
            <v>7.79</v>
          </cell>
          <cell r="AT36" t="str">
            <v>7.69</v>
          </cell>
          <cell r="AU36" t="str">
            <v>True</v>
          </cell>
          <cell r="AW36" t="str">
            <v>7380107</v>
          </cell>
          <cell r="AX36" t="str">
            <v>Luật kinh tế</v>
          </cell>
          <cell r="BC36" t="str">
            <v>quynhlx</v>
          </cell>
          <cell r="BD36" t="str">
            <v>Đã được tiếp nhận</v>
          </cell>
          <cell r="BF36" t="str">
            <v>3</v>
          </cell>
          <cell r="BM36" t="str">
            <v>True</v>
          </cell>
          <cell r="BN36" t="str">
            <v>False</v>
          </cell>
          <cell r="BO36" t="str">
            <v>KQTHPT_34_075308023084.pdf</v>
          </cell>
          <cell r="BP36" t="str">
            <v>KQDGNL_34_075308023084.pdf</v>
          </cell>
          <cell r="BR36">
            <v>7.7</v>
          </cell>
          <cell r="BS36">
            <v>7.5</v>
          </cell>
          <cell r="BT36">
            <v>8</v>
          </cell>
          <cell r="BU36">
            <v>8.1999999999999993</v>
          </cell>
          <cell r="BV36">
            <v>7.6</v>
          </cell>
          <cell r="BW36">
            <v>0</v>
          </cell>
          <cell r="BX36">
            <v>0</v>
          </cell>
          <cell r="BY36">
            <v>7.7</v>
          </cell>
          <cell r="BZ36">
            <v>7.2</v>
          </cell>
          <cell r="CA36">
            <v>7.4</v>
          </cell>
          <cell r="CB36">
            <v>0</v>
          </cell>
          <cell r="CC36">
            <v>8.1999999999999993</v>
          </cell>
          <cell r="CD36">
            <v>0</v>
          </cell>
          <cell r="CE36">
            <v>0</v>
          </cell>
          <cell r="CF36">
            <v>0</v>
          </cell>
          <cell r="CG36">
            <v>0</v>
          </cell>
          <cell r="CH36">
            <v>0</v>
          </cell>
          <cell r="CI36">
            <v>0</v>
          </cell>
          <cell r="CJ36">
            <v>0</v>
          </cell>
          <cell r="CK36">
            <v>0</v>
          </cell>
          <cell r="CL36">
            <v>0</v>
          </cell>
          <cell r="CM36">
            <v>8.1</v>
          </cell>
          <cell r="CN36">
            <v>7.8</v>
          </cell>
          <cell r="CO36">
            <v>8</v>
          </cell>
          <cell r="CP36">
            <v>7.4</v>
          </cell>
          <cell r="CQ36">
            <v>7.3</v>
          </cell>
          <cell r="CR36">
            <v>0</v>
          </cell>
          <cell r="CS36">
            <v>0</v>
          </cell>
          <cell r="CT36">
            <v>7.6</v>
          </cell>
          <cell r="CU36">
            <v>7.3</v>
          </cell>
          <cell r="CV36">
            <v>7.7</v>
          </cell>
          <cell r="CW36">
            <v>0</v>
          </cell>
          <cell r="CX36">
            <v>8.9</v>
          </cell>
          <cell r="CY36">
            <v>0</v>
          </cell>
          <cell r="CZ36">
            <v>0</v>
          </cell>
          <cell r="DA36">
            <v>0</v>
          </cell>
          <cell r="DB36">
            <v>0</v>
          </cell>
          <cell r="DC36">
            <v>0</v>
          </cell>
          <cell r="DD36">
            <v>0</v>
          </cell>
          <cell r="DE36">
            <v>0</v>
          </cell>
          <cell r="DF36">
            <v>0</v>
          </cell>
          <cell r="DG36">
            <v>0</v>
          </cell>
          <cell r="DH36">
            <v>8.3000000000000007</v>
          </cell>
          <cell r="DI36">
            <v>8.1999999999999993</v>
          </cell>
          <cell r="DJ36">
            <v>7.3</v>
          </cell>
          <cell r="DK36">
            <v>8</v>
          </cell>
          <cell r="DL36">
            <v>7.8</v>
          </cell>
          <cell r="DM36">
            <v>0</v>
          </cell>
          <cell r="DN36">
            <v>0</v>
          </cell>
          <cell r="DO36">
            <v>7.7</v>
          </cell>
          <cell r="DP36">
            <v>7.2</v>
          </cell>
          <cell r="DQ36">
            <v>6.3</v>
          </cell>
          <cell r="DR36">
            <v>0</v>
          </cell>
          <cell r="DS36">
            <v>8.4</v>
          </cell>
          <cell r="DT36">
            <v>0</v>
          </cell>
          <cell r="DU36">
            <v>0</v>
          </cell>
          <cell r="DV36">
            <v>0</v>
          </cell>
          <cell r="DW36">
            <v>0</v>
          </cell>
          <cell r="DX36">
            <v>0</v>
          </cell>
          <cell r="DY36">
            <v>0</v>
          </cell>
          <cell r="DZ36">
            <v>0</v>
          </cell>
          <cell r="EA36">
            <v>0</v>
          </cell>
          <cell r="EB36">
            <v>0</v>
          </cell>
          <cell r="EC36">
            <v>7.5</v>
          </cell>
          <cell r="ED36">
            <v>6.75</v>
          </cell>
          <cell r="EE36">
            <v>0</v>
          </cell>
          <cell r="EG36">
            <v>0</v>
          </cell>
          <cell r="EI36">
            <v>0</v>
          </cell>
          <cell r="EJ36">
            <v>7</v>
          </cell>
          <cell r="EK36">
            <v>6.5</v>
          </cell>
          <cell r="EL36">
            <v>0</v>
          </cell>
          <cell r="EN36">
            <v>0</v>
          </cell>
        </row>
        <row r="37">
          <cell r="A37">
            <v>822760225</v>
          </cell>
          <cell r="B37" t="str">
            <v>KSVBS2646022</v>
          </cell>
          <cell r="C37" t="str">
            <v>21</v>
          </cell>
          <cell r="D37" t="str">
            <v>TÀO HOÀNG MINH</v>
          </cell>
          <cell r="E37" t="str">
            <v>0</v>
          </cell>
          <cell r="F37" t="str">
            <v>07/06/2008</v>
          </cell>
          <cell r="G37" t="str">
            <v>minhtao.31261570463@st.ueh.edu.vn</v>
          </cell>
          <cell r="H37" t="str">
            <v>0822760225</v>
          </cell>
          <cell r="I37" t="str">
            <v>086208005701</v>
          </cell>
          <cell r="J37" t="str">
            <v>62/27 Khóm 8, Phường Phước Hậu, Tỉnh Vĩnh Long</v>
          </cell>
          <cell r="K37" t="str">
            <v>KV2</v>
          </cell>
          <cell r="M37" t="str">
            <v>Không có</v>
          </cell>
          <cell r="N37" t="str">
            <v>Kinh</v>
          </cell>
          <cell r="P37" t="str">
            <v>2026</v>
          </cell>
          <cell r="Q37" t="str">
            <v>86013669</v>
          </cell>
          <cell r="R37" t="str">
            <v>Không có</v>
          </cell>
          <cell r="S37" t="str">
            <v>Không có</v>
          </cell>
          <cell r="T37" t="str">
            <v>Không có</v>
          </cell>
          <cell r="AA37" t="str">
            <v>Không có</v>
          </cell>
          <cell r="AF37" t="str">
            <v>86N</v>
          </cell>
          <cell r="AG37" t="str">
            <v>409</v>
          </cell>
          <cell r="AH37" t="str">
            <v>THPT Lưu Văn Liệt</v>
          </cell>
          <cell r="AI37" t="str">
            <v>86N</v>
          </cell>
          <cell r="AJ37" t="str">
            <v>409</v>
          </cell>
          <cell r="AK37" t="str">
            <v>THPT Lưu Văn Liệt</v>
          </cell>
          <cell r="AL37" t="str">
            <v>86N</v>
          </cell>
          <cell r="AM37" t="str">
            <v>409</v>
          </cell>
          <cell r="AN37" t="str">
            <v>THPT Lưu Văn Liệt</v>
          </cell>
          <cell r="AO37" t="str">
            <v>GDPT2018</v>
          </cell>
          <cell r="AP37" t="str">
            <v>Tốt</v>
          </cell>
          <cell r="AQ37" t="str">
            <v>7.28</v>
          </cell>
          <cell r="AR37" t="str">
            <v>7.98</v>
          </cell>
          <cell r="AS37" t="str">
            <v>8.32</v>
          </cell>
          <cell r="AT37" t="str">
            <v>8.56</v>
          </cell>
          <cell r="AU37" t="str">
            <v>False</v>
          </cell>
          <cell r="AW37" t="str">
            <v>7480107</v>
          </cell>
          <cell r="AX37" t="str">
            <v>Robot và Trí tuệ nhân tạo (hệ kỹ sư)</v>
          </cell>
          <cell r="AY37" t="str">
            <v>7810201</v>
          </cell>
          <cell r="AZ37" t="str">
            <v>Quản trị khách sạn</v>
          </cell>
          <cell r="BA37" t="str">
            <v>7340122</v>
          </cell>
          <cell r="BB37" t="str">
            <v>Thương mại điện tử</v>
          </cell>
          <cell r="BC37" t="str">
            <v>quynhlx</v>
          </cell>
          <cell r="BD37" t="str">
            <v>Đã được tiếp nhận</v>
          </cell>
          <cell r="BE37" t="str">
            <v>Trường đã điều chỉnh học lực từ Giỏi =&gt; Tốt theo học bạ của em</v>
          </cell>
          <cell r="BF37" t="str">
            <v>3</v>
          </cell>
          <cell r="BM37" t="str">
            <v>True</v>
          </cell>
          <cell r="BN37" t="str">
            <v>True</v>
          </cell>
          <cell r="BO37" t="str">
            <v>KQTHPT_35_086208005701.pdf</v>
          </cell>
          <cell r="BQ37" t="str">
            <v>KQVSAT_35_086208005701.pdf</v>
          </cell>
          <cell r="BR37">
            <v>8.1999999999999993</v>
          </cell>
          <cell r="BS37">
            <v>6.9</v>
          </cell>
          <cell r="BT37">
            <v>6.6</v>
          </cell>
          <cell r="BU37">
            <v>9.1</v>
          </cell>
          <cell r="BV37">
            <v>8.1</v>
          </cell>
          <cell r="BW37">
            <v>8.6</v>
          </cell>
          <cell r="BX37">
            <v>0</v>
          </cell>
          <cell r="BY37">
            <v>8.1</v>
          </cell>
          <cell r="BZ37">
            <v>8.1999999999999993</v>
          </cell>
          <cell r="CA37">
            <v>0</v>
          </cell>
          <cell r="CB37">
            <v>0</v>
          </cell>
          <cell r="CC37">
            <v>8</v>
          </cell>
          <cell r="CD37">
            <v>0</v>
          </cell>
          <cell r="CE37">
            <v>0</v>
          </cell>
          <cell r="CF37">
            <v>0</v>
          </cell>
          <cell r="CG37">
            <v>0</v>
          </cell>
          <cell r="CH37">
            <v>0</v>
          </cell>
          <cell r="CI37">
            <v>0</v>
          </cell>
          <cell r="CJ37">
            <v>0</v>
          </cell>
          <cell r="CK37">
            <v>0</v>
          </cell>
          <cell r="CL37">
            <v>0</v>
          </cell>
          <cell r="CM37">
            <v>8.1</v>
          </cell>
          <cell r="CN37">
            <v>6.9</v>
          </cell>
          <cell r="CO37">
            <v>8</v>
          </cell>
          <cell r="CP37">
            <v>9.9</v>
          </cell>
          <cell r="CQ37">
            <v>8.5</v>
          </cell>
          <cell r="CR37">
            <v>8.4</v>
          </cell>
          <cell r="CS37">
            <v>0</v>
          </cell>
          <cell r="CT37">
            <v>9.1999999999999993</v>
          </cell>
          <cell r="CU37">
            <v>7.1</v>
          </cell>
          <cell r="CV37">
            <v>0</v>
          </cell>
          <cell r="CW37">
            <v>0</v>
          </cell>
          <cell r="CX37">
            <v>8.8000000000000007</v>
          </cell>
          <cell r="CY37">
            <v>0</v>
          </cell>
          <cell r="CZ37">
            <v>0</v>
          </cell>
          <cell r="DA37">
            <v>0</v>
          </cell>
          <cell r="DB37">
            <v>0</v>
          </cell>
          <cell r="DC37">
            <v>0</v>
          </cell>
          <cell r="DD37">
            <v>0</v>
          </cell>
          <cell r="DE37">
            <v>0</v>
          </cell>
          <cell r="DF37">
            <v>0</v>
          </cell>
          <cell r="DG37">
            <v>0</v>
          </cell>
          <cell r="DH37">
            <v>7.8</v>
          </cell>
          <cell r="DI37">
            <v>6.7</v>
          </cell>
          <cell r="DJ37">
            <v>9</v>
          </cell>
          <cell r="DK37">
            <v>9.6</v>
          </cell>
          <cell r="DL37">
            <v>9.1</v>
          </cell>
          <cell r="DM37">
            <v>8.8000000000000007</v>
          </cell>
          <cell r="DN37">
            <v>0</v>
          </cell>
          <cell r="DO37">
            <v>9.4</v>
          </cell>
          <cell r="DP37">
            <v>7.6</v>
          </cell>
          <cell r="DQ37">
            <v>0</v>
          </cell>
          <cell r="DR37">
            <v>0</v>
          </cell>
          <cell r="DS37">
            <v>9</v>
          </cell>
          <cell r="DT37">
            <v>0</v>
          </cell>
          <cell r="DU37">
            <v>0</v>
          </cell>
          <cell r="DV37">
            <v>0</v>
          </cell>
          <cell r="DW37">
            <v>0</v>
          </cell>
          <cell r="DX37">
            <v>0</v>
          </cell>
          <cell r="DY37">
            <v>0</v>
          </cell>
          <cell r="DZ37">
            <v>0</v>
          </cell>
          <cell r="EA37">
            <v>0</v>
          </cell>
          <cell r="EB37">
            <v>0</v>
          </cell>
          <cell r="EC37">
            <v>7.75</v>
          </cell>
          <cell r="ED37">
            <v>5</v>
          </cell>
          <cell r="EE37">
            <v>5.75</v>
          </cell>
          <cell r="EJ37">
            <v>6.25</v>
          </cell>
          <cell r="EW37">
            <v>119</v>
          </cell>
          <cell r="EY37">
            <v>101.5</v>
          </cell>
          <cell r="FB37">
            <v>100</v>
          </cell>
        </row>
        <row r="38">
          <cell r="A38">
            <v>795498899</v>
          </cell>
          <cell r="B38" t="str">
            <v>KSVBS2627668</v>
          </cell>
          <cell r="C38" t="str">
            <v>25</v>
          </cell>
          <cell r="D38" t="str">
            <v>HỒ ĐĂNG QUANG</v>
          </cell>
          <cell r="E38" t="str">
            <v>0</v>
          </cell>
          <cell r="F38" t="str">
            <v>25/03/2008</v>
          </cell>
          <cell r="G38" t="str">
            <v>qdang3861@gmail.com</v>
          </cell>
          <cell r="H38" t="str">
            <v>0795498899</v>
          </cell>
          <cell r="I38" t="str">
            <v>086208004243</v>
          </cell>
          <cell r="J38" t="str">
            <v>29/22 Hưng Đạo Vương, phường Long Châu, Tỉnh Vĩnh Long</v>
          </cell>
          <cell r="K38" t="str">
            <v>KV2</v>
          </cell>
          <cell r="M38" t="str">
            <v>Không có</v>
          </cell>
          <cell r="N38" t="str">
            <v>Kinh</v>
          </cell>
          <cell r="P38" t="str">
            <v>2026</v>
          </cell>
          <cell r="Q38" t="str">
            <v>86016297</v>
          </cell>
          <cell r="R38" t="str">
            <v>Không có</v>
          </cell>
          <cell r="S38" t="str">
            <v>Không có</v>
          </cell>
          <cell r="T38" t="str">
            <v>Không có</v>
          </cell>
          <cell r="U38" t="str">
            <v>510372</v>
          </cell>
          <cell r="V38" t="str">
            <v>D26707204</v>
          </cell>
          <cell r="W38" t="str">
            <v>497.00</v>
          </cell>
          <cell r="X38" t="str">
            <v>183078</v>
          </cell>
          <cell r="Y38" t="str">
            <v>D26M9BVFN</v>
          </cell>
          <cell r="Z38" t="str">
            <v>578.00</v>
          </cell>
          <cell r="AA38" t="str">
            <v>Không có</v>
          </cell>
          <cell r="AF38" t="str">
            <v>86N</v>
          </cell>
          <cell r="AG38" t="str">
            <v>410</v>
          </cell>
          <cell r="AH38" t="str">
            <v>THPT Vĩnh Long</v>
          </cell>
          <cell r="AI38" t="str">
            <v>86N</v>
          </cell>
          <cell r="AJ38" t="str">
            <v>410</v>
          </cell>
          <cell r="AK38" t="str">
            <v>THPT Vĩnh Long</v>
          </cell>
          <cell r="AL38" t="str">
            <v>86N</v>
          </cell>
          <cell r="AM38" t="str">
            <v>410</v>
          </cell>
          <cell r="AN38" t="str">
            <v>THPT Vĩnh Long</v>
          </cell>
          <cell r="AO38" t="str">
            <v>GDPT2018</v>
          </cell>
          <cell r="AP38" t="str">
            <v>Tốt</v>
          </cell>
          <cell r="AQ38" t="str">
            <v>0.00</v>
          </cell>
          <cell r="AR38" t="str">
            <v>7.94</v>
          </cell>
          <cell r="AS38" t="str">
            <v>8.26</v>
          </cell>
          <cell r="AT38" t="str">
            <v>8.81</v>
          </cell>
          <cell r="AU38" t="str">
            <v>True</v>
          </cell>
          <cell r="AW38" t="str">
            <v>7340301</v>
          </cell>
          <cell r="AX38" t="str">
            <v>Kế toán doanh nghiệp</v>
          </cell>
          <cell r="BC38" t="str">
            <v>quynhlx</v>
          </cell>
          <cell r="BD38" t="str">
            <v>Đã được tiếp nhận</v>
          </cell>
          <cell r="BF38" t="str">
            <v>3</v>
          </cell>
          <cell r="BM38" t="str">
            <v>True</v>
          </cell>
          <cell r="BN38" t="str">
            <v>False</v>
          </cell>
          <cell r="BO38" t="str">
            <v>KQTHPT_36_086208004243.pdf</v>
          </cell>
          <cell r="BP38" t="str">
            <v>KQDGNL_36_086208004243.pdf</v>
          </cell>
          <cell r="BR38">
            <v>8.1999999999999993</v>
          </cell>
          <cell r="BS38">
            <v>7.4</v>
          </cell>
          <cell r="BT38">
            <v>6.8</v>
          </cell>
          <cell r="BU38">
            <v>9.5</v>
          </cell>
          <cell r="BV38">
            <v>8.6</v>
          </cell>
          <cell r="BW38">
            <v>7.5</v>
          </cell>
          <cell r="BX38">
            <v>7.2</v>
          </cell>
          <cell r="BY38">
            <v>0</v>
          </cell>
          <cell r="BZ38">
            <v>0</v>
          </cell>
          <cell r="CA38">
            <v>7.5</v>
          </cell>
          <cell r="CB38">
            <v>0</v>
          </cell>
          <cell r="CC38">
            <v>8.8000000000000007</v>
          </cell>
          <cell r="CD38">
            <v>0</v>
          </cell>
          <cell r="CE38">
            <v>0</v>
          </cell>
          <cell r="CF38">
            <v>0</v>
          </cell>
          <cell r="CG38">
            <v>0</v>
          </cell>
          <cell r="CH38">
            <v>0</v>
          </cell>
          <cell r="CI38">
            <v>0</v>
          </cell>
          <cell r="CJ38">
            <v>0</v>
          </cell>
          <cell r="CK38">
            <v>0</v>
          </cell>
          <cell r="CL38">
            <v>0</v>
          </cell>
          <cell r="CM38">
            <v>7.5</v>
          </cell>
          <cell r="CN38">
            <v>7.3</v>
          </cell>
          <cell r="CO38">
            <v>6.7</v>
          </cell>
          <cell r="CP38">
            <v>9.6999999999999993</v>
          </cell>
          <cell r="CQ38">
            <v>8.4</v>
          </cell>
          <cell r="CR38">
            <v>9.5</v>
          </cell>
          <cell r="CS38">
            <v>8.1999999999999993</v>
          </cell>
          <cell r="CT38">
            <v>0</v>
          </cell>
          <cell r="CU38">
            <v>0</v>
          </cell>
          <cell r="CV38">
            <v>8</v>
          </cell>
          <cell r="CW38">
            <v>0</v>
          </cell>
          <cell r="CX38">
            <v>9</v>
          </cell>
          <cell r="CY38">
            <v>0</v>
          </cell>
          <cell r="CZ38">
            <v>0</v>
          </cell>
          <cell r="DA38">
            <v>0</v>
          </cell>
          <cell r="DB38">
            <v>0</v>
          </cell>
          <cell r="DC38">
            <v>0</v>
          </cell>
          <cell r="DD38">
            <v>0</v>
          </cell>
          <cell r="DE38">
            <v>0</v>
          </cell>
          <cell r="DF38">
            <v>0</v>
          </cell>
          <cell r="DG38">
            <v>0</v>
          </cell>
          <cell r="DH38">
            <v>8</v>
          </cell>
          <cell r="DI38">
            <v>7.7</v>
          </cell>
          <cell r="DJ38">
            <v>9.1999999999999993</v>
          </cell>
          <cell r="DK38">
            <v>9.9</v>
          </cell>
          <cell r="DL38">
            <v>9</v>
          </cell>
          <cell r="DM38">
            <v>9.1</v>
          </cell>
          <cell r="DN38">
            <v>9</v>
          </cell>
          <cell r="DO38">
            <v>0</v>
          </cell>
          <cell r="DP38">
            <v>0</v>
          </cell>
          <cell r="DQ38">
            <v>8.3000000000000007</v>
          </cell>
          <cell r="DR38">
            <v>0</v>
          </cell>
          <cell r="DS38">
            <v>9.1</v>
          </cell>
          <cell r="DT38">
            <v>0</v>
          </cell>
          <cell r="DU38">
            <v>0</v>
          </cell>
          <cell r="DV38">
            <v>0</v>
          </cell>
          <cell r="DW38">
            <v>0</v>
          </cell>
          <cell r="DX38">
            <v>0</v>
          </cell>
          <cell r="DY38">
            <v>0</v>
          </cell>
          <cell r="DZ38">
            <v>0</v>
          </cell>
          <cell r="EA38">
            <v>0</v>
          </cell>
          <cell r="EB38">
            <v>0</v>
          </cell>
          <cell r="EC38">
            <v>5.75</v>
          </cell>
          <cell r="ED38">
            <v>6.25</v>
          </cell>
          <cell r="EE38">
            <v>3.75</v>
          </cell>
          <cell r="EI38">
            <v>7.25</v>
          </cell>
        </row>
        <row r="39">
          <cell r="A39">
            <v>939889906</v>
          </cell>
          <cell r="B39" t="str">
            <v>KSVBS2638777</v>
          </cell>
          <cell r="C39" t="str">
            <v>29</v>
          </cell>
          <cell r="D39" t="str">
            <v>LÊ NGỌC HÀ MY</v>
          </cell>
          <cell r="E39" t="str">
            <v>1</v>
          </cell>
          <cell r="F39" t="str">
            <v>23/04/2008</v>
          </cell>
          <cell r="G39" t="str">
            <v>lemy123vl@gmail.com</v>
          </cell>
          <cell r="H39" t="str">
            <v>0939889906</v>
          </cell>
          <cell r="I39" t="str">
            <v>086308006658</v>
          </cell>
          <cell r="J39" t="str">
            <v>Số 11, Tổ 1</v>
          </cell>
          <cell r="K39" t="str">
            <v>KV2</v>
          </cell>
          <cell r="M39" t="str">
            <v>Không có</v>
          </cell>
          <cell r="N39" t="str">
            <v>Kinh</v>
          </cell>
          <cell r="P39" t="str">
            <v>2026</v>
          </cell>
          <cell r="Q39" t="str">
            <v>86013671</v>
          </cell>
          <cell r="R39" t="str">
            <v>Không có</v>
          </cell>
          <cell r="S39" t="str">
            <v>Không có</v>
          </cell>
          <cell r="T39" t="str">
            <v>Không có</v>
          </cell>
          <cell r="AA39" t="str">
            <v>Không có</v>
          </cell>
          <cell r="AF39" t="str">
            <v>86N</v>
          </cell>
          <cell r="AG39" t="str">
            <v>409</v>
          </cell>
          <cell r="AH39" t="str">
            <v>THPT Lưu Văn Liệt</v>
          </cell>
          <cell r="AI39" t="str">
            <v>86N</v>
          </cell>
          <cell r="AJ39" t="str">
            <v>409</v>
          </cell>
          <cell r="AK39" t="str">
            <v>THPT Lưu Văn Liệt</v>
          </cell>
          <cell r="AL39" t="str">
            <v>86N</v>
          </cell>
          <cell r="AM39" t="str">
            <v>409</v>
          </cell>
          <cell r="AN39" t="str">
            <v>THPT Lưu Văn Liệt</v>
          </cell>
          <cell r="AO39" t="str">
            <v>GDPT2018</v>
          </cell>
          <cell r="AP39" t="str">
            <v>Tốt</v>
          </cell>
          <cell r="AQ39" t="str">
            <v>7.78</v>
          </cell>
          <cell r="AR39" t="str">
            <v>8.81</v>
          </cell>
          <cell r="AS39" t="str">
            <v>8.73</v>
          </cell>
          <cell r="AT39" t="str">
            <v>8.74</v>
          </cell>
          <cell r="AU39" t="str">
            <v>False</v>
          </cell>
          <cell r="AW39" t="str">
            <v>7220201</v>
          </cell>
          <cell r="AX39" t="str">
            <v>Tiếng Anh thương mại</v>
          </cell>
          <cell r="AY39" t="str">
            <v>7340120</v>
          </cell>
          <cell r="AZ39" t="str">
            <v>Kinh doanh quốc tế</v>
          </cell>
          <cell r="BA39" t="str">
            <v>7480107</v>
          </cell>
          <cell r="BB39" t="str">
            <v>Robot và Trí tuệ nhân tạo (hệ kỹ sư)</v>
          </cell>
          <cell r="BC39" t="str">
            <v>quynhlx</v>
          </cell>
          <cell r="BD39" t="str">
            <v>Đã được tiếp nhận</v>
          </cell>
          <cell r="BF39" t="str">
            <v>3</v>
          </cell>
          <cell r="BM39" t="str">
            <v>True</v>
          </cell>
          <cell r="BN39" t="str">
            <v>False</v>
          </cell>
          <cell r="BO39" t="str">
            <v>KQTHPT_37_086308006658.pdf</v>
          </cell>
          <cell r="BR39">
            <v>7.5</v>
          </cell>
          <cell r="BS39">
            <v>7.8</v>
          </cell>
          <cell r="BT39">
            <v>9.4</v>
          </cell>
          <cell r="BU39">
            <v>10</v>
          </cell>
          <cell r="BV39">
            <v>9</v>
          </cell>
          <cell r="BW39">
            <v>9.1</v>
          </cell>
          <cell r="BX39">
            <v>9.1999999999999993</v>
          </cell>
          <cell r="BY39">
            <v>0</v>
          </cell>
          <cell r="BZ39">
            <v>0</v>
          </cell>
          <cell r="CA39">
            <v>0</v>
          </cell>
          <cell r="CB39">
            <v>8.5</v>
          </cell>
          <cell r="CC39">
            <v>0</v>
          </cell>
          <cell r="CD39">
            <v>0</v>
          </cell>
          <cell r="CE39">
            <v>0</v>
          </cell>
          <cell r="CF39">
            <v>0</v>
          </cell>
          <cell r="CG39">
            <v>0</v>
          </cell>
          <cell r="CH39">
            <v>0</v>
          </cell>
          <cell r="CI39">
            <v>0</v>
          </cell>
          <cell r="CJ39">
            <v>0</v>
          </cell>
          <cell r="CK39">
            <v>0</v>
          </cell>
          <cell r="CL39">
            <v>0</v>
          </cell>
          <cell r="CM39">
            <v>7.3</v>
          </cell>
          <cell r="CN39">
            <v>7.4</v>
          </cell>
          <cell r="CO39">
            <v>9.6999999999999993</v>
          </cell>
          <cell r="CP39">
            <v>9.4</v>
          </cell>
          <cell r="CQ39">
            <v>9.4</v>
          </cell>
          <cell r="CR39">
            <v>9</v>
          </cell>
          <cell r="CS39">
            <v>8.8000000000000007</v>
          </cell>
          <cell r="CT39">
            <v>0</v>
          </cell>
          <cell r="CU39">
            <v>0</v>
          </cell>
          <cell r="CV39">
            <v>0</v>
          </cell>
          <cell r="CW39">
            <v>8.8000000000000007</v>
          </cell>
          <cell r="CX39">
            <v>0</v>
          </cell>
          <cell r="CY39">
            <v>0</v>
          </cell>
          <cell r="CZ39">
            <v>0</v>
          </cell>
          <cell r="DA39">
            <v>0</v>
          </cell>
          <cell r="DB39">
            <v>0</v>
          </cell>
          <cell r="DC39">
            <v>0</v>
          </cell>
          <cell r="DD39">
            <v>0</v>
          </cell>
          <cell r="DE39">
            <v>0</v>
          </cell>
          <cell r="DF39">
            <v>0</v>
          </cell>
          <cell r="DG39">
            <v>0</v>
          </cell>
          <cell r="DH39">
            <v>6.8</v>
          </cell>
          <cell r="DI39">
            <v>7.6</v>
          </cell>
          <cell r="DJ39">
            <v>9.4</v>
          </cell>
          <cell r="DK39">
            <v>9.9</v>
          </cell>
          <cell r="DL39">
            <v>9.3000000000000007</v>
          </cell>
          <cell r="DM39">
            <v>9</v>
          </cell>
          <cell r="DN39">
            <v>8.6999999999999993</v>
          </cell>
          <cell r="DO39">
            <v>0</v>
          </cell>
          <cell r="DP39">
            <v>0</v>
          </cell>
          <cell r="DQ39">
            <v>0</v>
          </cell>
          <cell r="DR39">
            <v>9.1999999999999993</v>
          </cell>
          <cell r="DS39">
            <v>0</v>
          </cell>
          <cell r="DT39">
            <v>0</v>
          </cell>
          <cell r="DU39">
            <v>0</v>
          </cell>
          <cell r="DV39">
            <v>0</v>
          </cell>
          <cell r="DW39">
            <v>0</v>
          </cell>
          <cell r="DX39">
            <v>0</v>
          </cell>
          <cell r="DY39">
            <v>0</v>
          </cell>
          <cell r="DZ39">
            <v>0</v>
          </cell>
          <cell r="EA39">
            <v>0</v>
          </cell>
          <cell r="EB39">
            <v>0</v>
          </cell>
          <cell r="EC39">
            <v>4.5</v>
          </cell>
          <cell r="ED39">
            <v>6</v>
          </cell>
          <cell r="EE39">
            <v>7.75</v>
          </cell>
          <cell r="EG39">
            <v>8.75</v>
          </cell>
        </row>
        <row r="40">
          <cell r="A40">
            <v>942523547</v>
          </cell>
          <cell r="B40" t="str">
            <v>KSVBS2617513</v>
          </cell>
          <cell r="C40" t="str">
            <v>27</v>
          </cell>
          <cell r="D40" t="str">
            <v>MAI VĂN KIM TÀI</v>
          </cell>
          <cell r="E40" t="str">
            <v>0</v>
          </cell>
          <cell r="F40" t="str">
            <v>07/06/2008</v>
          </cell>
          <cell r="G40" t="str">
            <v>tmai83178@gmail.com</v>
          </cell>
          <cell r="H40" t="str">
            <v>0942523547</v>
          </cell>
          <cell r="I40" t="str">
            <v>082208000404</v>
          </cell>
          <cell r="J40" t="str">
            <v>số 101, tổ 3, ấp 3, xã An Hữu, Đồng Tháp</v>
          </cell>
          <cell r="K40" t="str">
            <v>KV2-NT</v>
          </cell>
          <cell r="M40" t="str">
            <v>Không có</v>
          </cell>
          <cell r="N40" t="str">
            <v>Kinh</v>
          </cell>
          <cell r="P40" t="str">
            <v>2026</v>
          </cell>
          <cell r="Q40" t="str">
            <v>82020692</v>
          </cell>
          <cell r="R40" t="str">
            <v>Không có</v>
          </cell>
          <cell r="S40" t="str">
            <v>Không có</v>
          </cell>
          <cell r="T40" t="str">
            <v>Không có</v>
          </cell>
          <cell r="AA40" t="str">
            <v>Không có</v>
          </cell>
          <cell r="AF40" t="str">
            <v>87N</v>
          </cell>
          <cell r="AG40" t="str">
            <v>612</v>
          </cell>
          <cell r="AH40" t="str">
            <v>THPT Lê Thanh Hiền</v>
          </cell>
          <cell r="AI40" t="str">
            <v>87N</v>
          </cell>
          <cell r="AJ40" t="str">
            <v>612</v>
          </cell>
          <cell r="AK40" t="str">
            <v>THPT Lê Thanh Hiền</v>
          </cell>
          <cell r="AL40" t="str">
            <v>87N</v>
          </cell>
          <cell r="AM40" t="str">
            <v>612</v>
          </cell>
          <cell r="AN40" t="str">
            <v>THPT Lê Thanh Hiền</v>
          </cell>
          <cell r="AO40" t="str">
            <v>GDPT2018</v>
          </cell>
          <cell r="AP40" t="str">
            <v>Tốt</v>
          </cell>
          <cell r="AQ40" t="str">
            <v>0.00</v>
          </cell>
          <cell r="AR40" t="str">
            <v>9.21</v>
          </cell>
          <cell r="AS40" t="str">
            <v>8.99</v>
          </cell>
          <cell r="AT40" t="str">
            <v>8.82</v>
          </cell>
          <cell r="AU40" t="str">
            <v>False</v>
          </cell>
          <cell r="AW40" t="str">
            <v>7340101</v>
          </cell>
          <cell r="AX40" t="str">
            <v>Quản trị</v>
          </cell>
          <cell r="AY40" t="str">
            <v>7340301</v>
          </cell>
          <cell r="AZ40" t="str">
            <v>Kế toán doanh nghiệp</v>
          </cell>
          <cell r="BA40" t="str">
            <v>7340120</v>
          </cell>
          <cell r="BB40" t="str">
            <v>Kinh doanh quốc tế</v>
          </cell>
          <cell r="BC40" t="str">
            <v>quynhlx</v>
          </cell>
          <cell r="BD40" t="str">
            <v>Đã được tiếp nhận</v>
          </cell>
          <cell r="BF40" t="str">
            <v>3</v>
          </cell>
          <cell r="BM40" t="str">
            <v>True</v>
          </cell>
          <cell r="BN40" t="str">
            <v>False</v>
          </cell>
          <cell r="BO40" t="str">
            <v>KQTHPT_38_082208000404.pdf</v>
          </cell>
          <cell r="BR40">
            <v>8.9</v>
          </cell>
          <cell r="BS40">
            <v>7.2</v>
          </cell>
          <cell r="BT40">
            <v>9.4</v>
          </cell>
          <cell r="BU40">
            <v>9.5</v>
          </cell>
          <cell r="BV40">
            <v>9.4</v>
          </cell>
          <cell r="BW40">
            <v>0</v>
          </cell>
          <cell r="BX40">
            <v>0</v>
          </cell>
          <cell r="BY40">
            <v>9.8000000000000007</v>
          </cell>
          <cell r="BZ40">
            <v>9.5</v>
          </cell>
          <cell r="CA40">
            <v>9.4</v>
          </cell>
          <cell r="CB40">
            <v>0</v>
          </cell>
          <cell r="CC40">
            <v>9.8000000000000007</v>
          </cell>
          <cell r="CD40">
            <v>0</v>
          </cell>
          <cell r="CE40">
            <v>0</v>
          </cell>
          <cell r="CF40">
            <v>0</v>
          </cell>
          <cell r="CG40">
            <v>0</v>
          </cell>
          <cell r="CH40">
            <v>0</v>
          </cell>
          <cell r="CI40">
            <v>0</v>
          </cell>
          <cell r="CJ40">
            <v>0</v>
          </cell>
          <cell r="CK40">
            <v>0</v>
          </cell>
          <cell r="CL40">
            <v>0</v>
          </cell>
          <cell r="CM40">
            <v>9.4</v>
          </cell>
          <cell r="CN40">
            <v>8.3000000000000007</v>
          </cell>
          <cell r="CO40">
            <v>9.1</v>
          </cell>
          <cell r="CP40">
            <v>9.6</v>
          </cell>
          <cell r="CQ40">
            <v>9.1</v>
          </cell>
          <cell r="CR40">
            <v>0</v>
          </cell>
          <cell r="CS40">
            <v>0</v>
          </cell>
          <cell r="CT40">
            <v>8.6999999999999993</v>
          </cell>
          <cell r="CU40">
            <v>8</v>
          </cell>
          <cell r="CV40">
            <v>9</v>
          </cell>
          <cell r="CW40">
            <v>0</v>
          </cell>
          <cell r="CX40">
            <v>9.6999999999999993</v>
          </cell>
          <cell r="CY40">
            <v>0</v>
          </cell>
          <cell r="CZ40">
            <v>0</v>
          </cell>
          <cell r="DA40">
            <v>0</v>
          </cell>
          <cell r="DB40">
            <v>0</v>
          </cell>
          <cell r="DC40">
            <v>0</v>
          </cell>
          <cell r="DD40">
            <v>0</v>
          </cell>
          <cell r="DE40">
            <v>0</v>
          </cell>
          <cell r="DF40">
            <v>0</v>
          </cell>
          <cell r="DG40">
            <v>0</v>
          </cell>
          <cell r="DH40">
            <v>8.9</v>
          </cell>
          <cell r="DI40">
            <v>7.9</v>
          </cell>
          <cell r="DJ40">
            <v>9.1999999999999993</v>
          </cell>
          <cell r="DK40">
            <v>9.5</v>
          </cell>
          <cell r="DL40">
            <v>9.1999999999999993</v>
          </cell>
          <cell r="DM40">
            <v>0</v>
          </cell>
          <cell r="DN40">
            <v>0</v>
          </cell>
          <cell r="DO40">
            <v>8.3000000000000007</v>
          </cell>
          <cell r="DP40">
            <v>8.5</v>
          </cell>
          <cell r="DQ40">
            <v>8</v>
          </cell>
          <cell r="DR40">
            <v>0</v>
          </cell>
          <cell r="DS40">
            <v>9.9</v>
          </cell>
          <cell r="DT40">
            <v>0</v>
          </cell>
          <cell r="DU40">
            <v>0</v>
          </cell>
          <cell r="DV40">
            <v>0</v>
          </cell>
          <cell r="DW40">
            <v>0</v>
          </cell>
          <cell r="DX40">
            <v>0</v>
          </cell>
          <cell r="DY40">
            <v>0</v>
          </cell>
          <cell r="DZ40">
            <v>0</v>
          </cell>
          <cell r="EA40">
            <v>0</v>
          </cell>
          <cell r="EB40">
            <v>0</v>
          </cell>
          <cell r="EC40">
            <v>6</v>
          </cell>
          <cell r="ED40">
            <v>6.5</v>
          </cell>
          <cell r="EJ40">
            <v>3.6</v>
          </cell>
          <cell r="EK40">
            <v>7.5</v>
          </cell>
        </row>
        <row r="41">
          <cell r="A41">
            <v>336042094</v>
          </cell>
          <cell r="B41" t="str">
            <v>KSVBS2642989</v>
          </cell>
          <cell r="C41" t="str">
            <v>23</v>
          </cell>
          <cell r="D41" t="str">
            <v>HUỲNH THỊ THIÊN THIÊN</v>
          </cell>
          <cell r="E41" t="str">
            <v>1</v>
          </cell>
          <cell r="F41" t="str">
            <v>28/10/2008</v>
          </cell>
          <cell r="G41" t="str">
            <v>thiennthien8@gmail.com</v>
          </cell>
          <cell r="H41" t="str">
            <v>0336042094</v>
          </cell>
          <cell r="I41" t="str">
            <v>094308011074</v>
          </cell>
          <cell r="J41" t="str">
            <v xml:space="preserve">Ấp kiết bình </v>
          </cell>
          <cell r="K41" t="str">
            <v>KV1</v>
          </cell>
          <cell r="M41" t="str">
            <v>Không có</v>
          </cell>
          <cell r="N41" t="str">
            <v>Kinh</v>
          </cell>
          <cell r="P41" t="str">
            <v>2026</v>
          </cell>
          <cell r="Q41" t="str">
            <v>92029803</v>
          </cell>
          <cell r="R41" t="str">
            <v>Không có</v>
          </cell>
          <cell r="S41" t="str">
            <v>Không có</v>
          </cell>
          <cell r="T41" t="str">
            <v>Không có</v>
          </cell>
          <cell r="AA41" t="str">
            <v>Không có</v>
          </cell>
          <cell r="AF41" t="str">
            <v>92N</v>
          </cell>
          <cell r="AG41" t="str">
            <v>466</v>
          </cell>
          <cell r="AH41" t="str">
            <v>Trường THPT Văn Ngọc Chính (trước 01/7/2025)</v>
          </cell>
          <cell r="AI41" t="str">
            <v>92N</v>
          </cell>
          <cell r="AJ41" t="str">
            <v>466</v>
          </cell>
          <cell r="AK41" t="str">
            <v>Trường THPT Văn Ngọc Chính (trước 01/7/2025)</v>
          </cell>
          <cell r="AL41" t="str">
            <v>92N</v>
          </cell>
          <cell r="AM41" t="str">
            <v>238</v>
          </cell>
          <cell r="AN41" t="str">
            <v>Trường THPT Văn Ngọc Chính</v>
          </cell>
          <cell r="AO41" t="str">
            <v>GDPT2018</v>
          </cell>
          <cell r="AP41" t="str">
            <v>Tốt</v>
          </cell>
          <cell r="AQ41" t="str">
            <v>8.36</v>
          </cell>
          <cell r="AR41" t="str">
            <v>6.87</v>
          </cell>
          <cell r="AS41" t="str">
            <v>8.13</v>
          </cell>
          <cell r="AT41" t="str">
            <v>9.05</v>
          </cell>
          <cell r="AU41" t="str">
            <v>False</v>
          </cell>
          <cell r="AW41" t="str">
            <v>7480201</v>
          </cell>
          <cell r="AX41" t="str">
            <v>Công nghệ và đổi mới sáng tạo</v>
          </cell>
          <cell r="BC41" t="str">
            <v>quynhlx</v>
          </cell>
          <cell r="BD41" t="str">
            <v>Đã được tiếp nhận</v>
          </cell>
          <cell r="BE41" t="str">
            <v>Trường điều chỉnh học lực Giỏi =&gt; Tốt theo học bạ của em</v>
          </cell>
          <cell r="BF41" t="str">
            <v>3</v>
          </cell>
          <cell r="BM41" t="str">
            <v>True</v>
          </cell>
          <cell r="BN41" t="str">
            <v>False</v>
          </cell>
          <cell r="BO41" t="str">
            <v>KQTHPT_39_094308011074.pdf</v>
          </cell>
          <cell r="BR41">
            <v>5.4</v>
          </cell>
          <cell r="BS41">
            <v>7.1</v>
          </cell>
          <cell r="BT41">
            <v>5.7</v>
          </cell>
          <cell r="BU41">
            <v>8.1</v>
          </cell>
          <cell r="BV41">
            <v>7.8</v>
          </cell>
          <cell r="BW41">
            <v>7.5</v>
          </cell>
          <cell r="BX41">
            <v>0</v>
          </cell>
          <cell r="BY41">
            <v>6</v>
          </cell>
          <cell r="BZ41">
            <v>0</v>
          </cell>
          <cell r="CA41">
            <v>6.8</v>
          </cell>
          <cell r="CB41">
            <v>7.4</v>
          </cell>
          <cell r="CC41">
            <v>0</v>
          </cell>
          <cell r="CD41">
            <v>0</v>
          </cell>
          <cell r="CE41">
            <v>0</v>
          </cell>
          <cell r="CF41">
            <v>0</v>
          </cell>
          <cell r="CG41">
            <v>0</v>
          </cell>
          <cell r="CH41">
            <v>0</v>
          </cell>
          <cell r="CI41">
            <v>0</v>
          </cell>
          <cell r="CJ41">
            <v>0</v>
          </cell>
          <cell r="CK41">
            <v>0</v>
          </cell>
          <cell r="CL41">
            <v>0</v>
          </cell>
          <cell r="CM41">
            <v>5.6</v>
          </cell>
          <cell r="CN41">
            <v>8</v>
          </cell>
          <cell r="CO41">
            <v>9</v>
          </cell>
          <cell r="CP41">
            <v>8.8000000000000007</v>
          </cell>
          <cell r="CQ41">
            <v>8.5</v>
          </cell>
          <cell r="CR41">
            <v>8.5</v>
          </cell>
          <cell r="CS41">
            <v>8.6</v>
          </cell>
          <cell r="CT41">
            <v>0</v>
          </cell>
          <cell r="CU41">
            <v>0</v>
          </cell>
          <cell r="CV41">
            <v>7.8</v>
          </cell>
          <cell r="CW41">
            <v>0</v>
          </cell>
          <cell r="CX41">
            <v>8.4</v>
          </cell>
          <cell r="CY41">
            <v>0</v>
          </cell>
          <cell r="CZ41">
            <v>0</v>
          </cell>
          <cell r="DA41">
            <v>0</v>
          </cell>
          <cell r="DB41">
            <v>0</v>
          </cell>
          <cell r="DC41">
            <v>0</v>
          </cell>
          <cell r="DD41">
            <v>0</v>
          </cell>
          <cell r="DE41">
            <v>0</v>
          </cell>
          <cell r="DF41">
            <v>0</v>
          </cell>
          <cell r="DG41">
            <v>0</v>
          </cell>
          <cell r="DH41">
            <v>9.1999999999999993</v>
          </cell>
          <cell r="DI41">
            <v>8.6</v>
          </cell>
          <cell r="DJ41">
            <v>8.6999999999999993</v>
          </cell>
          <cell r="DK41">
            <v>9.1</v>
          </cell>
          <cell r="DL41">
            <v>9.5</v>
          </cell>
          <cell r="DM41">
            <v>9.4</v>
          </cell>
          <cell r="DN41">
            <v>9.5</v>
          </cell>
          <cell r="DO41">
            <v>9.1999999999999993</v>
          </cell>
          <cell r="DP41">
            <v>9.3000000000000007</v>
          </cell>
          <cell r="DQ41">
            <v>8.6</v>
          </cell>
          <cell r="DR41">
            <v>0</v>
          </cell>
          <cell r="DS41">
            <v>8.5</v>
          </cell>
          <cell r="DT41">
            <v>0</v>
          </cell>
          <cell r="DU41">
            <v>0</v>
          </cell>
          <cell r="DV41">
            <v>0</v>
          </cell>
          <cell r="DW41">
            <v>0</v>
          </cell>
          <cell r="DX41">
            <v>0</v>
          </cell>
          <cell r="DY41">
            <v>0</v>
          </cell>
          <cell r="DZ41">
            <v>0</v>
          </cell>
          <cell r="EA41">
            <v>0</v>
          </cell>
          <cell r="EB41">
            <v>0</v>
          </cell>
          <cell r="EC41">
            <v>8.25</v>
          </cell>
          <cell r="ED41">
            <v>7.25</v>
          </cell>
          <cell r="EE41">
            <v>4.25</v>
          </cell>
          <cell r="EI41">
            <v>7.5</v>
          </cell>
        </row>
        <row r="42">
          <cell r="A42">
            <v>842750031</v>
          </cell>
          <cell r="B42" t="str">
            <v>KSVBS2612397</v>
          </cell>
          <cell r="C42" t="str">
            <v>54</v>
          </cell>
          <cell r="D42" t="str">
            <v>NGUYỄN HOÀNG KIM</v>
          </cell>
          <cell r="E42" t="str">
            <v>1</v>
          </cell>
          <cell r="F42" t="str">
            <v>16/12/2008</v>
          </cell>
          <cell r="G42" t="str">
            <v>nguyenhoangkimtb2021@gmail.com</v>
          </cell>
          <cell r="H42" t="str">
            <v>0842750031</v>
          </cell>
          <cell r="I42" t="str">
            <v>092308001070</v>
          </cell>
          <cell r="J42" t="str">
            <v>Số 4, Tổ 2, Ấp Lưu Văn Liệt</v>
          </cell>
          <cell r="K42" t="str">
            <v>KV2-NT</v>
          </cell>
          <cell r="M42" t="str">
            <v>Không có</v>
          </cell>
          <cell r="N42" t="str">
            <v>Kinh</v>
          </cell>
          <cell r="P42" t="str">
            <v>2026</v>
          </cell>
          <cell r="Q42" t="str">
            <v>86022760</v>
          </cell>
          <cell r="R42" t="str">
            <v>Không có</v>
          </cell>
          <cell r="S42" t="str">
            <v>Không có</v>
          </cell>
          <cell r="T42" t="str">
            <v>Không có</v>
          </cell>
          <cell r="U42" t="str">
            <v>500632</v>
          </cell>
          <cell r="V42" t="str">
            <v>D26179509</v>
          </cell>
          <cell r="W42" t="str">
            <v>650.00</v>
          </cell>
          <cell r="X42" t="str">
            <v>590652</v>
          </cell>
          <cell r="Y42" t="str">
            <v>D26509598</v>
          </cell>
          <cell r="Z42" t="str">
            <v>772.00</v>
          </cell>
          <cell r="AA42" t="str">
            <v>Không có</v>
          </cell>
          <cell r="AF42" t="str">
            <v>86N</v>
          </cell>
          <cell r="AG42" t="str">
            <v>414</v>
          </cell>
          <cell r="AH42" t="str">
            <v>THPT Trần Đại Nghĩa</v>
          </cell>
          <cell r="AI42" t="str">
            <v>86N</v>
          </cell>
          <cell r="AJ42" t="str">
            <v>414</v>
          </cell>
          <cell r="AK42" t="str">
            <v>THPT Trần Đại Nghĩa</v>
          </cell>
          <cell r="AL42" t="str">
            <v>86N</v>
          </cell>
          <cell r="AM42" t="str">
            <v>414</v>
          </cell>
          <cell r="AN42" t="str">
            <v>THPT Trần Đại Nghĩa</v>
          </cell>
          <cell r="AO42" t="str">
            <v>GDPT2018</v>
          </cell>
          <cell r="AP42" t="str">
            <v>Tốt</v>
          </cell>
          <cell r="AQ42" t="str">
            <v>8.03</v>
          </cell>
          <cell r="AR42" t="str">
            <v>9.14</v>
          </cell>
          <cell r="AS42" t="str">
            <v>9.19</v>
          </cell>
          <cell r="AT42" t="str">
            <v>9.57</v>
          </cell>
          <cell r="AU42" t="str">
            <v>True</v>
          </cell>
          <cell r="AW42" t="str">
            <v>7220201</v>
          </cell>
          <cell r="AX42" t="str">
            <v>Tiếng Anh thương mại</v>
          </cell>
          <cell r="BC42" t="str">
            <v>quynhlx</v>
          </cell>
          <cell r="BD42" t="str">
            <v>Đã được tiếp nhận</v>
          </cell>
          <cell r="BF42" t="str">
            <v>3</v>
          </cell>
          <cell r="BM42" t="str">
            <v>True</v>
          </cell>
          <cell r="BN42" t="str">
            <v>False</v>
          </cell>
          <cell r="BO42" t="str">
            <v>KQTHPT_40_092308001070.pdf</v>
          </cell>
          <cell r="BP42" t="str">
            <v>KQDGNL_40_092308001070.pdf</v>
          </cell>
          <cell r="BR42">
            <v>9.1999999999999993</v>
          </cell>
          <cell r="BS42">
            <v>9</v>
          </cell>
          <cell r="BT42">
            <v>8.5</v>
          </cell>
          <cell r="BU42">
            <v>9.6</v>
          </cell>
          <cell r="BV42">
            <v>9.1</v>
          </cell>
          <cell r="BW42">
            <v>0</v>
          </cell>
          <cell r="BX42">
            <v>0</v>
          </cell>
          <cell r="BY42">
            <v>8.6999999999999993</v>
          </cell>
          <cell r="BZ42">
            <v>9.1</v>
          </cell>
          <cell r="CA42">
            <v>0</v>
          </cell>
          <cell r="CB42">
            <v>9.8000000000000007</v>
          </cell>
          <cell r="CC42">
            <v>9.3000000000000007</v>
          </cell>
          <cell r="CD42">
            <v>0</v>
          </cell>
          <cell r="CE42">
            <v>0</v>
          </cell>
          <cell r="CF42">
            <v>0</v>
          </cell>
          <cell r="CG42">
            <v>0</v>
          </cell>
          <cell r="CH42">
            <v>0</v>
          </cell>
          <cell r="CI42">
            <v>0</v>
          </cell>
          <cell r="CJ42">
            <v>0</v>
          </cell>
          <cell r="CK42">
            <v>0</v>
          </cell>
          <cell r="CL42">
            <v>0</v>
          </cell>
          <cell r="CM42">
            <v>9</v>
          </cell>
          <cell r="CN42">
            <v>8.4</v>
          </cell>
          <cell r="CO42">
            <v>9.3000000000000007</v>
          </cell>
          <cell r="CP42">
            <v>9.9</v>
          </cell>
          <cell r="CQ42">
            <v>9.5</v>
          </cell>
          <cell r="CR42">
            <v>0</v>
          </cell>
          <cell r="CS42">
            <v>0</v>
          </cell>
          <cell r="CT42">
            <v>8.6999999999999993</v>
          </cell>
          <cell r="CU42">
            <v>8.1</v>
          </cell>
          <cell r="CV42">
            <v>0</v>
          </cell>
          <cell r="CW42">
            <v>9.9</v>
          </cell>
          <cell r="CX42">
            <v>9.9</v>
          </cell>
          <cell r="CY42">
            <v>0</v>
          </cell>
          <cell r="CZ42">
            <v>0</v>
          </cell>
          <cell r="DA42">
            <v>0</v>
          </cell>
          <cell r="DB42">
            <v>0</v>
          </cell>
          <cell r="DC42">
            <v>0</v>
          </cell>
          <cell r="DD42">
            <v>0</v>
          </cell>
          <cell r="DE42">
            <v>0</v>
          </cell>
          <cell r="DF42">
            <v>0</v>
          </cell>
          <cell r="DG42">
            <v>0</v>
          </cell>
          <cell r="DH42">
            <v>9.8000000000000007</v>
          </cell>
          <cell r="DI42">
            <v>9.5</v>
          </cell>
          <cell r="DJ42">
            <v>9</v>
          </cell>
          <cell r="DK42">
            <v>9.9</v>
          </cell>
          <cell r="DL42">
            <v>9.3000000000000007</v>
          </cell>
          <cell r="DM42">
            <v>0</v>
          </cell>
          <cell r="DN42">
            <v>0</v>
          </cell>
          <cell r="DO42">
            <v>9.1999999999999993</v>
          </cell>
          <cell r="DP42">
            <v>9.5</v>
          </cell>
          <cell r="DQ42">
            <v>0</v>
          </cell>
          <cell r="DR42">
            <v>10</v>
          </cell>
          <cell r="DS42">
            <v>9.9</v>
          </cell>
          <cell r="DT42">
            <v>0</v>
          </cell>
          <cell r="DU42">
            <v>0</v>
          </cell>
          <cell r="DV42">
            <v>0</v>
          </cell>
          <cell r="DW42">
            <v>0</v>
          </cell>
          <cell r="DX42">
            <v>0</v>
          </cell>
          <cell r="DY42">
            <v>0</v>
          </cell>
          <cell r="DZ42">
            <v>0</v>
          </cell>
          <cell r="EA42">
            <v>0</v>
          </cell>
          <cell r="EB42">
            <v>0</v>
          </cell>
          <cell r="EC42">
            <v>7.25</v>
          </cell>
          <cell r="ED42">
            <v>7.25</v>
          </cell>
          <cell r="EE42">
            <v>5</v>
          </cell>
          <cell r="EG42">
            <v>7.75</v>
          </cell>
        </row>
        <row r="43">
          <cell r="A43">
            <v>813281882</v>
          </cell>
          <cell r="D43" t="str">
            <v>TRƯƠNG HOÀNG KHÁNH LINH</v>
          </cell>
          <cell r="E43" t="str">
            <v>1</v>
          </cell>
          <cell r="F43" t="str">
            <v>07/08/2008</v>
          </cell>
          <cell r="G43" t="str">
            <v>truonghoangkhanhlinh163@gmail.com</v>
          </cell>
          <cell r="H43" t="str">
            <v>0813281882</v>
          </cell>
          <cell r="I43" t="str">
            <v>089308002708</v>
          </cell>
          <cell r="J43" t="str">
            <v>ấp Ninh Thuận</v>
          </cell>
          <cell r="K43" t="str">
            <v>KV1</v>
          </cell>
          <cell r="M43" t="str">
            <v>Không có</v>
          </cell>
          <cell r="N43" t="str">
            <v>Kinh</v>
          </cell>
          <cell r="P43" t="str">
            <v>2026</v>
          </cell>
          <cell r="Q43" t="str">
            <v>91029732</v>
          </cell>
          <cell r="R43" t="str">
            <v>Không có</v>
          </cell>
          <cell r="S43" t="str">
            <v>Không có</v>
          </cell>
          <cell r="T43" t="str">
            <v>Không có</v>
          </cell>
          <cell r="U43" t="str">
            <v>542356</v>
          </cell>
          <cell r="V43" t="str">
            <v>D26868028</v>
          </cell>
          <cell r="W43" t="str">
            <v>564.00</v>
          </cell>
          <cell r="X43" t="str">
            <v>613490</v>
          </cell>
          <cell r="Y43" t="str">
            <v>D26546879</v>
          </cell>
          <cell r="Z43" t="str">
            <v>672.00</v>
          </cell>
          <cell r="AA43" t="str">
            <v>Không có</v>
          </cell>
          <cell r="AF43" t="str">
            <v>89N</v>
          </cell>
          <cell r="AG43" t="str">
            <v>125</v>
          </cell>
          <cell r="AH43" t="str">
            <v>Trường THPT Nguyễn Trung Trực 2</v>
          </cell>
          <cell r="AI43" t="str">
            <v>89N</v>
          </cell>
          <cell r="AJ43" t="str">
            <v>125</v>
          </cell>
          <cell r="AK43" t="str">
            <v>Trường THPT Nguyễn Trung Trực 2</v>
          </cell>
          <cell r="AL43" t="str">
            <v>89N</v>
          </cell>
          <cell r="AM43" t="str">
            <v>125</v>
          </cell>
          <cell r="AN43" t="str">
            <v>Trường THPT Nguyễn Trung Trực 2</v>
          </cell>
          <cell r="AO43" t="str">
            <v>GDPT2018</v>
          </cell>
          <cell r="AP43" t="str">
            <v>Khá</v>
          </cell>
          <cell r="AQ43" t="str">
            <v>7.22</v>
          </cell>
          <cell r="AR43" t="str">
            <v>8.16</v>
          </cell>
          <cell r="AS43" t="str">
            <v>8.17</v>
          </cell>
          <cell r="AT43" t="str">
            <v>8.24</v>
          </cell>
          <cell r="AU43" t="str">
            <v>True</v>
          </cell>
          <cell r="AW43" t="str">
            <v>7340201_3</v>
          </cell>
          <cell r="AX43" t="str">
            <v>Thuế</v>
          </cell>
          <cell r="AY43" t="str">
            <v>7340122</v>
          </cell>
          <cell r="AZ43" t="str">
            <v>Thương mại điện tử</v>
          </cell>
          <cell r="BA43" t="str">
            <v>7380107</v>
          </cell>
          <cell r="BB43" t="str">
            <v>Luật kinh tế</v>
          </cell>
          <cell r="BD43" t="str">
            <v>Chưa hoàn thành</v>
          </cell>
          <cell r="BF43" t="str">
            <v>3</v>
          </cell>
          <cell r="BM43" t="str">
            <v>True</v>
          </cell>
          <cell r="BN43" t="str">
            <v>False</v>
          </cell>
          <cell r="BR43">
            <v>7.1</v>
          </cell>
          <cell r="BS43">
            <v>8.1</v>
          </cell>
          <cell r="BT43">
            <v>8.1</v>
          </cell>
          <cell r="BU43">
            <v>9</v>
          </cell>
          <cell r="BV43">
            <v>8.5</v>
          </cell>
          <cell r="BW43">
            <v>0</v>
          </cell>
          <cell r="BX43">
            <v>0</v>
          </cell>
          <cell r="BY43">
            <v>7.5</v>
          </cell>
          <cell r="BZ43">
            <v>8.3000000000000007</v>
          </cell>
          <cell r="CA43">
            <v>8.3000000000000007</v>
          </cell>
          <cell r="CB43">
            <v>0</v>
          </cell>
          <cell r="CC43">
            <v>8.5</v>
          </cell>
          <cell r="CD43">
            <v>0</v>
          </cell>
          <cell r="CE43">
            <v>0</v>
          </cell>
          <cell r="CF43">
            <v>0</v>
          </cell>
          <cell r="CG43">
            <v>0</v>
          </cell>
          <cell r="CH43">
            <v>0</v>
          </cell>
          <cell r="CI43">
            <v>0</v>
          </cell>
          <cell r="CJ43">
            <v>0</v>
          </cell>
          <cell r="CK43">
            <v>0</v>
          </cell>
          <cell r="CL43">
            <v>0</v>
          </cell>
          <cell r="CM43">
            <v>7</v>
          </cell>
          <cell r="CN43">
            <v>8</v>
          </cell>
          <cell r="CO43">
            <v>8.3000000000000007</v>
          </cell>
          <cell r="CP43">
            <v>9.5</v>
          </cell>
          <cell r="CQ43">
            <v>8.9</v>
          </cell>
          <cell r="CR43">
            <v>0</v>
          </cell>
          <cell r="CS43">
            <v>0</v>
          </cell>
          <cell r="CT43">
            <v>8.1999999999999993</v>
          </cell>
          <cell r="CU43">
            <v>6.6</v>
          </cell>
          <cell r="CV43">
            <v>8.4</v>
          </cell>
          <cell r="CW43">
            <v>0</v>
          </cell>
          <cell r="CX43">
            <v>8.6</v>
          </cell>
          <cell r="CY43">
            <v>0</v>
          </cell>
          <cell r="CZ43">
            <v>0</v>
          </cell>
          <cell r="DA43">
            <v>0</v>
          </cell>
          <cell r="DB43">
            <v>0</v>
          </cell>
          <cell r="DC43">
            <v>0</v>
          </cell>
          <cell r="DD43">
            <v>0</v>
          </cell>
          <cell r="DE43">
            <v>0</v>
          </cell>
          <cell r="DF43">
            <v>0</v>
          </cell>
          <cell r="DG43">
            <v>0</v>
          </cell>
          <cell r="DH43">
            <v>7.1</v>
          </cell>
          <cell r="DI43">
            <v>8.1</v>
          </cell>
          <cell r="DJ43">
            <v>7.7</v>
          </cell>
          <cell r="DK43">
            <v>9.5</v>
          </cell>
          <cell r="DL43">
            <v>9</v>
          </cell>
          <cell r="DM43">
            <v>0</v>
          </cell>
          <cell r="DN43">
            <v>0</v>
          </cell>
          <cell r="DO43">
            <v>7.6</v>
          </cell>
          <cell r="DP43">
            <v>7.8</v>
          </cell>
          <cell r="DQ43">
            <v>7.9</v>
          </cell>
          <cell r="DR43">
            <v>0</v>
          </cell>
          <cell r="DS43">
            <v>9.5</v>
          </cell>
          <cell r="DT43">
            <v>0</v>
          </cell>
          <cell r="DU43">
            <v>0</v>
          </cell>
          <cell r="DV43">
            <v>0</v>
          </cell>
          <cell r="DW43">
            <v>0</v>
          </cell>
          <cell r="DX43">
            <v>0</v>
          </cell>
          <cell r="DY43">
            <v>0</v>
          </cell>
          <cell r="DZ43">
            <v>0</v>
          </cell>
          <cell r="EA43">
            <v>0</v>
          </cell>
          <cell r="EB43">
            <v>0</v>
          </cell>
          <cell r="EC43">
            <v>6.25</v>
          </cell>
          <cell r="ED43">
            <v>6.25</v>
          </cell>
          <cell r="EJ43">
            <v>3.75</v>
          </cell>
          <cell r="EK43">
            <v>6.75</v>
          </cell>
        </row>
        <row r="44">
          <cell r="A44">
            <v>367711616</v>
          </cell>
          <cell r="B44" t="str">
            <v>KSVBS2617443</v>
          </cell>
          <cell r="C44" t="str">
            <v>78</v>
          </cell>
          <cell r="D44" t="str">
            <v>VŨ YẾN NHI</v>
          </cell>
          <cell r="E44" t="str">
            <v>1</v>
          </cell>
          <cell r="F44" t="str">
            <v>08/01/2008</v>
          </cell>
          <cell r="G44" t="str">
            <v>nhiv91608@gmail.com</v>
          </cell>
          <cell r="H44" t="str">
            <v>0367711616</v>
          </cell>
          <cell r="I44" t="str">
            <v>008308006425</v>
          </cell>
          <cell r="J44" t="str">
            <v>Tổ dân phố Kim Phú 5</v>
          </cell>
          <cell r="K44" t="str">
            <v>KV1</v>
          </cell>
          <cell r="M44" t="str">
            <v>Không có</v>
          </cell>
          <cell r="N44" t="str">
            <v>Kinh</v>
          </cell>
          <cell r="P44" t="str">
            <v>2026</v>
          </cell>
          <cell r="Q44" t="str">
            <v>08016541</v>
          </cell>
          <cell r="R44" t="str">
            <v>Sinh học</v>
          </cell>
          <cell r="S44" t="str">
            <v>2025</v>
          </cell>
          <cell r="T44" t="str">
            <v>Ba</v>
          </cell>
          <cell r="AA44" t="str">
            <v>Không có</v>
          </cell>
          <cell r="AF44" t="str">
            <v>08N</v>
          </cell>
          <cell r="AG44" t="str">
            <v>236</v>
          </cell>
          <cell r="AH44" t="str">
            <v>THPT Chuyên</v>
          </cell>
          <cell r="AI44" t="str">
            <v>08N</v>
          </cell>
          <cell r="AJ44" t="str">
            <v>236</v>
          </cell>
          <cell r="AK44" t="str">
            <v>THPT Chuyên</v>
          </cell>
          <cell r="AL44" t="str">
            <v>08N</v>
          </cell>
          <cell r="AM44" t="str">
            <v>236</v>
          </cell>
          <cell r="AN44" t="str">
            <v>THPT Chuyên</v>
          </cell>
          <cell r="AO44" t="str">
            <v>GDPT2018</v>
          </cell>
          <cell r="AP44" t="str">
            <v>Giỏi</v>
          </cell>
          <cell r="AQ44" t="str">
            <v>9.41</v>
          </cell>
          <cell r="AR44" t="str">
            <v>8.46</v>
          </cell>
          <cell r="AS44" t="str">
            <v>8.50</v>
          </cell>
          <cell r="AT44" t="str">
            <v>8.72</v>
          </cell>
          <cell r="AU44" t="str">
            <v>False</v>
          </cell>
          <cell r="AW44" t="str">
            <v>7340122</v>
          </cell>
          <cell r="AX44" t="str">
            <v>Thương mại điện tử</v>
          </cell>
          <cell r="AY44" t="str">
            <v>7810201</v>
          </cell>
          <cell r="AZ44" t="str">
            <v>Quản trị khách sạn</v>
          </cell>
          <cell r="BA44" t="str">
            <v>7480107</v>
          </cell>
          <cell r="BB44" t="str">
            <v>Robot và Trí tuệ nhân tạo (hệ kỹ sư)</v>
          </cell>
          <cell r="BC44" t="str">
            <v>quynhlx</v>
          </cell>
          <cell r="BD44" t="str">
            <v>Đã được tiếp nhận</v>
          </cell>
          <cell r="BF44" t="str">
            <v>3</v>
          </cell>
          <cell r="BM44" t="str">
            <v>True</v>
          </cell>
          <cell r="BN44" t="str">
            <v>False</v>
          </cell>
          <cell r="BO44" t="str">
            <v>KQTHPT_42_008308006425.pdf</v>
          </cell>
          <cell r="BR44">
            <v>8.1999999999999993</v>
          </cell>
          <cell r="BS44">
            <v>7.7</v>
          </cell>
          <cell r="BT44">
            <v>8</v>
          </cell>
          <cell r="BU44">
            <v>9</v>
          </cell>
          <cell r="BV44">
            <v>8.8000000000000007</v>
          </cell>
          <cell r="BW44">
            <v>0</v>
          </cell>
          <cell r="BX44">
            <v>0</v>
          </cell>
          <cell r="BY44">
            <v>8.9</v>
          </cell>
          <cell r="BZ44">
            <v>8</v>
          </cell>
          <cell r="CA44">
            <v>8.6999999999999993</v>
          </cell>
          <cell r="CB44">
            <v>0</v>
          </cell>
          <cell r="CC44">
            <v>8.8000000000000007</v>
          </cell>
          <cell r="CD44">
            <v>0</v>
          </cell>
          <cell r="CE44">
            <v>0</v>
          </cell>
          <cell r="CF44">
            <v>0</v>
          </cell>
          <cell r="CG44">
            <v>0</v>
          </cell>
          <cell r="CH44">
            <v>0</v>
          </cell>
          <cell r="CI44">
            <v>0</v>
          </cell>
          <cell r="CJ44">
            <v>0</v>
          </cell>
          <cell r="CK44">
            <v>0</v>
          </cell>
          <cell r="CL44">
            <v>0</v>
          </cell>
          <cell r="CM44">
            <v>7.7</v>
          </cell>
          <cell r="CN44">
            <v>8.1999999999999993</v>
          </cell>
          <cell r="CO44">
            <v>8.4</v>
          </cell>
          <cell r="CP44">
            <v>8.8000000000000007</v>
          </cell>
          <cell r="CQ44">
            <v>9.3000000000000007</v>
          </cell>
          <cell r="CR44">
            <v>0</v>
          </cell>
          <cell r="CS44">
            <v>0</v>
          </cell>
          <cell r="CT44">
            <v>8.1</v>
          </cell>
          <cell r="CU44">
            <v>8</v>
          </cell>
          <cell r="CV44">
            <v>9</v>
          </cell>
          <cell r="CW44">
            <v>0</v>
          </cell>
          <cell r="CX44">
            <v>9</v>
          </cell>
          <cell r="CY44">
            <v>0</v>
          </cell>
          <cell r="CZ44">
            <v>0</v>
          </cell>
          <cell r="DA44">
            <v>0</v>
          </cell>
          <cell r="DB44">
            <v>0</v>
          </cell>
          <cell r="DC44">
            <v>0</v>
          </cell>
          <cell r="DD44">
            <v>0</v>
          </cell>
          <cell r="DE44">
            <v>0</v>
          </cell>
          <cell r="DF44">
            <v>0</v>
          </cell>
          <cell r="DG44">
            <v>0</v>
          </cell>
          <cell r="DH44">
            <v>9</v>
          </cell>
          <cell r="DI44">
            <v>8.1</v>
          </cell>
          <cell r="DJ44">
            <v>8.5</v>
          </cell>
          <cell r="DK44">
            <v>9</v>
          </cell>
          <cell r="DL44">
            <v>9.1</v>
          </cell>
          <cell r="DM44">
            <v>0</v>
          </cell>
          <cell r="DN44">
            <v>0</v>
          </cell>
          <cell r="DO44">
            <v>8.4</v>
          </cell>
          <cell r="DP44">
            <v>9.1999999999999993</v>
          </cell>
          <cell r="DQ44">
            <v>8.1999999999999993</v>
          </cell>
          <cell r="DR44">
            <v>0</v>
          </cell>
          <cell r="DS44">
            <v>9</v>
          </cell>
          <cell r="DT44">
            <v>0</v>
          </cell>
          <cell r="DU44">
            <v>0</v>
          </cell>
          <cell r="DV44">
            <v>0</v>
          </cell>
          <cell r="DW44">
            <v>0</v>
          </cell>
          <cell r="DX44">
            <v>0</v>
          </cell>
          <cell r="DY44">
            <v>0</v>
          </cell>
          <cell r="DZ44">
            <v>0</v>
          </cell>
          <cell r="EA44">
            <v>0</v>
          </cell>
          <cell r="EB44">
            <v>0</v>
          </cell>
          <cell r="EC44">
            <v>7.25</v>
          </cell>
          <cell r="ED44">
            <v>7.5</v>
          </cell>
          <cell r="EJ44">
            <v>6.5</v>
          </cell>
          <cell r="EK44">
            <v>5.75</v>
          </cell>
        </row>
        <row r="45">
          <cell r="A45">
            <v>0</v>
          </cell>
          <cell r="D45" t="str">
            <v>NGUYỄN LÊ MAI THẢO</v>
          </cell>
          <cell r="E45" t="str">
            <v>0</v>
          </cell>
          <cell r="F45" t="str">
            <v>16/02/2008</v>
          </cell>
          <cell r="G45" t="str">
            <v>nmaithao894@gmail.com</v>
          </cell>
          <cell r="I45" t="str">
            <v>079308004646</v>
          </cell>
          <cell r="AR45" t="str">
            <v>8.39</v>
          </cell>
          <cell r="AS45" t="str">
            <v>8.31</v>
          </cell>
          <cell r="AT45" t="str">
            <v>8.86</v>
          </cell>
          <cell r="BD45" t="str">
            <v>Chưa hoàn thành</v>
          </cell>
          <cell r="BF45" t="str">
            <v>3</v>
          </cell>
          <cell r="BR45">
            <v>8.4</v>
          </cell>
          <cell r="BS45">
            <v>7.4</v>
          </cell>
          <cell r="BT45">
            <v>7.6</v>
          </cell>
          <cell r="BU45">
            <v>8.9</v>
          </cell>
          <cell r="BV45">
            <v>8.3000000000000007</v>
          </cell>
          <cell r="BW45">
            <v>8.6999999999999993</v>
          </cell>
          <cell r="BX45">
            <v>8.9</v>
          </cell>
          <cell r="BY45">
            <v>8.6999999999999993</v>
          </cell>
          <cell r="BZ45">
            <v>0</v>
          </cell>
          <cell r="CA45">
            <v>0</v>
          </cell>
          <cell r="CB45">
            <v>0</v>
          </cell>
          <cell r="CC45">
            <v>8.6</v>
          </cell>
          <cell r="CD45">
            <v>0</v>
          </cell>
          <cell r="CE45">
            <v>0</v>
          </cell>
          <cell r="CF45">
            <v>0</v>
          </cell>
          <cell r="CG45">
            <v>0</v>
          </cell>
          <cell r="CH45">
            <v>0</v>
          </cell>
          <cell r="CI45">
            <v>0</v>
          </cell>
          <cell r="CJ45">
            <v>0</v>
          </cell>
          <cell r="CK45">
            <v>0</v>
          </cell>
          <cell r="CL45">
            <v>0</v>
          </cell>
          <cell r="CM45">
            <v>8.1</v>
          </cell>
          <cell r="CN45">
            <v>7.2</v>
          </cell>
          <cell r="CO45">
            <v>8</v>
          </cell>
          <cell r="CP45">
            <v>8.4</v>
          </cell>
          <cell r="CQ45">
            <v>7.6</v>
          </cell>
          <cell r="CR45">
            <v>8.5</v>
          </cell>
          <cell r="CS45">
            <v>9.4</v>
          </cell>
          <cell r="CT45">
            <v>8.3000000000000007</v>
          </cell>
          <cell r="CU45">
            <v>0</v>
          </cell>
          <cell r="CV45">
            <v>0</v>
          </cell>
          <cell r="CW45">
            <v>0</v>
          </cell>
          <cell r="CX45">
            <v>9.3000000000000007</v>
          </cell>
          <cell r="CY45">
            <v>0</v>
          </cell>
          <cell r="CZ45">
            <v>0</v>
          </cell>
          <cell r="DA45">
            <v>0</v>
          </cell>
          <cell r="DB45">
            <v>0</v>
          </cell>
          <cell r="DC45">
            <v>0</v>
          </cell>
          <cell r="DD45">
            <v>0</v>
          </cell>
          <cell r="DE45">
            <v>0</v>
          </cell>
          <cell r="DF45">
            <v>0</v>
          </cell>
          <cell r="DG45">
            <v>0</v>
          </cell>
          <cell r="DH45">
            <v>9.3000000000000007</v>
          </cell>
          <cell r="DI45">
            <v>7.8</v>
          </cell>
          <cell r="DJ45">
            <v>9</v>
          </cell>
          <cell r="DK45">
            <v>8.5</v>
          </cell>
          <cell r="DL45">
            <v>8</v>
          </cell>
          <cell r="DM45">
            <v>9.1</v>
          </cell>
          <cell r="DN45">
            <v>9.6</v>
          </cell>
          <cell r="DO45">
            <v>8.8000000000000007</v>
          </cell>
          <cell r="DP45">
            <v>0</v>
          </cell>
          <cell r="DQ45">
            <v>0</v>
          </cell>
          <cell r="DR45">
            <v>0</v>
          </cell>
          <cell r="DS45">
            <v>9.6</v>
          </cell>
          <cell r="DT45">
            <v>0</v>
          </cell>
          <cell r="DU45">
            <v>0</v>
          </cell>
          <cell r="DV45">
            <v>0</v>
          </cell>
          <cell r="DW45">
            <v>0</v>
          </cell>
          <cell r="DX45">
            <v>0</v>
          </cell>
          <cell r="DY45">
            <v>0</v>
          </cell>
          <cell r="DZ45">
            <v>0</v>
          </cell>
          <cell r="EA45">
            <v>0</v>
          </cell>
          <cell r="EB45">
            <v>0</v>
          </cell>
        </row>
        <row r="46">
          <cell r="A46">
            <v>772168769</v>
          </cell>
          <cell r="B46" t="str">
            <v>KSVBS2609596</v>
          </cell>
          <cell r="C46" t="str">
            <v>33</v>
          </cell>
          <cell r="D46" t="str">
            <v>LƯU ANH THƯ</v>
          </cell>
          <cell r="E46" t="str">
            <v>1</v>
          </cell>
          <cell r="F46" t="str">
            <v>10/04/2008</v>
          </cell>
          <cell r="G46" t="str">
            <v>thluu0410@gmail.com</v>
          </cell>
          <cell r="H46" t="str">
            <v>0772168769</v>
          </cell>
          <cell r="I46" t="str">
            <v>086308004540</v>
          </cell>
          <cell r="J46" t="str">
            <v>Số 13/8, Trần Văn Ơn, Phường Long Châu, TP. Vĩnh Long, Vĩnh Long</v>
          </cell>
          <cell r="K46" t="str">
            <v>KV2</v>
          </cell>
          <cell r="M46" t="str">
            <v>Không có</v>
          </cell>
          <cell r="N46" t="str">
            <v>Kinh</v>
          </cell>
          <cell r="P46" t="str">
            <v>2026</v>
          </cell>
          <cell r="Q46" t="str">
            <v>86013991</v>
          </cell>
          <cell r="R46" t="str">
            <v>Không có</v>
          </cell>
          <cell r="S46" t="str">
            <v>Không có</v>
          </cell>
          <cell r="T46" t="str">
            <v>Không có</v>
          </cell>
          <cell r="W46" t="str">
            <v>0.00</v>
          </cell>
          <cell r="X46" t="str">
            <v>183082</v>
          </cell>
          <cell r="Y46" t="str">
            <v>D26323569</v>
          </cell>
          <cell r="Z46" t="str">
            <v>710.00</v>
          </cell>
          <cell r="AA46" t="str">
            <v>Không có</v>
          </cell>
          <cell r="AF46" t="str">
            <v>86N</v>
          </cell>
          <cell r="AG46" t="str">
            <v>409</v>
          </cell>
          <cell r="AH46" t="str">
            <v>THPT Lưu Văn Liệt</v>
          </cell>
          <cell r="AI46" t="str">
            <v>86N</v>
          </cell>
          <cell r="AJ46" t="str">
            <v>409</v>
          </cell>
          <cell r="AK46" t="str">
            <v>THPT Lưu Văn Liệt</v>
          </cell>
          <cell r="AL46" t="str">
            <v>86N</v>
          </cell>
          <cell r="AM46" t="str">
            <v>409</v>
          </cell>
          <cell r="AN46" t="str">
            <v>THPT Lưu Văn Liệt</v>
          </cell>
          <cell r="AO46" t="str">
            <v>GDPT2018</v>
          </cell>
          <cell r="AP46" t="str">
            <v>Tốt</v>
          </cell>
          <cell r="AQ46" t="str">
            <v>7.54</v>
          </cell>
          <cell r="AR46" t="str">
            <v>8.47</v>
          </cell>
          <cell r="AS46" t="str">
            <v>8.87</v>
          </cell>
          <cell r="AT46" t="str">
            <v>9.01</v>
          </cell>
          <cell r="AU46" t="str">
            <v>True</v>
          </cell>
          <cell r="AW46" t="str">
            <v>7340201_3</v>
          </cell>
          <cell r="AX46" t="str">
            <v>Thuế</v>
          </cell>
          <cell r="BC46" t="str">
            <v>quynhlx</v>
          </cell>
          <cell r="BD46" t="str">
            <v>Đã được tiếp nhận</v>
          </cell>
          <cell r="BF46" t="str">
            <v>3</v>
          </cell>
          <cell r="BM46" t="str">
            <v>True</v>
          </cell>
          <cell r="BN46" t="str">
            <v>True</v>
          </cell>
          <cell r="BO46" t="str">
            <v>KQTHPT_44_086308004540.pdf</v>
          </cell>
          <cell r="BP46" t="str">
            <v>KQDGNL_44_086308004540.pdf</v>
          </cell>
          <cell r="BQ46" t="str">
            <v>KQVSAT_44_086308004540.pdf</v>
          </cell>
          <cell r="BR46">
            <v>7.3</v>
          </cell>
          <cell r="BS46">
            <v>8</v>
          </cell>
          <cell r="BT46">
            <v>7.7</v>
          </cell>
          <cell r="BU46">
            <v>9.9</v>
          </cell>
          <cell r="BV46">
            <v>8.3000000000000007</v>
          </cell>
          <cell r="BW46">
            <v>8</v>
          </cell>
          <cell r="BX46">
            <v>9.3000000000000007</v>
          </cell>
          <cell r="BY46">
            <v>0</v>
          </cell>
          <cell r="BZ46">
            <v>0</v>
          </cell>
          <cell r="CA46">
            <v>0</v>
          </cell>
          <cell r="CB46">
            <v>9.1</v>
          </cell>
          <cell r="CC46">
            <v>8.6</v>
          </cell>
          <cell r="CD46">
            <v>0</v>
          </cell>
          <cell r="CE46">
            <v>0</v>
          </cell>
          <cell r="CF46">
            <v>0</v>
          </cell>
          <cell r="CG46">
            <v>0</v>
          </cell>
          <cell r="CH46">
            <v>0</v>
          </cell>
          <cell r="CI46">
            <v>0</v>
          </cell>
          <cell r="CJ46">
            <v>0</v>
          </cell>
          <cell r="CK46">
            <v>0</v>
          </cell>
          <cell r="CL46">
            <v>0</v>
          </cell>
          <cell r="CM46">
            <v>8</v>
          </cell>
          <cell r="CN46">
            <v>8</v>
          </cell>
          <cell r="CO46">
            <v>8.6</v>
          </cell>
          <cell r="CP46">
            <v>9.8000000000000007</v>
          </cell>
          <cell r="CQ46">
            <v>9.1999999999999993</v>
          </cell>
          <cell r="CR46">
            <v>9.1</v>
          </cell>
          <cell r="CS46">
            <v>9.5</v>
          </cell>
          <cell r="CT46">
            <v>0</v>
          </cell>
          <cell r="CU46">
            <v>0</v>
          </cell>
          <cell r="CV46">
            <v>0</v>
          </cell>
          <cell r="CW46">
            <v>8.5</v>
          </cell>
          <cell r="CX46">
            <v>9.1</v>
          </cell>
          <cell r="CY46">
            <v>0</v>
          </cell>
          <cell r="CZ46">
            <v>0</v>
          </cell>
          <cell r="DA46">
            <v>0</v>
          </cell>
          <cell r="DB46">
            <v>0</v>
          </cell>
          <cell r="DC46">
            <v>0</v>
          </cell>
          <cell r="DD46">
            <v>0</v>
          </cell>
          <cell r="DE46">
            <v>0</v>
          </cell>
          <cell r="DF46">
            <v>0</v>
          </cell>
          <cell r="DG46">
            <v>0</v>
          </cell>
          <cell r="DH46">
            <v>8</v>
          </cell>
          <cell r="DI46">
            <v>8</v>
          </cell>
          <cell r="DJ46">
            <v>8.5</v>
          </cell>
          <cell r="DK46">
            <v>9.8000000000000007</v>
          </cell>
          <cell r="DL46">
            <v>9.3000000000000007</v>
          </cell>
          <cell r="DM46">
            <v>9.1</v>
          </cell>
          <cell r="DN46">
            <v>9.6</v>
          </cell>
          <cell r="DO46">
            <v>0</v>
          </cell>
          <cell r="DP46">
            <v>0</v>
          </cell>
          <cell r="DQ46">
            <v>0</v>
          </cell>
          <cell r="DR46">
            <v>9.5</v>
          </cell>
          <cell r="DS46">
            <v>9.3000000000000007</v>
          </cell>
          <cell r="DT46">
            <v>0</v>
          </cell>
          <cell r="DU46">
            <v>0</v>
          </cell>
          <cell r="DV46">
            <v>0</v>
          </cell>
          <cell r="DW46">
            <v>0</v>
          </cell>
          <cell r="DX46">
            <v>0</v>
          </cell>
          <cell r="DY46">
            <v>0</v>
          </cell>
          <cell r="DZ46">
            <v>0</v>
          </cell>
          <cell r="EA46">
            <v>0</v>
          </cell>
          <cell r="EB46">
            <v>0</v>
          </cell>
          <cell r="EC46">
            <v>6</v>
          </cell>
          <cell r="ED46">
            <v>6.25</v>
          </cell>
          <cell r="EE46">
            <v>4.25</v>
          </cell>
          <cell r="EI46">
            <v>8.25</v>
          </cell>
          <cell r="EX46">
            <v>119</v>
          </cell>
          <cell r="EY46">
            <v>123.5</v>
          </cell>
          <cell r="EZ46">
            <v>113</v>
          </cell>
          <cell r="FA46">
            <v>115.5</v>
          </cell>
        </row>
        <row r="47">
          <cell r="A47">
            <v>327399812</v>
          </cell>
          <cell r="B47" t="str">
            <v>KSVBS2629385</v>
          </cell>
          <cell r="C47" t="str">
            <v>89</v>
          </cell>
          <cell r="D47" t="str">
            <v>NGUYỄN KHÁNH CHI</v>
          </cell>
          <cell r="E47" t="str">
            <v>1</v>
          </cell>
          <cell r="F47" t="str">
            <v>08/12/2008</v>
          </cell>
          <cell r="G47" t="str">
            <v>khanhchi8812@gmail.com</v>
          </cell>
          <cell r="H47" t="str">
            <v>0327399812</v>
          </cell>
          <cell r="I47" t="str">
            <v>025308012169</v>
          </cell>
          <cell r="J47" t="str">
            <v>Số 17 - Tổ 22C - Tổ dân phố Gia Cẩm</v>
          </cell>
          <cell r="K47" t="str">
            <v>KV2</v>
          </cell>
          <cell r="M47" t="str">
            <v>Không có</v>
          </cell>
          <cell r="N47" t="str">
            <v>Kinh</v>
          </cell>
          <cell r="P47" t="str">
            <v>2026</v>
          </cell>
          <cell r="Q47" t="str">
            <v>25037325</v>
          </cell>
          <cell r="R47" t="str">
            <v>Không có</v>
          </cell>
          <cell r="S47" t="str">
            <v>Không có</v>
          </cell>
          <cell r="T47" t="str">
            <v>Không có</v>
          </cell>
          <cell r="AA47" t="str">
            <v>Không có</v>
          </cell>
          <cell r="AF47" t="str">
            <v>25N</v>
          </cell>
          <cell r="AG47" t="str">
            <v>286</v>
          </cell>
          <cell r="AH47" t="str">
            <v>THPT Việt Trì</v>
          </cell>
          <cell r="AI47" t="str">
            <v>25N</v>
          </cell>
          <cell r="AJ47" t="str">
            <v>286</v>
          </cell>
          <cell r="AK47" t="str">
            <v>THPT Việt Trì</v>
          </cell>
          <cell r="AL47" t="str">
            <v>25N</v>
          </cell>
          <cell r="AM47" t="str">
            <v>286</v>
          </cell>
          <cell r="AN47" t="str">
            <v>THPT Việt Trì</v>
          </cell>
          <cell r="AO47" t="str">
            <v>GDPT2018</v>
          </cell>
          <cell r="AP47" t="str">
            <v>Giỏi</v>
          </cell>
          <cell r="AQ47" t="str">
            <v>8.93</v>
          </cell>
          <cell r="AR47" t="str">
            <v>8.62</v>
          </cell>
          <cell r="AS47" t="str">
            <v>8.69</v>
          </cell>
          <cell r="AT47" t="str">
            <v>9.19</v>
          </cell>
          <cell r="AU47" t="str">
            <v>False</v>
          </cell>
          <cell r="AW47" t="str">
            <v>7380107</v>
          </cell>
          <cell r="AX47" t="str">
            <v>Luật kinh tế</v>
          </cell>
          <cell r="BC47" t="str">
            <v>phamhuong</v>
          </cell>
          <cell r="BD47" t="str">
            <v>Đã được tiếp nhận</v>
          </cell>
          <cell r="BF47" t="str">
            <v>3</v>
          </cell>
          <cell r="BM47" t="str">
            <v>True</v>
          </cell>
          <cell r="BN47" t="str">
            <v>False</v>
          </cell>
          <cell r="BO47" t="str">
            <v>KQTHPT_45_025308012169.pdf</v>
          </cell>
          <cell r="BR47">
            <v>8.1999999999999993</v>
          </cell>
          <cell r="BS47">
            <v>8.6</v>
          </cell>
          <cell r="BT47">
            <v>8</v>
          </cell>
          <cell r="BU47">
            <v>8.8000000000000007</v>
          </cell>
          <cell r="BV47">
            <v>8.3000000000000007</v>
          </cell>
          <cell r="BW47">
            <v>8.6</v>
          </cell>
          <cell r="BX47">
            <v>9.3000000000000007</v>
          </cell>
          <cell r="BY47">
            <v>0</v>
          </cell>
          <cell r="BZ47">
            <v>8.8000000000000007</v>
          </cell>
          <cell r="CA47">
            <v>0</v>
          </cell>
          <cell r="CB47">
            <v>9</v>
          </cell>
          <cell r="CC47">
            <v>0</v>
          </cell>
          <cell r="CD47">
            <v>0</v>
          </cell>
          <cell r="CE47">
            <v>0</v>
          </cell>
          <cell r="CF47">
            <v>0</v>
          </cell>
          <cell r="CG47">
            <v>0</v>
          </cell>
          <cell r="CH47">
            <v>0</v>
          </cell>
          <cell r="CI47">
            <v>0</v>
          </cell>
          <cell r="CJ47">
            <v>0</v>
          </cell>
          <cell r="CK47">
            <v>0</v>
          </cell>
          <cell r="CL47">
            <v>0</v>
          </cell>
          <cell r="CM47">
            <v>8</v>
          </cell>
          <cell r="CN47">
            <v>8.9</v>
          </cell>
          <cell r="CO47">
            <v>8.4</v>
          </cell>
          <cell r="CP47">
            <v>9</v>
          </cell>
          <cell r="CQ47">
            <v>9</v>
          </cell>
          <cell r="CR47">
            <v>9.1999999999999993</v>
          </cell>
          <cell r="CS47">
            <v>9.3000000000000007</v>
          </cell>
          <cell r="CT47">
            <v>0</v>
          </cell>
          <cell r="CU47">
            <v>7.7</v>
          </cell>
          <cell r="CV47">
            <v>0</v>
          </cell>
          <cell r="CW47">
            <v>8.6999999999999993</v>
          </cell>
          <cell r="CX47">
            <v>0</v>
          </cell>
          <cell r="CY47">
            <v>0</v>
          </cell>
          <cell r="CZ47">
            <v>0</v>
          </cell>
          <cell r="DA47">
            <v>0</v>
          </cell>
          <cell r="DB47">
            <v>0</v>
          </cell>
          <cell r="DC47">
            <v>0</v>
          </cell>
          <cell r="DD47">
            <v>0</v>
          </cell>
          <cell r="DE47">
            <v>0</v>
          </cell>
          <cell r="DF47">
            <v>0</v>
          </cell>
          <cell r="DG47">
            <v>0</v>
          </cell>
          <cell r="DH47">
            <v>9.8000000000000007</v>
          </cell>
          <cell r="DI47">
            <v>9.1</v>
          </cell>
          <cell r="DJ47">
            <v>8.6</v>
          </cell>
          <cell r="DK47">
            <v>9.4</v>
          </cell>
          <cell r="DL47">
            <v>9.5</v>
          </cell>
          <cell r="DM47">
            <v>9.5</v>
          </cell>
          <cell r="DN47">
            <v>9.3000000000000007</v>
          </cell>
          <cell r="DO47">
            <v>0</v>
          </cell>
          <cell r="DP47">
            <v>8.3000000000000007</v>
          </cell>
          <cell r="DQ47">
            <v>0</v>
          </cell>
          <cell r="DR47">
            <v>9.1999999999999993</v>
          </cell>
          <cell r="DS47">
            <v>0</v>
          </cell>
          <cell r="DT47">
            <v>0</v>
          </cell>
          <cell r="DU47">
            <v>0</v>
          </cell>
          <cell r="DV47">
            <v>0</v>
          </cell>
          <cell r="DW47">
            <v>0</v>
          </cell>
          <cell r="DX47">
            <v>0</v>
          </cell>
          <cell r="DY47">
            <v>0</v>
          </cell>
          <cell r="DZ47">
            <v>0</v>
          </cell>
          <cell r="EA47">
            <v>0</v>
          </cell>
          <cell r="EB47">
            <v>0</v>
          </cell>
          <cell r="EC47">
            <v>8.5</v>
          </cell>
          <cell r="ED47">
            <v>8.25</v>
          </cell>
          <cell r="EE47">
            <v>4.25</v>
          </cell>
          <cell r="EI47">
            <v>6.5</v>
          </cell>
        </row>
        <row r="48">
          <cell r="A48">
            <v>779442965</v>
          </cell>
          <cell r="B48" t="str">
            <v>KSVBS2646760</v>
          </cell>
          <cell r="C48" t="str">
            <v>51</v>
          </cell>
          <cell r="D48" t="str">
            <v>HỒ THỊ HỒNG ANH</v>
          </cell>
          <cell r="E48" t="str">
            <v>1</v>
          </cell>
          <cell r="F48" t="str">
            <v>16/02/2008</v>
          </cell>
          <cell r="G48" t="str">
            <v>hong.agn@gmail.com</v>
          </cell>
          <cell r="H48" t="str">
            <v>0779442965</v>
          </cell>
          <cell r="I48" t="str">
            <v>092308009465</v>
          </cell>
          <cell r="J48" t="str">
            <v>333</v>
          </cell>
          <cell r="K48" t="str">
            <v>KV2</v>
          </cell>
          <cell r="M48" t="str">
            <v>Không có</v>
          </cell>
          <cell r="N48" t="str">
            <v>Kinh</v>
          </cell>
          <cell r="P48" t="str">
            <v>2026</v>
          </cell>
          <cell r="Q48" t="str">
            <v>92012463</v>
          </cell>
          <cell r="R48" t="str">
            <v>Không có</v>
          </cell>
          <cell r="S48" t="str">
            <v>Không có</v>
          </cell>
          <cell r="T48" t="str">
            <v>Không có</v>
          </cell>
          <cell r="AA48" t="str">
            <v>Không có</v>
          </cell>
          <cell r="AF48" t="str">
            <v>92N</v>
          </cell>
          <cell r="AG48" t="str">
            <v>020</v>
          </cell>
          <cell r="AH48" t="str">
            <v>Trường THPT Phan Văn Trị</v>
          </cell>
          <cell r="AI48" t="str">
            <v>92N</v>
          </cell>
          <cell r="AJ48" t="str">
            <v>020</v>
          </cell>
          <cell r="AK48" t="str">
            <v>Trường THPT Phan Văn Trị</v>
          </cell>
          <cell r="AL48" t="str">
            <v>92N</v>
          </cell>
          <cell r="AM48" t="str">
            <v>020</v>
          </cell>
          <cell r="AN48" t="str">
            <v>Trường THPT Phan Văn Trị</v>
          </cell>
          <cell r="AO48" t="str">
            <v>GDPT2018</v>
          </cell>
          <cell r="AP48" t="str">
            <v>Tốt</v>
          </cell>
          <cell r="AQ48" t="str">
            <v>0.00</v>
          </cell>
          <cell r="AR48" t="str">
            <v>8.87</v>
          </cell>
          <cell r="AS48" t="str">
            <v>9.41</v>
          </cell>
          <cell r="AT48" t="str">
            <v>9.21</v>
          </cell>
          <cell r="AU48" t="str">
            <v>False</v>
          </cell>
          <cell r="AW48" t="str">
            <v>7340122</v>
          </cell>
          <cell r="AX48" t="str">
            <v>Thương mại điện tử</v>
          </cell>
          <cell r="BC48" t="str">
            <v>quynhlx</v>
          </cell>
          <cell r="BD48" t="str">
            <v>Đã được tiếp nhận</v>
          </cell>
          <cell r="BF48" t="str">
            <v>3</v>
          </cell>
          <cell r="BM48" t="str">
            <v>True</v>
          </cell>
          <cell r="BN48" t="str">
            <v>True</v>
          </cell>
          <cell r="BO48" t="str">
            <v>KQTHPT_46_092308009465.pdf</v>
          </cell>
          <cell r="BQ48" t="str">
            <v>KQVSAT_46_092308009465.pdf</v>
          </cell>
          <cell r="BR48">
            <v>10</v>
          </cell>
          <cell r="BS48">
            <v>8.9</v>
          </cell>
          <cell r="BT48">
            <v>7</v>
          </cell>
          <cell r="BU48">
            <v>8.6999999999999993</v>
          </cell>
          <cell r="BV48">
            <v>9.1</v>
          </cell>
          <cell r="BW48">
            <v>0</v>
          </cell>
          <cell r="BX48">
            <v>8.3000000000000007</v>
          </cell>
          <cell r="BY48">
            <v>0</v>
          </cell>
          <cell r="BZ48">
            <v>0</v>
          </cell>
          <cell r="CA48">
            <v>9.1999999999999993</v>
          </cell>
          <cell r="CB48">
            <v>9.1</v>
          </cell>
          <cell r="CC48">
            <v>9.5</v>
          </cell>
          <cell r="CD48">
            <v>0</v>
          </cell>
          <cell r="CE48">
            <v>0</v>
          </cell>
          <cell r="CF48">
            <v>0</v>
          </cell>
          <cell r="CG48">
            <v>0</v>
          </cell>
          <cell r="CH48">
            <v>0</v>
          </cell>
          <cell r="CI48">
            <v>0</v>
          </cell>
          <cell r="CJ48">
            <v>0</v>
          </cell>
          <cell r="CK48">
            <v>0</v>
          </cell>
          <cell r="CL48">
            <v>0</v>
          </cell>
          <cell r="CM48">
            <v>9.6</v>
          </cell>
          <cell r="CN48">
            <v>9</v>
          </cell>
          <cell r="CO48">
            <v>8.6999999999999993</v>
          </cell>
          <cell r="CP48">
            <v>9.8000000000000007</v>
          </cell>
          <cell r="CQ48">
            <v>9.4</v>
          </cell>
          <cell r="CR48">
            <v>0</v>
          </cell>
          <cell r="CS48">
            <v>9.3000000000000007</v>
          </cell>
          <cell r="CT48">
            <v>0</v>
          </cell>
          <cell r="CU48">
            <v>0</v>
          </cell>
          <cell r="CV48">
            <v>9.5</v>
          </cell>
          <cell r="CW48">
            <v>9.8000000000000007</v>
          </cell>
          <cell r="CX48">
            <v>9.6</v>
          </cell>
          <cell r="CY48">
            <v>0</v>
          </cell>
          <cell r="CZ48">
            <v>0</v>
          </cell>
          <cell r="DA48">
            <v>0</v>
          </cell>
          <cell r="DB48">
            <v>0</v>
          </cell>
          <cell r="DC48">
            <v>0</v>
          </cell>
          <cell r="DD48">
            <v>0</v>
          </cell>
          <cell r="DE48">
            <v>0</v>
          </cell>
          <cell r="DF48">
            <v>0</v>
          </cell>
          <cell r="DG48">
            <v>0</v>
          </cell>
          <cell r="DH48">
            <v>9.9</v>
          </cell>
          <cell r="DI48">
            <v>9.1</v>
          </cell>
          <cell r="DJ48">
            <v>8.3000000000000007</v>
          </cell>
          <cell r="DK48">
            <v>9.3000000000000007</v>
          </cell>
          <cell r="DL48">
            <v>9.5</v>
          </cell>
          <cell r="DM48">
            <v>0</v>
          </cell>
          <cell r="DN48">
            <v>9.4</v>
          </cell>
          <cell r="DO48">
            <v>0</v>
          </cell>
          <cell r="DP48">
            <v>0</v>
          </cell>
          <cell r="DQ48">
            <v>9.1999999999999993</v>
          </cell>
          <cell r="DR48">
            <v>9.3000000000000007</v>
          </cell>
          <cell r="DS48">
            <v>8.9</v>
          </cell>
          <cell r="DT48">
            <v>0</v>
          </cell>
          <cell r="DU48">
            <v>0</v>
          </cell>
          <cell r="DV48">
            <v>0</v>
          </cell>
          <cell r="DW48">
            <v>0</v>
          </cell>
          <cell r="DX48">
            <v>0</v>
          </cell>
          <cell r="DY48">
            <v>0</v>
          </cell>
          <cell r="DZ48">
            <v>0</v>
          </cell>
          <cell r="EA48">
            <v>0</v>
          </cell>
          <cell r="EB48">
            <v>0</v>
          </cell>
          <cell r="EC48">
            <v>8.5</v>
          </cell>
          <cell r="ED48">
            <v>8</v>
          </cell>
          <cell r="EE48">
            <v>5</v>
          </cell>
          <cell r="EG48">
            <v>0</v>
          </cell>
          <cell r="EI48">
            <v>0</v>
          </cell>
          <cell r="EJ48">
            <v>0</v>
          </cell>
          <cell r="EK48">
            <v>0</v>
          </cell>
          <cell r="EL48">
            <v>5.6</v>
          </cell>
          <cell r="EN48">
            <v>0</v>
          </cell>
          <cell r="EW48">
            <v>141</v>
          </cell>
          <cell r="EX48">
            <v>123.5</v>
          </cell>
          <cell r="EY48">
            <v>112.5</v>
          </cell>
          <cell r="EZ48">
            <v>0</v>
          </cell>
          <cell r="FA48">
            <v>0</v>
          </cell>
          <cell r="FB48">
            <v>0</v>
          </cell>
          <cell r="FC48">
            <v>0</v>
          </cell>
          <cell r="FD48">
            <v>0</v>
          </cell>
        </row>
        <row r="49">
          <cell r="A49">
            <v>908530645</v>
          </cell>
          <cell r="B49" t="str">
            <v>KSVBS2613129</v>
          </cell>
          <cell r="C49" t="str">
            <v>43</v>
          </cell>
          <cell r="D49" t="str">
            <v>LÊ THỊ HOÀI THƯƠNG</v>
          </cell>
          <cell r="E49" t="str">
            <v>1</v>
          </cell>
          <cell r="F49" t="str">
            <v>02/04/2008</v>
          </cell>
          <cell r="G49" t="str">
            <v>hoaithuongg242008@gmail.com</v>
          </cell>
          <cell r="H49" t="str">
            <v>0908530645</v>
          </cell>
          <cell r="I49" t="str">
            <v>079308035195</v>
          </cell>
          <cell r="J49" t="str">
            <v>169/12 Nguyễn Thị Kiểu, Khu phố 19, Tân Thới Hiệp, Thành phố Hồ Chí Minh</v>
          </cell>
          <cell r="K49" t="str">
            <v>KV2</v>
          </cell>
          <cell r="M49" t="str">
            <v>Không có</v>
          </cell>
          <cell r="N49" t="str">
            <v>Kinh</v>
          </cell>
          <cell r="P49" t="str">
            <v>2026</v>
          </cell>
          <cell r="Q49" t="str">
            <v>79086650</v>
          </cell>
          <cell r="R49" t="str">
            <v>Không có</v>
          </cell>
          <cell r="S49" t="str">
            <v>Không có</v>
          </cell>
          <cell r="T49" t="str">
            <v>Không có</v>
          </cell>
          <cell r="AA49" t="str">
            <v>Không có</v>
          </cell>
          <cell r="AF49" t="str">
            <v>79N</v>
          </cell>
          <cell r="AG49" t="str">
            <v>101</v>
          </cell>
          <cell r="AH49" t="str">
            <v>THPT Nguyễn Văn Cừ</v>
          </cell>
          <cell r="AI49" t="str">
            <v>79N</v>
          </cell>
          <cell r="AJ49" t="str">
            <v>101</v>
          </cell>
          <cell r="AK49" t="str">
            <v>THPT Nguyễn Văn Cừ</v>
          </cell>
          <cell r="AL49" t="str">
            <v>79N</v>
          </cell>
          <cell r="AM49" t="str">
            <v>101</v>
          </cell>
          <cell r="AN49" t="str">
            <v>THPT Nguyễn Văn Cừ</v>
          </cell>
          <cell r="AO49" t="str">
            <v>GDPT2018</v>
          </cell>
          <cell r="AP49" t="str">
            <v>Tốt</v>
          </cell>
          <cell r="AQ49" t="str">
            <v>0.00</v>
          </cell>
          <cell r="AR49" t="str">
            <v>7.46</v>
          </cell>
          <cell r="AS49" t="str">
            <v>7.99</v>
          </cell>
          <cell r="AT49" t="str">
            <v>8.32</v>
          </cell>
          <cell r="AU49" t="str">
            <v>False</v>
          </cell>
          <cell r="AW49" t="str">
            <v>7620114</v>
          </cell>
          <cell r="AX49" t="str">
            <v>Kinh doanh nông nghiệp</v>
          </cell>
          <cell r="BC49" t="str">
            <v>quynhlx</v>
          </cell>
          <cell r="BD49" t="str">
            <v>Đã được tiếp nhận</v>
          </cell>
          <cell r="BF49" t="str">
            <v>3</v>
          </cell>
          <cell r="BM49" t="str">
            <v>True</v>
          </cell>
          <cell r="BN49" t="str">
            <v>False</v>
          </cell>
          <cell r="BO49" t="str">
            <v>KQTHPT_47_079308035195.pdf</v>
          </cell>
          <cell r="BR49">
            <v>6.3</v>
          </cell>
          <cell r="BS49">
            <v>7.3</v>
          </cell>
          <cell r="BT49">
            <v>6.6</v>
          </cell>
          <cell r="BU49">
            <v>8.6</v>
          </cell>
          <cell r="BV49">
            <v>7.1</v>
          </cell>
          <cell r="BW49">
            <v>8</v>
          </cell>
          <cell r="BX49">
            <v>7.8</v>
          </cell>
          <cell r="BY49">
            <v>6.3</v>
          </cell>
          <cell r="BZ49">
            <v>0</v>
          </cell>
          <cell r="CA49">
            <v>0</v>
          </cell>
          <cell r="CB49">
            <v>0</v>
          </cell>
          <cell r="CC49">
            <v>9.1</v>
          </cell>
          <cell r="CD49">
            <v>0</v>
          </cell>
          <cell r="CE49">
            <v>0</v>
          </cell>
          <cell r="CF49">
            <v>0</v>
          </cell>
          <cell r="CG49">
            <v>0</v>
          </cell>
          <cell r="CH49">
            <v>0</v>
          </cell>
          <cell r="CI49">
            <v>0</v>
          </cell>
          <cell r="CJ49">
            <v>0</v>
          </cell>
          <cell r="CK49">
            <v>0</v>
          </cell>
          <cell r="CL49">
            <v>0</v>
          </cell>
          <cell r="CM49">
            <v>8.6</v>
          </cell>
          <cell r="CN49">
            <v>7.2</v>
          </cell>
          <cell r="CO49">
            <v>7.6</v>
          </cell>
          <cell r="CP49">
            <v>8.1999999999999993</v>
          </cell>
          <cell r="CQ49">
            <v>8.4</v>
          </cell>
          <cell r="CR49">
            <v>7.4</v>
          </cell>
          <cell r="CS49">
            <v>8.9</v>
          </cell>
          <cell r="CT49">
            <v>7.1</v>
          </cell>
          <cell r="CU49">
            <v>0</v>
          </cell>
          <cell r="CV49">
            <v>0</v>
          </cell>
          <cell r="CW49">
            <v>0</v>
          </cell>
          <cell r="CX49">
            <v>8.5</v>
          </cell>
          <cell r="CY49">
            <v>0</v>
          </cell>
          <cell r="CZ49">
            <v>0</v>
          </cell>
          <cell r="DA49">
            <v>0</v>
          </cell>
          <cell r="DB49">
            <v>0</v>
          </cell>
          <cell r="DC49">
            <v>0</v>
          </cell>
          <cell r="DD49">
            <v>0</v>
          </cell>
          <cell r="DE49">
            <v>0</v>
          </cell>
          <cell r="DF49">
            <v>0</v>
          </cell>
          <cell r="DG49">
            <v>0</v>
          </cell>
          <cell r="DH49">
            <v>8.3000000000000007</v>
          </cell>
          <cell r="DI49">
            <v>7.3</v>
          </cell>
          <cell r="DJ49">
            <v>7.6</v>
          </cell>
          <cell r="DK49">
            <v>9.3000000000000007</v>
          </cell>
          <cell r="DL49">
            <v>9.1999999999999993</v>
          </cell>
          <cell r="DM49">
            <v>8.1</v>
          </cell>
          <cell r="DN49">
            <v>8.6</v>
          </cell>
          <cell r="DO49">
            <v>7.5</v>
          </cell>
          <cell r="DP49">
            <v>0</v>
          </cell>
          <cell r="DQ49">
            <v>0</v>
          </cell>
          <cell r="DR49">
            <v>0</v>
          </cell>
          <cell r="DS49">
            <v>9</v>
          </cell>
          <cell r="DT49">
            <v>0</v>
          </cell>
          <cell r="DU49">
            <v>0</v>
          </cell>
          <cell r="DV49">
            <v>0</v>
          </cell>
          <cell r="DW49">
            <v>0</v>
          </cell>
          <cell r="DX49">
            <v>0</v>
          </cell>
          <cell r="DY49">
            <v>0</v>
          </cell>
          <cell r="DZ49">
            <v>0</v>
          </cell>
          <cell r="EA49">
            <v>0</v>
          </cell>
          <cell r="EB49">
            <v>0</v>
          </cell>
          <cell r="EC49">
            <v>6</v>
          </cell>
          <cell r="ED49">
            <v>5.5</v>
          </cell>
          <cell r="EE49">
            <v>5</v>
          </cell>
          <cell r="EJ49">
            <v>3.75</v>
          </cell>
        </row>
        <row r="50">
          <cell r="A50">
            <v>363580108</v>
          </cell>
          <cell r="B50" t="str">
            <v>KSVBS2646585</v>
          </cell>
          <cell r="C50" t="str">
            <v>88</v>
          </cell>
          <cell r="D50" t="str">
            <v>TRẦN NHẬT TUYẾN</v>
          </cell>
          <cell r="E50" t="str">
            <v>0</v>
          </cell>
          <cell r="F50" t="str">
            <v>15/12/2006</v>
          </cell>
          <cell r="G50" t="str">
            <v>trannhattuyen3@gmail.com</v>
          </cell>
          <cell r="H50" t="str">
            <v>0363580108</v>
          </cell>
          <cell r="I50" t="str">
            <v>046206005798</v>
          </cell>
          <cell r="J50" t="str">
            <v>Cầu rào đình,thôn thuỷ cam</v>
          </cell>
          <cell r="K50" t="str">
            <v>KV2-NT</v>
          </cell>
          <cell r="M50" t="str">
            <v>Không có</v>
          </cell>
          <cell r="N50" t="str">
            <v>Kinh</v>
          </cell>
          <cell r="P50" t="str">
            <v>2026</v>
          </cell>
          <cell r="Q50" t="str">
            <v>46013275</v>
          </cell>
          <cell r="R50" t="str">
            <v>Không có</v>
          </cell>
          <cell r="S50" t="str">
            <v>Không có</v>
          </cell>
          <cell r="T50" t="str">
            <v>Không có</v>
          </cell>
          <cell r="AA50" t="str">
            <v>Không có</v>
          </cell>
          <cell r="AF50" t="str">
            <v>46NN</v>
          </cell>
          <cell r="AG50" t="str">
            <v>148</v>
          </cell>
          <cell r="AH50" t="str">
            <v>THPT Thừa Lưu</v>
          </cell>
          <cell r="AI50" t="str">
            <v>46NN</v>
          </cell>
          <cell r="AJ50" t="str">
            <v>148</v>
          </cell>
          <cell r="AK50" t="str">
            <v>THPT Thừa Lưu</v>
          </cell>
          <cell r="AL50" t="str">
            <v>46NN</v>
          </cell>
          <cell r="AM50" t="str">
            <v>248</v>
          </cell>
          <cell r="AN50" t="str">
            <v>THPT Thừa Lưu</v>
          </cell>
          <cell r="AO50" t="str">
            <v>GDPT2018</v>
          </cell>
          <cell r="AP50" t="str">
            <v>Tốt</v>
          </cell>
          <cell r="AQ50" t="str">
            <v>6.63</v>
          </cell>
          <cell r="AR50" t="str">
            <v>7.43</v>
          </cell>
          <cell r="AS50" t="str">
            <v>7.81</v>
          </cell>
          <cell r="AT50" t="str">
            <v>8.06</v>
          </cell>
          <cell r="AU50" t="str">
            <v>False</v>
          </cell>
          <cell r="AW50" t="str">
            <v>7340122</v>
          </cell>
          <cell r="AX50" t="str">
            <v>Thương mại điện tử</v>
          </cell>
          <cell r="AY50" t="str">
            <v>7480201</v>
          </cell>
          <cell r="AZ50" t="str">
            <v>Công nghệ và đổi mới sáng tạo</v>
          </cell>
          <cell r="BC50" t="str">
            <v>phamhuong</v>
          </cell>
          <cell r="BD50" t="str">
            <v>Đã được tiếp nhận</v>
          </cell>
          <cell r="BF50" t="str">
            <v>3</v>
          </cell>
          <cell r="BM50" t="str">
            <v>True</v>
          </cell>
          <cell r="BN50" t="str">
            <v>False</v>
          </cell>
          <cell r="BO50" t="str">
            <v>KQTHPT_48_046206005798.pdf</v>
          </cell>
          <cell r="BR50">
            <v>6.7</v>
          </cell>
          <cell r="BS50">
            <v>6.3</v>
          </cell>
          <cell r="BT50">
            <v>7.3</v>
          </cell>
          <cell r="BU50">
            <v>8.1</v>
          </cell>
          <cell r="BV50">
            <v>8.1999999999999993</v>
          </cell>
          <cell r="BW50">
            <v>0</v>
          </cell>
          <cell r="BX50">
            <v>0</v>
          </cell>
          <cell r="BY50">
            <v>6.6</v>
          </cell>
          <cell r="BZ50">
            <v>0</v>
          </cell>
          <cell r="CA50">
            <v>7.5</v>
          </cell>
          <cell r="CB50">
            <v>8.6999999999999993</v>
          </cell>
          <cell r="CC50">
            <v>0</v>
          </cell>
          <cell r="CD50">
            <v>0</v>
          </cell>
          <cell r="CE50">
            <v>0</v>
          </cell>
          <cell r="CF50">
            <v>0</v>
          </cell>
          <cell r="CG50">
            <v>0</v>
          </cell>
          <cell r="CH50">
            <v>0</v>
          </cell>
          <cell r="CI50">
            <v>0</v>
          </cell>
          <cell r="CJ50">
            <v>0</v>
          </cell>
          <cell r="CK50">
            <v>0</v>
          </cell>
          <cell r="CL50">
            <v>0</v>
          </cell>
          <cell r="CM50">
            <v>7.2</v>
          </cell>
          <cell r="CN50">
            <v>7.2</v>
          </cell>
          <cell r="CO50">
            <v>8.3000000000000007</v>
          </cell>
          <cell r="CP50">
            <v>8.3000000000000007</v>
          </cell>
          <cell r="CQ50">
            <v>8.9</v>
          </cell>
          <cell r="CR50">
            <v>0</v>
          </cell>
          <cell r="CS50">
            <v>0</v>
          </cell>
          <cell r="CT50">
            <v>6.1</v>
          </cell>
          <cell r="CU50">
            <v>0</v>
          </cell>
          <cell r="CV50">
            <v>8.8000000000000007</v>
          </cell>
          <cell r="CW50">
            <v>7.7</v>
          </cell>
          <cell r="CX50">
            <v>0</v>
          </cell>
          <cell r="CY50">
            <v>0</v>
          </cell>
          <cell r="CZ50">
            <v>0</v>
          </cell>
          <cell r="DA50">
            <v>0</v>
          </cell>
          <cell r="DB50">
            <v>0</v>
          </cell>
          <cell r="DC50">
            <v>0</v>
          </cell>
          <cell r="DD50">
            <v>0</v>
          </cell>
          <cell r="DE50">
            <v>0</v>
          </cell>
          <cell r="DF50">
            <v>0</v>
          </cell>
          <cell r="DG50">
            <v>0</v>
          </cell>
          <cell r="DH50">
            <v>8.1</v>
          </cell>
          <cell r="DI50">
            <v>6.8</v>
          </cell>
          <cell r="DJ50">
            <v>8.6999999999999993</v>
          </cell>
          <cell r="DK50">
            <v>8.6</v>
          </cell>
          <cell r="DL50">
            <v>8.3000000000000007</v>
          </cell>
          <cell r="DM50">
            <v>0</v>
          </cell>
          <cell r="DN50">
            <v>0</v>
          </cell>
          <cell r="DO50">
            <v>8</v>
          </cell>
          <cell r="DP50">
            <v>0</v>
          </cell>
          <cell r="DQ50">
            <v>8</v>
          </cell>
          <cell r="DR50">
            <v>8</v>
          </cell>
          <cell r="DS50">
            <v>0</v>
          </cell>
          <cell r="DT50">
            <v>0</v>
          </cell>
          <cell r="DU50">
            <v>0</v>
          </cell>
          <cell r="DV50">
            <v>0</v>
          </cell>
          <cell r="DW50">
            <v>0</v>
          </cell>
          <cell r="DX50">
            <v>0</v>
          </cell>
          <cell r="DY50">
            <v>0</v>
          </cell>
          <cell r="DZ50">
            <v>0</v>
          </cell>
          <cell r="EA50">
            <v>0</v>
          </cell>
          <cell r="EB50">
            <v>0</v>
          </cell>
          <cell r="EC50">
            <v>7</v>
          </cell>
          <cell r="ED50">
            <v>6.5</v>
          </cell>
          <cell r="EE50">
            <v>3</v>
          </cell>
          <cell r="EJ50">
            <v>5.5</v>
          </cell>
        </row>
        <row r="51">
          <cell r="A51">
            <v>397288421</v>
          </cell>
          <cell r="B51" t="str">
            <v>KSVBS2642750</v>
          </cell>
          <cell r="C51" t="str">
            <v>38</v>
          </cell>
          <cell r="D51" t="str">
            <v>NGUYỄN THỊ KIM THƯ</v>
          </cell>
          <cell r="E51" t="str">
            <v>1</v>
          </cell>
          <cell r="F51" t="str">
            <v>29/08/2008</v>
          </cell>
          <cell r="G51" t="str">
            <v>jinshu2908@gmail.com</v>
          </cell>
          <cell r="H51" t="str">
            <v>0397288421</v>
          </cell>
          <cell r="I51" t="str">
            <v>083308010347</v>
          </cell>
          <cell r="J51" t="str">
            <v>056/Tt3, Ấp Tân Thanh 3</v>
          </cell>
          <cell r="K51" t="str">
            <v>KV2-NT</v>
          </cell>
          <cell r="M51" t="str">
            <v>Không có</v>
          </cell>
          <cell r="N51" t="str">
            <v>Kinh</v>
          </cell>
          <cell r="P51" t="str">
            <v>2026</v>
          </cell>
          <cell r="Q51" t="str">
            <v>86011382</v>
          </cell>
          <cell r="R51" t="str">
            <v>Không có</v>
          </cell>
          <cell r="S51" t="str">
            <v>Không có</v>
          </cell>
          <cell r="T51" t="str">
            <v>Không có</v>
          </cell>
          <cell r="AA51" t="str">
            <v>Không có</v>
          </cell>
          <cell r="AF51" t="str">
            <v>86N</v>
          </cell>
          <cell r="AG51" t="str">
            <v>100</v>
          </cell>
          <cell r="AH51" t="str">
            <v>THPT Sương Nguyệt Anh</v>
          </cell>
          <cell r="AI51" t="str">
            <v>86N</v>
          </cell>
          <cell r="AJ51" t="str">
            <v>100</v>
          </cell>
          <cell r="AK51" t="str">
            <v>THPT Sương Nguyệt Anh</v>
          </cell>
          <cell r="AL51" t="str">
            <v>86N</v>
          </cell>
          <cell r="AM51" t="str">
            <v>100</v>
          </cell>
          <cell r="AN51" t="str">
            <v>THPT Sương Nguyệt Anh</v>
          </cell>
          <cell r="AO51" t="str">
            <v>GDPT2018</v>
          </cell>
          <cell r="AP51" t="str">
            <v>Tốt</v>
          </cell>
          <cell r="AQ51" t="str">
            <v>0.00</v>
          </cell>
          <cell r="AR51" t="str">
            <v>8.19</v>
          </cell>
          <cell r="AS51" t="str">
            <v>8.07</v>
          </cell>
          <cell r="AT51" t="str">
            <v>9.04</v>
          </cell>
          <cell r="AU51" t="str">
            <v>False</v>
          </cell>
          <cell r="AW51" t="str">
            <v>7340120</v>
          </cell>
          <cell r="AX51" t="str">
            <v>Kinh doanh quốc tế</v>
          </cell>
          <cell r="BC51" t="str">
            <v>quynhlx</v>
          </cell>
          <cell r="BD51" t="str">
            <v>Đã được tiếp nhận</v>
          </cell>
          <cell r="BF51" t="str">
            <v>3</v>
          </cell>
          <cell r="BM51" t="str">
            <v>True</v>
          </cell>
          <cell r="BN51" t="str">
            <v>False</v>
          </cell>
          <cell r="BO51" t="str">
            <v>KQTHPT_49_083308010347.pdf</v>
          </cell>
          <cell r="BR51">
            <v>9.1</v>
          </cell>
          <cell r="BS51">
            <v>6.4</v>
          </cell>
          <cell r="BT51">
            <v>5.9</v>
          </cell>
          <cell r="BU51">
            <v>9.3000000000000007</v>
          </cell>
          <cell r="BV51">
            <v>8.6</v>
          </cell>
          <cell r="BW51">
            <v>0</v>
          </cell>
          <cell r="BX51">
            <v>0</v>
          </cell>
          <cell r="BY51">
            <v>8.8000000000000007</v>
          </cell>
          <cell r="BZ51">
            <v>8.6999999999999993</v>
          </cell>
          <cell r="CA51">
            <v>0</v>
          </cell>
          <cell r="CB51">
            <v>8.8000000000000007</v>
          </cell>
          <cell r="CC51">
            <v>8.1</v>
          </cell>
          <cell r="CD51">
            <v>0</v>
          </cell>
          <cell r="CE51">
            <v>0</v>
          </cell>
          <cell r="CF51">
            <v>0</v>
          </cell>
          <cell r="CG51">
            <v>0</v>
          </cell>
          <cell r="CH51">
            <v>0</v>
          </cell>
          <cell r="CI51">
            <v>0</v>
          </cell>
          <cell r="CJ51">
            <v>0</v>
          </cell>
          <cell r="CK51">
            <v>0</v>
          </cell>
          <cell r="CL51">
            <v>0</v>
          </cell>
          <cell r="CM51">
            <v>7.9</v>
          </cell>
          <cell r="CN51">
            <v>7</v>
          </cell>
          <cell r="CO51">
            <v>7.6</v>
          </cell>
          <cell r="CP51">
            <v>8.9</v>
          </cell>
          <cell r="CQ51">
            <v>7.4</v>
          </cell>
          <cell r="CR51">
            <v>0</v>
          </cell>
          <cell r="CS51">
            <v>0</v>
          </cell>
          <cell r="CT51">
            <v>8.8000000000000007</v>
          </cell>
          <cell r="CU51">
            <v>7.8</v>
          </cell>
          <cell r="CV51">
            <v>0</v>
          </cell>
          <cell r="CW51">
            <v>9.1</v>
          </cell>
          <cell r="CX51">
            <v>8.1</v>
          </cell>
          <cell r="CY51">
            <v>0</v>
          </cell>
          <cell r="CZ51">
            <v>0</v>
          </cell>
          <cell r="DA51">
            <v>0</v>
          </cell>
          <cell r="DB51">
            <v>0</v>
          </cell>
          <cell r="DC51">
            <v>0</v>
          </cell>
          <cell r="DD51">
            <v>0</v>
          </cell>
          <cell r="DE51">
            <v>0</v>
          </cell>
          <cell r="DF51">
            <v>0</v>
          </cell>
          <cell r="DG51">
            <v>0</v>
          </cell>
          <cell r="DH51">
            <v>9</v>
          </cell>
          <cell r="DI51">
            <v>7.7</v>
          </cell>
          <cell r="DJ51">
            <v>9.1</v>
          </cell>
          <cell r="DK51">
            <v>9.8000000000000007</v>
          </cell>
          <cell r="DL51">
            <v>9.3000000000000007</v>
          </cell>
          <cell r="DM51">
            <v>0</v>
          </cell>
          <cell r="DN51">
            <v>0</v>
          </cell>
          <cell r="DO51">
            <v>9.3000000000000007</v>
          </cell>
          <cell r="DP51">
            <v>8.6</v>
          </cell>
          <cell r="DQ51">
            <v>0</v>
          </cell>
          <cell r="DR51">
            <v>9.4</v>
          </cell>
          <cell r="DS51">
            <v>9.1999999999999993</v>
          </cell>
          <cell r="DT51">
            <v>0</v>
          </cell>
          <cell r="DU51">
            <v>0</v>
          </cell>
          <cell r="DV51">
            <v>0</v>
          </cell>
          <cell r="DW51">
            <v>0</v>
          </cell>
          <cell r="DX51">
            <v>0</v>
          </cell>
          <cell r="DY51">
            <v>0</v>
          </cell>
          <cell r="DZ51">
            <v>0</v>
          </cell>
          <cell r="EA51">
            <v>0</v>
          </cell>
          <cell r="EB51">
            <v>0</v>
          </cell>
          <cell r="EC51">
            <v>7.25</v>
          </cell>
          <cell r="ED51">
            <v>4.75</v>
          </cell>
          <cell r="EE51">
            <v>3</v>
          </cell>
          <cell r="EJ51">
            <v>5.75</v>
          </cell>
        </row>
        <row r="52">
          <cell r="A52">
            <v>764469952</v>
          </cell>
          <cell r="B52" t="str">
            <v>KSVBS2616644</v>
          </cell>
          <cell r="C52" t="str">
            <v>31</v>
          </cell>
          <cell r="D52" t="str">
            <v>TRẦN TẤN LỘC</v>
          </cell>
          <cell r="E52" t="str">
            <v>0</v>
          </cell>
          <cell r="F52" t="str">
            <v>23/08/2008</v>
          </cell>
          <cell r="G52" t="str">
            <v>loctrabnnn@gmail.com</v>
          </cell>
          <cell r="H52" t="str">
            <v>0764469952</v>
          </cell>
          <cell r="I52" t="str">
            <v>095208003828</v>
          </cell>
          <cell r="J52" t="str">
            <v xml:space="preserve">nhà số 7 , đường 27 ,ấp 1 xã dương minh châu , tỉnh tây ninh </v>
          </cell>
          <cell r="K52" t="str">
            <v>KV2-NT</v>
          </cell>
          <cell r="M52" t="str">
            <v>Không có</v>
          </cell>
          <cell r="N52" t="str">
            <v>Kinh</v>
          </cell>
          <cell r="P52" t="str">
            <v>2026</v>
          </cell>
          <cell r="Q52" t="str">
            <v>80022364</v>
          </cell>
          <cell r="R52" t="str">
            <v>Không có</v>
          </cell>
          <cell r="S52" t="str">
            <v>Không có</v>
          </cell>
          <cell r="T52" t="str">
            <v>Không có</v>
          </cell>
          <cell r="U52" t="str">
            <v>411016</v>
          </cell>
          <cell r="V52" t="str">
            <v>D26825394</v>
          </cell>
          <cell r="W52" t="str">
            <v>527.00</v>
          </cell>
          <cell r="Z52" t="str">
            <v>0.00</v>
          </cell>
          <cell r="AA52" t="str">
            <v>Không có</v>
          </cell>
          <cell r="AF52" t="str">
            <v>72N</v>
          </cell>
          <cell r="AG52" t="str">
            <v>020</v>
          </cell>
          <cell r="AH52" t="str">
            <v>THPT Dương Minh Châu</v>
          </cell>
          <cell r="AI52" t="str">
            <v>72N</v>
          </cell>
          <cell r="AJ52" t="str">
            <v>020</v>
          </cell>
          <cell r="AK52" t="str">
            <v>THPT Dương Minh Châu</v>
          </cell>
          <cell r="AL52" t="str">
            <v>72N</v>
          </cell>
          <cell r="AM52" t="str">
            <v>020</v>
          </cell>
          <cell r="AN52" t="str">
            <v>THPT Dương Minh Châu</v>
          </cell>
          <cell r="AO52" t="str">
            <v>GDPT2018</v>
          </cell>
          <cell r="AP52" t="str">
            <v>Khá</v>
          </cell>
          <cell r="AQ52" t="str">
            <v>6.67</v>
          </cell>
          <cell r="AR52" t="str">
            <v>6.11</v>
          </cell>
          <cell r="AS52" t="str">
            <v>6.41</v>
          </cell>
          <cell r="AT52" t="str">
            <v>7.02</v>
          </cell>
          <cell r="AU52" t="str">
            <v>True</v>
          </cell>
          <cell r="AW52" t="str">
            <v>7340115</v>
          </cell>
          <cell r="AX52" t="str">
            <v>Marketing</v>
          </cell>
          <cell r="BC52" t="str">
            <v>quynhlx</v>
          </cell>
          <cell r="BD52" t="str">
            <v>Đã được tiếp nhận</v>
          </cell>
          <cell r="BF52" t="str">
            <v>3</v>
          </cell>
          <cell r="BM52" t="str">
            <v>True</v>
          </cell>
          <cell r="BN52" t="str">
            <v>False</v>
          </cell>
          <cell r="BO52" t="str">
            <v>KQTHPT_50_095208003828.pdf</v>
          </cell>
          <cell r="BP52" t="str">
            <v>KQDGNL_50_095208003828.pdf</v>
          </cell>
          <cell r="BR52">
            <v>6.4</v>
          </cell>
          <cell r="BS52">
            <v>6.3</v>
          </cell>
          <cell r="BT52">
            <v>5.8</v>
          </cell>
          <cell r="BU52">
            <v>7.9</v>
          </cell>
          <cell r="BV52">
            <v>5.7</v>
          </cell>
          <cell r="BW52">
            <v>0</v>
          </cell>
          <cell r="BX52">
            <v>0</v>
          </cell>
          <cell r="BY52">
            <v>5.5</v>
          </cell>
          <cell r="BZ52">
            <v>6.5</v>
          </cell>
          <cell r="CA52">
            <v>5.9</v>
          </cell>
          <cell r="CB52">
            <v>0</v>
          </cell>
          <cell r="CC52">
            <v>5</v>
          </cell>
          <cell r="CD52">
            <v>0</v>
          </cell>
          <cell r="CE52">
            <v>0</v>
          </cell>
          <cell r="CF52">
            <v>0</v>
          </cell>
          <cell r="CG52">
            <v>0</v>
          </cell>
          <cell r="CH52">
            <v>0</v>
          </cell>
          <cell r="CI52">
            <v>0</v>
          </cell>
          <cell r="CJ52">
            <v>0</v>
          </cell>
          <cell r="CK52">
            <v>0</v>
          </cell>
          <cell r="CL52">
            <v>0</v>
          </cell>
          <cell r="CM52">
            <v>6.7</v>
          </cell>
          <cell r="CN52">
            <v>6.4</v>
          </cell>
          <cell r="CO52">
            <v>6</v>
          </cell>
          <cell r="CP52">
            <v>7.9</v>
          </cell>
          <cell r="CQ52">
            <v>6.3</v>
          </cell>
          <cell r="CR52">
            <v>0</v>
          </cell>
          <cell r="CS52">
            <v>0</v>
          </cell>
          <cell r="CT52">
            <v>5.3</v>
          </cell>
          <cell r="CU52">
            <v>6.4</v>
          </cell>
          <cell r="CV52">
            <v>6.4</v>
          </cell>
          <cell r="CW52">
            <v>0</v>
          </cell>
          <cell r="CX52">
            <v>6.3</v>
          </cell>
          <cell r="CY52">
            <v>0</v>
          </cell>
          <cell r="CZ52">
            <v>0</v>
          </cell>
          <cell r="DA52">
            <v>0</v>
          </cell>
          <cell r="DB52">
            <v>0</v>
          </cell>
          <cell r="DC52">
            <v>0</v>
          </cell>
          <cell r="DD52">
            <v>0</v>
          </cell>
          <cell r="DE52">
            <v>0</v>
          </cell>
          <cell r="DF52">
            <v>0</v>
          </cell>
          <cell r="DG52">
            <v>0</v>
          </cell>
          <cell r="DH52">
            <v>8</v>
          </cell>
          <cell r="DI52">
            <v>7.2</v>
          </cell>
          <cell r="DJ52">
            <v>6</v>
          </cell>
          <cell r="DK52">
            <v>8.6999999999999993</v>
          </cell>
          <cell r="DL52">
            <v>6.7</v>
          </cell>
          <cell r="DM52">
            <v>0</v>
          </cell>
          <cell r="DN52">
            <v>0</v>
          </cell>
          <cell r="DO52">
            <v>7.4</v>
          </cell>
          <cell r="DP52">
            <v>6.5</v>
          </cell>
          <cell r="DQ52">
            <v>5.3</v>
          </cell>
          <cell r="DR52">
            <v>0</v>
          </cell>
          <cell r="DS52">
            <v>7.4</v>
          </cell>
          <cell r="DT52">
            <v>0</v>
          </cell>
          <cell r="DU52">
            <v>0</v>
          </cell>
          <cell r="DV52">
            <v>0</v>
          </cell>
          <cell r="DW52">
            <v>0</v>
          </cell>
          <cell r="DX52">
            <v>0</v>
          </cell>
          <cell r="DY52">
            <v>0</v>
          </cell>
          <cell r="DZ52">
            <v>0</v>
          </cell>
          <cell r="EA52">
            <v>0</v>
          </cell>
          <cell r="EB52">
            <v>0</v>
          </cell>
          <cell r="EC52">
            <v>5.25</v>
          </cell>
          <cell r="ED52">
            <v>5.25</v>
          </cell>
          <cell r="EJ52">
            <v>4.5</v>
          </cell>
          <cell r="EK52">
            <v>5</v>
          </cell>
        </row>
        <row r="53">
          <cell r="A53">
            <v>918192011</v>
          </cell>
          <cell r="B53" t="str">
            <v>KSVBS2638759</v>
          </cell>
          <cell r="C53" t="str">
            <v>40</v>
          </cell>
          <cell r="D53" t="str">
            <v>ĐẶNG GIA HUY</v>
          </cell>
          <cell r="E53" t="str">
            <v>0</v>
          </cell>
          <cell r="F53" t="str">
            <v>28/03/2008</v>
          </cell>
          <cell r="G53" t="str">
            <v>trandang192011@gmail.com</v>
          </cell>
          <cell r="H53" t="str">
            <v>0918192011</v>
          </cell>
          <cell r="I53" t="str">
            <v>082208016209</v>
          </cell>
          <cell r="J53" t="str">
            <v>176i lê văn nghề , kp mỹ thạnh , mỹ phong</v>
          </cell>
          <cell r="K53" t="str">
            <v>KV2</v>
          </cell>
          <cell r="M53" t="str">
            <v>Không có</v>
          </cell>
          <cell r="N53" t="str">
            <v>Kinh</v>
          </cell>
          <cell r="P53" t="str">
            <v>2026</v>
          </cell>
          <cell r="Q53" t="str">
            <v>82030065</v>
          </cell>
          <cell r="R53" t="str">
            <v>Không có</v>
          </cell>
          <cell r="S53" t="str">
            <v>Không có</v>
          </cell>
          <cell r="T53" t="str">
            <v>Không có</v>
          </cell>
          <cell r="W53" t="str">
            <v>0.00</v>
          </cell>
          <cell r="X53" t="str">
            <v>560651</v>
          </cell>
          <cell r="Y53" t="str">
            <v>D26P495QD</v>
          </cell>
          <cell r="Z53" t="str">
            <v>657.00</v>
          </cell>
          <cell r="AA53" t="str">
            <v>Không có</v>
          </cell>
          <cell r="AF53" t="str">
            <v>87N</v>
          </cell>
          <cell r="AG53" t="str">
            <v>618</v>
          </cell>
          <cell r="AH53" t="str">
            <v>THPT Nguyễn Đình Chiểu</v>
          </cell>
          <cell r="AI53" t="str">
            <v>87N</v>
          </cell>
          <cell r="AJ53" t="str">
            <v>618</v>
          </cell>
          <cell r="AK53" t="str">
            <v>THPT Nguyễn Đình Chiểu</v>
          </cell>
          <cell r="AL53" t="str">
            <v>87N</v>
          </cell>
          <cell r="AM53" t="str">
            <v>618</v>
          </cell>
          <cell r="AN53" t="str">
            <v>THPT Nguyễn Đình Chiểu</v>
          </cell>
          <cell r="AO53" t="str">
            <v>GDPT2018</v>
          </cell>
          <cell r="AP53" t="str">
            <v>Khá</v>
          </cell>
          <cell r="AQ53" t="str">
            <v>0.00</v>
          </cell>
          <cell r="AR53" t="str">
            <v>7.56</v>
          </cell>
          <cell r="AS53" t="str">
            <v>7.61</v>
          </cell>
          <cell r="AT53" t="str">
            <v>7.61</v>
          </cell>
          <cell r="AU53" t="str">
            <v>True</v>
          </cell>
          <cell r="AW53" t="str">
            <v>7340122</v>
          </cell>
          <cell r="AX53" t="str">
            <v>Thương mại điện tử</v>
          </cell>
          <cell r="BC53" t="str">
            <v>quynhlx</v>
          </cell>
          <cell r="BD53" t="str">
            <v>Đã được tiếp nhận</v>
          </cell>
          <cell r="BF53" t="str">
            <v>3</v>
          </cell>
          <cell r="BM53" t="str">
            <v>True</v>
          </cell>
          <cell r="BN53" t="str">
            <v>False</v>
          </cell>
          <cell r="BO53" t="str">
            <v>KQTHPT_51_082208016209.pdf</v>
          </cell>
          <cell r="BP53" t="str">
            <v>KQDGNL_51_082208016209.pdf</v>
          </cell>
          <cell r="BR53">
            <v>7.3</v>
          </cell>
          <cell r="BS53">
            <v>8.1</v>
          </cell>
          <cell r="BT53">
            <v>8.1</v>
          </cell>
          <cell r="BU53">
            <v>8.3000000000000007</v>
          </cell>
          <cell r="BV53">
            <v>6.8</v>
          </cell>
          <cell r="BW53">
            <v>0</v>
          </cell>
          <cell r="BX53">
            <v>0</v>
          </cell>
          <cell r="BY53">
            <v>7.3</v>
          </cell>
          <cell r="BZ53">
            <v>7.3</v>
          </cell>
          <cell r="CA53">
            <v>6.8</v>
          </cell>
          <cell r="CB53">
            <v>0</v>
          </cell>
          <cell r="CC53">
            <v>8</v>
          </cell>
          <cell r="CD53">
            <v>0</v>
          </cell>
          <cell r="CE53">
            <v>0</v>
          </cell>
          <cell r="CF53">
            <v>0</v>
          </cell>
          <cell r="CG53">
            <v>0</v>
          </cell>
          <cell r="CH53">
            <v>0</v>
          </cell>
          <cell r="CI53">
            <v>0</v>
          </cell>
          <cell r="CJ53">
            <v>0</v>
          </cell>
          <cell r="CK53">
            <v>0</v>
          </cell>
          <cell r="CL53">
            <v>0</v>
          </cell>
          <cell r="CM53">
            <v>7.3</v>
          </cell>
          <cell r="CN53">
            <v>8.5</v>
          </cell>
          <cell r="CO53">
            <v>7</v>
          </cell>
          <cell r="CP53">
            <v>8.6999999999999993</v>
          </cell>
          <cell r="CQ53">
            <v>8</v>
          </cell>
          <cell r="CR53">
            <v>0</v>
          </cell>
          <cell r="CS53">
            <v>0</v>
          </cell>
          <cell r="CT53">
            <v>6.3</v>
          </cell>
          <cell r="CU53">
            <v>7.7</v>
          </cell>
          <cell r="CV53">
            <v>7</v>
          </cell>
          <cell r="CW53">
            <v>0</v>
          </cell>
          <cell r="CX53">
            <v>8</v>
          </cell>
          <cell r="CY53">
            <v>0</v>
          </cell>
          <cell r="CZ53">
            <v>0</v>
          </cell>
          <cell r="DA53">
            <v>0</v>
          </cell>
          <cell r="DB53">
            <v>0</v>
          </cell>
          <cell r="DC53">
            <v>0</v>
          </cell>
          <cell r="DD53">
            <v>0</v>
          </cell>
          <cell r="DE53">
            <v>0</v>
          </cell>
          <cell r="DF53">
            <v>0</v>
          </cell>
          <cell r="DG53">
            <v>0</v>
          </cell>
          <cell r="DH53">
            <v>7.3</v>
          </cell>
          <cell r="DI53">
            <v>8.5</v>
          </cell>
          <cell r="DJ53">
            <v>7</v>
          </cell>
          <cell r="DK53">
            <v>8.6999999999999993</v>
          </cell>
          <cell r="DL53">
            <v>8</v>
          </cell>
          <cell r="DM53">
            <v>0</v>
          </cell>
          <cell r="DN53">
            <v>0</v>
          </cell>
          <cell r="DO53">
            <v>6.3</v>
          </cell>
          <cell r="DP53">
            <v>7.7</v>
          </cell>
          <cell r="DQ53">
            <v>7</v>
          </cell>
          <cell r="DR53">
            <v>0</v>
          </cell>
          <cell r="DS53">
            <v>8</v>
          </cell>
          <cell r="DT53">
            <v>0</v>
          </cell>
          <cell r="DU53">
            <v>0</v>
          </cell>
          <cell r="DV53">
            <v>0</v>
          </cell>
          <cell r="DW53">
            <v>0</v>
          </cell>
          <cell r="DX53">
            <v>0</v>
          </cell>
          <cell r="DY53">
            <v>0</v>
          </cell>
          <cell r="DZ53">
            <v>0</v>
          </cell>
          <cell r="EA53">
            <v>0</v>
          </cell>
          <cell r="EB53">
            <v>0</v>
          </cell>
          <cell r="EC53">
            <v>8.5</v>
          </cell>
          <cell r="ED53">
            <v>7.75</v>
          </cell>
          <cell r="EE53">
            <v>4.75</v>
          </cell>
          <cell r="EK53">
            <v>4.5999999999999996</v>
          </cell>
        </row>
        <row r="54">
          <cell r="A54">
            <v>783759499</v>
          </cell>
          <cell r="B54" t="str">
            <v>KSVBS2627672</v>
          </cell>
          <cell r="C54" t="str">
            <v>30</v>
          </cell>
          <cell r="D54" t="str">
            <v>HUỲNH THỊ THANH TUYỀN</v>
          </cell>
          <cell r="E54" t="str">
            <v>1</v>
          </cell>
          <cell r="F54" t="str">
            <v>19/10/2007</v>
          </cell>
          <cell r="G54" t="str">
            <v>tuyenhuynh.759499@gmail.com</v>
          </cell>
          <cell r="H54" t="str">
            <v>0783759499</v>
          </cell>
          <cell r="I54" t="str">
            <v>082307008212</v>
          </cell>
          <cell r="J54" t="str">
            <v>Khu phố Thanh Hoà</v>
          </cell>
          <cell r="K54" t="str">
            <v>KV2-NT</v>
          </cell>
          <cell r="M54" t="str">
            <v>Không có</v>
          </cell>
          <cell r="N54" t="str">
            <v>Kinh</v>
          </cell>
          <cell r="P54" t="str">
            <v>2025</v>
          </cell>
          <cell r="Q54" t="str">
            <v>82023757</v>
          </cell>
          <cell r="R54" t="str">
            <v>Không có</v>
          </cell>
          <cell r="S54" t="str">
            <v>Không có</v>
          </cell>
          <cell r="T54" t="str">
            <v>Không có</v>
          </cell>
          <cell r="U54" t="str">
            <v>013667</v>
          </cell>
          <cell r="V54" t="str">
            <v>D26670130</v>
          </cell>
          <cell r="W54" t="str">
            <v>597.00</v>
          </cell>
          <cell r="X54" t="str">
            <v>572651</v>
          </cell>
          <cell r="Y54" t="str">
            <v>D26676514</v>
          </cell>
          <cell r="Z54" t="str">
            <v>681.00</v>
          </cell>
          <cell r="AA54" t="str">
            <v>Không có</v>
          </cell>
          <cell r="AF54" t="str">
            <v>87N</v>
          </cell>
          <cell r="AG54" t="str">
            <v>607</v>
          </cell>
          <cell r="AH54" t="str">
            <v>THPT Đốc Binh Kiều - Cai Lậy</v>
          </cell>
          <cell r="AI54" t="str">
            <v>87N</v>
          </cell>
          <cell r="AJ54" t="str">
            <v>607</v>
          </cell>
          <cell r="AK54" t="str">
            <v>THPT Đốc Binh Kiều - Cai Lậy</v>
          </cell>
          <cell r="AL54" t="str">
            <v>87N</v>
          </cell>
          <cell r="AM54" t="str">
            <v>607</v>
          </cell>
          <cell r="AN54" t="str">
            <v>THPT Đốc Binh Kiều - Cai Lậy</v>
          </cell>
          <cell r="AO54" t="str">
            <v>GDPT2018</v>
          </cell>
          <cell r="AP54" t="str">
            <v>Tốt</v>
          </cell>
          <cell r="AQ54" t="str">
            <v>7.20</v>
          </cell>
          <cell r="AR54" t="str">
            <v>7.61</v>
          </cell>
          <cell r="AS54" t="str">
            <v>8.19</v>
          </cell>
          <cell r="AT54" t="str">
            <v>8.54</v>
          </cell>
          <cell r="AU54" t="str">
            <v>True</v>
          </cell>
          <cell r="AW54" t="str">
            <v>7340122</v>
          </cell>
          <cell r="AX54" t="str">
            <v>Thương mại điện tử</v>
          </cell>
          <cell r="AY54" t="str">
            <v>7220201</v>
          </cell>
          <cell r="AZ54" t="str">
            <v>Tiếng Anh thương mại</v>
          </cell>
          <cell r="BA54" t="str">
            <v>7340120</v>
          </cell>
          <cell r="BB54" t="str">
            <v>Kinh doanh quốc tế</v>
          </cell>
          <cell r="BC54" t="str">
            <v>quynhlx</v>
          </cell>
          <cell r="BD54" t="str">
            <v>Đã được tiếp nhận</v>
          </cell>
          <cell r="BF54" t="str">
            <v>3</v>
          </cell>
          <cell r="BM54" t="str">
            <v>True</v>
          </cell>
          <cell r="BN54" t="str">
            <v>False</v>
          </cell>
          <cell r="BO54" t="str">
            <v>KQTHPT_52_082307008212.pdf</v>
          </cell>
          <cell r="BP54" t="str">
            <v>KQDGNL_52_082307008212.pdf</v>
          </cell>
          <cell r="BR54">
            <v>5.4</v>
          </cell>
          <cell r="BS54">
            <v>7</v>
          </cell>
          <cell r="BT54">
            <v>6</v>
          </cell>
          <cell r="BU54">
            <v>9.1999999999999993</v>
          </cell>
          <cell r="BV54">
            <v>8.1999999999999993</v>
          </cell>
          <cell r="BW54">
            <v>8.8000000000000007</v>
          </cell>
          <cell r="BX54">
            <v>8</v>
          </cell>
          <cell r="BY54">
            <v>6.5</v>
          </cell>
          <cell r="BZ54">
            <v>0</v>
          </cell>
          <cell r="CA54">
            <v>0</v>
          </cell>
          <cell r="CB54">
            <v>9.4</v>
          </cell>
          <cell r="CC54">
            <v>0</v>
          </cell>
          <cell r="CD54">
            <v>0</v>
          </cell>
          <cell r="CE54">
            <v>0</v>
          </cell>
          <cell r="CF54">
            <v>0</v>
          </cell>
          <cell r="CG54">
            <v>0</v>
          </cell>
          <cell r="CH54">
            <v>0</v>
          </cell>
          <cell r="CI54">
            <v>0</v>
          </cell>
          <cell r="CJ54">
            <v>0</v>
          </cell>
          <cell r="CK54">
            <v>0</v>
          </cell>
          <cell r="CL54">
            <v>0</v>
          </cell>
          <cell r="CM54">
            <v>6.5</v>
          </cell>
          <cell r="CN54">
            <v>7.7</v>
          </cell>
          <cell r="CO54">
            <v>7.4</v>
          </cell>
          <cell r="CP54">
            <v>9.6</v>
          </cell>
          <cell r="CQ54">
            <v>8.4</v>
          </cell>
          <cell r="CR54">
            <v>9.3000000000000007</v>
          </cell>
          <cell r="CS54">
            <v>8</v>
          </cell>
          <cell r="CT54">
            <v>6.9</v>
          </cell>
          <cell r="CU54">
            <v>0</v>
          </cell>
          <cell r="CV54">
            <v>0</v>
          </cell>
          <cell r="CW54">
            <v>9.9</v>
          </cell>
          <cell r="CX54">
            <v>0</v>
          </cell>
          <cell r="CY54">
            <v>0</v>
          </cell>
          <cell r="CZ54">
            <v>0</v>
          </cell>
          <cell r="DA54">
            <v>0</v>
          </cell>
          <cell r="DB54">
            <v>0</v>
          </cell>
          <cell r="DC54">
            <v>0</v>
          </cell>
          <cell r="DD54">
            <v>0</v>
          </cell>
          <cell r="DE54">
            <v>0</v>
          </cell>
          <cell r="DF54">
            <v>0</v>
          </cell>
          <cell r="DG54">
            <v>0</v>
          </cell>
          <cell r="DH54">
            <v>7.1</v>
          </cell>
          <cell r="DI54">
            <v>8.1999999999999993</v>
          </cell>
          <cell r="DJ54">
            <v>7.9</v>
          </cell>
          <cell r="DK54">
            <v>9.6999999999999993</v>
          </cell>
          <cell r="DL54">
            <v>7.9</v>
          </cell>
          <cell r="DM54">
            <v>9.1</v>
          </cell>
          <cell r="DN54">
            <v>8.9</v>
          </cell>
          <cell r="DO54">
            <v>8.1</v>
          </cell>
          <cell r="DP54">
            <v>0</v>
          </cell>
          <cell r="DQ54">
            <v>0</v>
          </cell>
          <cell r="DR54">
            <v>10</v>
          </cell>
          <cell r="DS54">
            <v>0</v>
          </cell>
          <cell r="DT54">
            <v>0</v>
          </cell>
          <cell r="DU54">
            <v>0</v>
          </cell>
          <cell r="DV54">
            <v>0</v>
          </cell>
          <cell r="DW54">
            <v>0</v>
          </cell>
          <cell r="DX54">
            <v>0</v>
          </cell>
          <cell r="DY54">
            <v>0</v>
          </cell>
          <cell r="DZ54">
            <v>0</v>
          </cell>
          <cell r="EA54">
            <v>0</v>
          </cell>
          <cell r="EB54">
            <v>0</v>
          </cell>
          <cell r="EC54">
            <v>4.75</v>
          </cell>
          <cell r="ED54">
            <v>7.5</v>
          </cell>
          <cell r="EE54">
            <v>4</v>
          </cell>
          <cell r="EG54">
            <v>7</v>
          </cell>
        </row>
        <row r="55">
          <cell r="A55">
            <v>0</v>
          </cell>
          <cell r="D55" t="str">
            <v>TRẦN ĐẶNG ANH KIỆT</v>
          </cell>
          <cell r="E55" t="str">
            <v>0</v>
          </cell>
          <cell r="F55" t="str">
            <v>08/05/2007</v>
          </cell>
          <cell r="G55" t="str">
            <v>kietran8507@gmail.com</v>
          </cell>
          <cell r="I55" t="str">
            <v>049207013796</v>
          </cell>
          <cell r="AR55" t="str">
            <v>8.51</v>
          </cell>
          <cell r="AS55" t="str">
            <v>8.58</v>
          </cell>
          <cell r="AT55" t="str">
            <v>8.72</v>
          </cell>
          <cell r="BD55" t="str">
            <v>Chưa hoàn thành</v>
          </cell>
          <cell r="BF55" t="str">
            <v>3</v>
          </cell>
          <cell r="BR55">
            <v>7.8</v>
          </cell>
          <cell r="BS55">
            <v>8.8000000000000007</v>
          </cell>
          <cell r="BT55">
            <v>7.8</v>
          </cell>
          <cell r="BU55">
            <v>9.4</v>
          </cell>
          <cell r="BV55">
            <v>9</v>
          </cell>
          <cell r="BW55">
            <v>0</v>
          </cell>
          <cell r="BX55">
            <v>0</v>
          </cell>
          <cell r="BY55">
            <v>8.6999999999999993</v>
          </cell>
          <cell r="BZ55">
            <v>7.3</v>
          </cell>
          <cell r="CA55">
            <v>8.1999999999999993</v>
          </cell>
          <cell r="CB55">
            <v>0</v>
          </cell>
          <cell r="CC55">
            <v>9.6</v>
          </cell>
          <cell r="CD55">
            <v>0</v>
          </cell>
          <cell r="CE55">
            <v>0</v>
          </cell>
          <cell r="CF55">
            <v>0</v>
          </cell>
          <cell r="CG55">
            <v>0</v>
          </cell>
          <cell r="CH55">
            <v>0</v>
          </cell>
          <cell r="CI55">
            <v>0</v>
          </cell>
          <cell r="CJ55">
            <v>0</v>
          </cell>
          <cell r="CK55">
            <v>0</v>
          </cell>
          <cell r="CL55">
            <v>0</v>
          </cell>
          <cell r="CM55">
            <v>8.4</v>
          </cell>
          <cell r="CN55">
            <v>7.5</v>
          </cell>
          <cell r="CO55">
            <v>9</v>
          </cell>
          <cell r="CP55">
            <v>9.3000000000000007</v>
          </cell>
          <cell r="CQ55">
            <v>9</v>
          </cell>
          <cell r="CR55">
            <v>0</v>
          </cell>
          <cell r="CS55">
            <v>0</v>
          </cell>
          <cell r="CT55">
            <v>8.4</v>
          </cell>
          <cell r="CU55">
            <v>8.6</v>
          </cell>
          <cell r="CV55">
            <v>9.1</v>
          </cell>
          <cell r="CW55">
            <v>0</v>
          </cell>
          <cell r="CX55">
            <v>7.9</v>
          </cell>
          <cell r="CY55">
            <v>0</v>
          </cell>
          <cell r="CZ55">
            <v>0</v>
          </cell>
          <cell r="DA55">
            <v>0</v>
          </cell>
          <cell r="DB55">
            <v>0</v>
          </cell>
          <cell r="DC55">
            <v>0</v>
          </cell>
          <cell r="DD55">
            <v>0</v>
          </cell>
          <cell r="DE55">
            <v>0</v>
          </cell>
          <cell r="DF55">
            <v>0</v>
          </cell>
          <cell r="DG55">
            <v>0</v>
          </cell>
          <cell r="DH55">
            <v>9.1</v>
          </cell>
          <cell r="DI55">
            <v>7.6</v>
          </cell>
          <cell r="DJ55">
            <v>9</v>
          </cell>
          <cell r="DK55">
            <v>9.5</v>
          </cell>
          <cell r="DL55">
            <v>8.6999999999999993</v>
          </cell>
          <cell r="DM55">
            <v>0</v>
          </cell>
          <cell r="DN55">
            <v>0</v>
          </cell>
          <cell r="DO55">
            <v>9</v>
          </cell>
          <cell r="DP55">
            <v>8</v>
          </cell>
          <cell r="DQ55">
            <v>8.3000000000000007</v>
          </cell>
          <cell r="DR55">
            <v>0</v>
          </cell>
          <cell r="DS55">
            <v>9.3000000000000007</v>
          </cell>
          <cell r="DT55">
            <v>0</v>
          </cell>
          <cell r="DU55">
            <v>0</v>
          </cell>
          <cell r="DV55">
            <v>0</v>
          </cell>
          <cell r="DW55">
            <v>0</v>
          </cell>
          <cell r="DX55">
            <v>0</v>
          </cell>
          <cell r="DY55">
            <v>0</v>
          </cell>
          <cell r="DZ55">
            <v>0</v>
          </cell>
          <cell r="EA55">
            <v>0</v>
          </cell>
          <cell r="EB55">
            <v>0</v>
          </cell>
        </row>
        <row r="56">
          <cell r="A56">
            <v>765945936</v>
          </cell>
          <cell r="B56" t="str">
            <v>KSVBS2624950</v>
          </cell>
          <cell r="C56" t="str">
            <v>84</v>
          </cell>
          <cell r="D56" t="str">
            <v>NGUYỄN PHÚC KHÁNH</v>
          </cell>
          <cell r="E56" t="str">
            <v>0</v>
          </cell>
          <cell r="F56" t="str">
            <v>21/10/2008</v>
          </cell>
          <cell r="G56" t="str">
            <v>phuckhanh2110@gmail.com</v>
          </cell>
          <cell r="H56" t="str">
            <v>0765945936</v>
          </cell>
          <cell r="I56" t="str">
            <v>086208011841</v>
          </cell>
          <cell r="J56" t="str">
            <v>Số nhà 149, Tổ 5, Khóm Đông Hưng 1, Xã Đông Thành</v>
          </cell>
          <cell r="K56" t="str">
            <v>KV1</v>
          </cell>
          <cell r="M56" t="str">
            <v>Không có</v>
          </cell>
          <cell r="N56" t="str">
            <v>Kinh</v>
          </cell>
          <cell r="P56" t="str">
            <v>2026</v>
          </cell>
          <cell r="Q56" t="str">
            <v>86022472</v>
          </cell>
          <cell r="R56" t="str">
            <v>Không có</v>
          </cell>
          <cell r="S56" t="str">
            <v>Không có</v>
          </cell>
          <cell r="T56" t="str">
            <v>Không có</v>
          </cell>
          <cell r="AA56" t="str">
            <v>Không có</v>
          </cell>
          <cell r="AF56" t="str">
            <v>86N</v>
          </cell>
          <cell r="AG56" t="str">
            <v>424</v>
          </cell>
          <cell r="AH56" t="str">
            <v>THCS và THPT Đông Thành</v>
          </cell>
          <cell r="AI56" t="str">
            <v>86N</v>
          </cell>
          <cell r="AJ56" t="str">
            <v>424</v>
          </cell>
          <cell r="AK56" t="str">
            <v>THCS và THPT Đông Thành</v>
          </cell>
          <cell r="AL56" t="str">
            <v>86N</v>
          </cell>
          <cell r="AM56" t="str">
            <v>424</v>
          </cell>
          <cell r="AN56" t="str">
            <v>THCS và THPT Đông Thành</v>
          </cell>
          <cell r="AO56" t="str">
            <v>GDPT2018</v>
          </cell>
          <cell r="AP56" t="str">
            <v>Tốt</v>
          </cell>
          <cell r="AQ56" t="str">
            <v>8.61</v>
          </cell>
          <cell r="AR56" t="str">
            <v>8.17</v>
          </cell>
          <cell r="AS56" t="str">
            <v>7.87</v>
          </cell>
          <cell r="AT56" t="str">
            <v>8.61</v>
          </cell>
          <cell r="AU56" t="str">
            <v>False</v>
          </cell>
          <cell r="AW56" t="str">
            <v>7340201_2</v>
          </cell>
          <cell r="AX56" t="str">
            <v>Tài chính</v>
          </cell>
          <cell r="AY56" t="str">
            <v>7340122</v>
          </cell>
          <cell r="AZ56" t="str">
            <v>Thương mại điện tử</v>
          </cell>
          <cell r="BA56" t="str">
            <v>7480201</v>
          </cell>
          <cell r="BB56" t="str">
            <v>Công nghệ và đổi mới sáng tạo</v>
          </cell>
          <cell r="BC56" t="str">
            <v>quynhlx</v>
          </cell>
          <cell r="BD56" t="str">
            <v>Đã được tiếp nhận</v>
          </cell>
          <cell r="BF56" t="str">
            <v>3</v>
          </cell>
          <cell r="BM56" t="str">
            <v>True</v>
          </cell>
          <cell r="BN56" t="str">
            <v>False</v>
          </cell>
          <cell r="BO56" t="str">
            <v>KQTHPT_54_086208011841.pdf</v>
          </cell>
          <cell r="BR56">
            <v>8</v>
          </cell>
          <cell r="BS56">
            <v>7.4</v>
          </cell>
          <cell r="BT56">
            <v>7.7</v>
          </cell>
          <cell r="BU56">
            <v>8.1999999999999993</v>
          </cell>
          <cell r="BV56">
            <v>8.1</v>
          </cell>
          <cell r="BW56">
            <v>0</v>
          </cell>
          <cell r="BX56">
            <v>0</v>
          </cell>
          <cell r="BY56">
            <v>8.3000000000000007</v>
          </cell>
          <cell r="BZ56">
            <v>8.1</v>
          </cell>
          <cell r="CA56">
            <v>8.6999999999999993</v>
          </cell>
          <cell r="CB56">
            <v>0</v>
          </cell>
          <cell r="CC56">
            <v>9</v>
          </cell>
          <cell r="CD56">
            <v>0</v>
          </cell>
          <cell r="CE56">
            <v>0</v>
          </cell>
          <cell r="CF56">
            <v>0</v>
          </cell>
          <cell r="CG56">
            <v>0</v>
          </cell>
          <cell r="CH56">
            <v>0</v>
          </cell>
          <cell r="CI56">
            <v>0</v>
          </cell>
          <cell r="CJ56">
            <v>0</v>
          </cell>
          <cell r="CK56">
            <v>0</v>
          </cell>
          <cell r="CL56">
            <v>0</v>
          </cell>
          <cell r="CM56">
            <v>7.9</v>
          </cell>
          <cell r="CN56">
            <v>7.8</v>
          </cell>
          <cell r="CO56">
            <v>6.4</v>
          </cell>
          <cell r="CP56">
            <v>7.7</v>
          </cell>
          <cell r="CQ56">
            <v>7.4</v>
          </cell>
          <cell r="CR56">
            <v>0</v>
          </cell>
          <cell r="CS56">
            <v>0</v>
          </cell>
          <cell r="CT56">
            <v>8.1</v>
          </cell>
          <cell r="CU56">
            <v>7.9</v>
          </cell>
          <cell r="CV56">
            <v>8.5</v>
          </cell>
          <cell r="CW56">
            <v>0</v>
          </cell>
          <cell r="CX56">
            <v>9.1</v>
          </cell>
          <cell r="CY56">
            <v>0</v>
          </cell>
          <cell r="CZ56">
            <v>0</v>
          </cell>
          <cell r="DA56">
            <v>0</v>
          </cell>
          <cell r="DB56">
            <v>0</v>
          </cell>
          <cell r="DC56">
            <v>0</v>
          </cell>
          <cell r="DD56">
            <v>0</v>
          </cell>
          <cell r="DE56">
            <v>0</v>
          </cell>
          <cell r="DF56">
            <v>0</v>
          </cell>
          <cell r="DG56">
            <v>0</v>
          </cell>
          <cell r="DH56">
            <v>7.8</v>
          </cell>
          <cell r="DI56">
            <v>8.1</v>
          </cell>
          <cell r="DJ56">
            <v>7.5</v>
          </cell>
          <cell r="DK56">
            <v>8</v>
          </cell>
          <cell r="DL56">
            <v>9.5</v>
          </cell>
          <cell r="DM56">
            <v>0</v>
          </cell>
          <cell r="DN56">
            <v>0</v>
          </cell>
          <cell r="DO56">
            <v>9.6999999999999993</v>
          </cell>
          <cell r="DP56">
            <v>9.1</v>
          </cell>
          <cell r="DQ56">
            <v>8.6</v>
          </cell>
          <cell r="DR56">
            <v>0</v>
          </cell>
          <cell r="DS56">
            <v>9.1999999999999993</v>
          </cell>
          <cell r="DT56">
            <v>0</v>
          </cell>
          <cell r="DU56">
            <v>0</v>
          </cell>
          <cell r="DV56">
            <v>0</v>
          </cell>
          <cell r="DW56">
            <v>0</v>
          </cell>
          <cell r="DX56">
            <v>0</v>
          </cell>
          <cell r="DY56">
            <v>0</v>
          </cell>
          <cell r="DZ56">
            <v>0</v>
          </cell>
          <cell r="EA56">
            <v>0</v>
          </cell>
          <cell r="EB56">
            <v>0</v>
          </cell>
          <cell r="EC56">
            <v>7</v>
          </cell>
          <cell r="ED56">
            <v>3.25</v>
          </cell>
          <cell r="EJ56">
            <v>6.25</v>
          </cell>
          <cell r="EK56">
            <v>5.85</v>
          </cell>
        </row>
        <row r="57">
          <cell r="A57">
            <v>842428848</v>
          </cell>
          <cell r="B57" t="str">
            <v>KSVBS2630721</v>
          </cell>
          <cell r="C57" t="str">
            <v>26</v>
          </cell>
          <cell r="D57" t="str">
            <v>QUANG THUẬN PHÁT</v>
          </cell>
          <cell r="E57" t="str">
            <v>0</v>
          </cell>
          <cell r="F57" t="str">
            <v>24/09/2008</v>
          </cell>
          <cell r="G57" t="str">
            <v>thuanphat.052019@gmail.com</v>
          </cell>
          <cell r="H57" t="str">
            <v>0842428848</v>
          </cell>
          <cell r="I57" t="str">
            <v>095208002435</v>
          </cell>
          <cell r="J57" t="str">
            <v xml:space="preserve">Khóm 1, Phường 1 </v>
          </cell>
          <cell r="K57" t="str">
            <v>KV2</v>
          </cell>
          <cell r="M57" t="str">
            <v>Không có</v>
          </cell>
          <cell r="N57" t="str">
            <v>Kinh</v>
          </cell>
          <cell r="P57" t="str">
            <v>2026</v>
          </cell>
          <cell r="Q57" t="str">
            <v>96013121</v>
          </cell>
          <cell r="R57" t="str">
            <v>Không có</v>
          </cell>
          <cell r="S57" t="str">
            <v>Không có</v>
          </cell>
          <cell r="T57" t="str">
            <v>Không có</v>
          </cell>
          <cell r="W57" t="str">
            <v>0.00</v>
          </cell>
          <cell r="X57" t="str">
            <v>630053</v>
          </cell>
          <cell r="Y57" t="str">
            <v>D26XD36KH</v>
          </cell>
          <cell r="Z57" t="str">
            <v>804.00</v>
          </cell>
          <cell r="AA57" t="str">
            <v>Không có</v>
          </cell>
          <cell r="AF57" t="str">
            <v>96N</v>
          </cell>
          <cell r="AG57" t="str">
            <v>510</v>
          </cell>
          <cell r="AH57" t="str">
            <v>THPT Bạc Liêu</v>
          </cell>
          <cell r="AI57" t="str">
            <v>96N</v>
          </cell>
          <cell r="AJ57" t="str">
            <v>510</v>
          </cell>
          <cell r="AK57" t="str">
            <v>THPT Bạc Liêu</v>
          </cell>
          <cell r="AL57" t="str">
            <v>96N</v>
          </cell>
          <cell r="AM57" t="str">
            <v>510</v>
          </cell>
          <cell r="AN57" t="str">
            <v>THPT Bạc Liêu</v>
          </cell>
          <cell r="AO57" t="str">
            <v>GDPT2018</v>
          </cell>
          <cell r="AP57" t="str">
            <v>Giỏi</v>
          </cell>
          <cell r="AQ57" t="str">
            <v>7.66</v>
          </cell>
          <cell r="AR57" t="str">
            <v>7.26</v>
          </cell>
          <cell r="AS57" t="str">
            <v>7.60</v>
          </cell>
          <cell r="AT57" t="str">
            <v>8.38</v>
          </cell>
          <cell r="AU57" t="str">
            <v>True</v>
          </cell>
          <cell r="AW57" t="str">
            <v>7480107</v>
          </cell>
          <cell r="AX57" t="str">
            <v>Robot và Trí tuệ nhân tạo (hệ kỹ sư)</v>
          </cell>
          <cell r="BC57" t="str">
            <v>phamhuong</v>
          </cell>
          <cell r="BD57" t="str">
            <v>Đã được tiếp nhận</v>
          </cell>
          <cell r="BF57" t="str">
            <v>3</v>
          </cell>
          <cell r="BM57" t="str">
            <v>True</v>
          </cell>
          <cell r="BN57" t="str">
            <v>False</v>
          </cell>
          <cell r="BO57" t="str">
            <v>KQTHPT_55_095208002435.pdf</v>
          </cell>
          <cell r="BP57" t="str">
            <v>KQDGNL_55_095208002435.pdf</v>
          </cell>
          <cell r="BR57">
            <v>7.7</v>
          </cell>
          <cell r="BS57">
            <v>7</v>
          </cell>
          <cell r="BT57">
            <v>6.4</v>
          </cell>
          <cell r="BU57">
            <v>7.3</v>
          </cell>
          <cell r="BV57">
            <v>7.4</v>
          </cell>
          <cell r="BW57">
            <v>0</v>
          </cell>
          <cell r="BX57">
            <v>0</v>
          </cell>
          <cell r="BY57">
            <v>7.3</v>
          </cell>
          <cell r="BZ57">
            <v>8</v>
          </cell>
          <cell r="CA57">
            <v>7.2</v>
          </cell>
          <cell r="CB57">
            <v>0</v>
          </cell>
          <cell r="CC57">
            <v>7</v>
          </cell>
          <cell r="CD57">
            <v>0</v>
          </cell>
          <cell r="CE57">
            <v>0</v>
          </cell>
          <cell r="CF57">
            <v>0</v>
          </cell>
          <cell r="CG57">
            <v>0</v>
          </cell>
          <cell r="CH57">
            <v>0</v>
          </cell>
          <cell r="CI57">
            <v>0</v>
          </cell>
          <cell r="CJ57">
            <v>0</v>
          </cell>
          <cell r="CK57">
            <v>0</v>
          </cell>
          <cell r="CL57">
            <v>0</v>
          </cell>
          <cell r="CM57">
            <v>7.8</v>
          </cell>
          <cell r="CN57">
            <v>8</v>
          </cell>
          <cell r="CO57">
            <v>6.2</v>
          </cell>
          <cell r="CP57">
            <v>7.9</v>
          </cell>
          <cell r="CQ57">
            <v>8.1999999999999993</v>
          </cell>
          <cell r="CR57">
            <v>0</v>
          </cell>
          <cell r="CS57">
            <v>0</v>
          </cell>
          <cell r="CT57">
            <v>7.6</v>
          </cell>
          <cell r="CU57">
            <v>7.4</v>
          </cell>
          <cell r="CV57">
            <v>7.1</v>
          </cell>
          <cell r="CW57">
            <v>0</v>
          </cell>
          <cell r="CX57">
            <v>8.1999999999999993</v>
          </cell>
          <cell r="CY57">
            <v>0</v>
          </cell>
          <cell r="CZ57">
            <v>0</v>
          </cell>
          <cell r="DA57">
            <v>0</v>
          </cell>
          <cell r="DB57">
            <v>0</v>
          </cell>
          <cell r="DC57">
            <v>0</v>
          </cell>
          <cell r="DD57">
            <v>0</v>
          </cell>
          <cell r="DE57">
            <v>0</v>
          </cell>
          <cell r="DF57">
            <v>0</v>
          </cell>
          <cell r="DG57">
            <v>0</v>
          </cell>
          <cell r="DH57">
            <v>8.4</v>
          </cell>
          <cell r="DI57">
            <v>8.3000000000000007</v>
          </cell>
          <cell r="DJ57">
            <v>8</v>
          </cell>
          <cell r="DK57">
            <v>9.5</v>
          </cell>
          <cell r="DL57">
            <v>7.8</v>
          </cell>
          <cell r="DM57">
            <v>0</v>
          </cell>
          <cell r="DN57">
            <v>0</v>
          </cell>
          <cell r="DO57">
            <v>8.9</v>
          </cell>
          <cell r="DP57">
            <v>7</v>
          </cell>
          <cell r="DQ57">
            <v>8.3000000000000007</v>
          </cell>
          <cell r="DR57">
            <v>0</v>
          </cell>
          <cell r="DS57">
            <v>9.1999999999999993</v>
          </cell>
          <cell r="DT57">
            <v>0</v>
          </cell>
          <cell r="DU57">
            <v>0</v>
          </cell>
          <cell r="DV57">
            <v>0</v>
          </cell>
          <cell r="DW57">
            <v>0</v>
          </cell>
          <cell r="DX57">
            <v>0</v>
          </cell>
          <cell r="DY57">
            <v>0</v>
          </cell>
          <cell r="DZ57">
            <v>0</v>
          </cell>
          <cell r="EA57">
            <v>0</v>
          </cell>
          <cell r="EB57">
            <v>0</v>
          </cell>
          <cell r="EC57">
            <v>8.5</v>
          </cell>
          <cell r="ED57">
            <v>6</v>
          </cell>
          <cell r="EE57">
            <v>4.5</v>
          </cell>
          <cell r="EG57">
            <v>0</v>
          </cell>
          <cell r="EI57">
            <v>0</v>
          </cell>
          <cell r="EJ57">
            <v>6.1</v>
          </cell>
          <cell r="EK57">
            <v>0</v>
          </cell>
          <cell r="EL57">
            <v>0</v>
          </cell>
          <cell r="EN57">
            <v>0</v>
          </cell>
        </row>
        <row r="58">
          <cell r="A58">
            <v>948179207</v>
          </cell>
          <cell r="B58" t="str">
            <v>KSVBS2618284</v>
          </cell>
          <cell r="C58" t="str">
            <v>44</v>
          </cell>
          <cell r="D58" t="str">
            <v>TRẦN THỊ YẾN NHI</v>
          </cell>
          <cell r="E58" t="str">
            <v>1</v>
          </cell>
          <cell r="F58" t="str">
            <v>09/02/2007</v>
          </cell>
          <cell r="G58" t="str">
            <v>nhit5753@gmail.com</v>
          </cell>
          <cell r="H58" t="str">
            <v>0948179207</v>
          </cell>
          <cell r="I58" t="str">
            <v>042307010416</v>
          </cell>
          <cell r="J58" t="str">
            <v xml:space="preserve">Xóm đô hành </v>
          </cell>
          <cell r="K58" t="str">
            <v>KV2-NT</v>
          </cell>
          <cell r="M58" t="str">
            <v>Không có</v>
          </cell>
          <cell r="N58" t="str">
            <v>Kinh</v>
          </cell>
          <cell r="P58" t="str">
            <v>2026</v>
          </cell>
          <cell r="Q58" t="str">
            <v>42011184</v>
          </cell>
          <cell r="R58" t="str">
            <v>Không có</v>
          </cell>
          <cell r="S58" t="str">
            <v>Không có</v>
          </cell>
          <cell r="T58" t="str">
            <v>Không có</v>
          </cell>
          <cell r="AA58" t="str">
            <v>Không có</v>
          </cell>
          <cell r="AF58" t="str">
            <v>42N</v>
          </cell>
          <cell r="AG58" t="str">
            <v>023</v>
          </cell>
          <cell r="AH58" t="str">
            <v>THPT Đồng Lộc</v>
          </cell>
          <cell r="AI58" t="str">
            <v>42N</v>
          </cell>
          <cell r="AJ58" t="str">
            <v>023</v>
          </cell>
          <cell r="AK58" t="str">
            <v>THPT Đồng Lộc</v>
          </cell>
          <cell r="AL58" t="str">
            <v>42N</v>
          </cell>
          <cell r="AM58" t="str">
            <v>023</v>
          </cell>
          <cell r="AN58" t="str">
            <v>THPT Đồng Lộc</v>
          </cell>
          <cell r="AO58" t="str">
            <v>GDPT2018</v>
          </cell>
          <cell r="AP58" t="str">
            <v>Tốt</v>
          </cell>
          <cell r="AQ58" t="str">
            <v>7.75</v>
          </cell>
          <cell r="AR58" t="str">
            <v>6.69</v>
          </cell>
          <cell r="AS58" t="str">
            <v>7.73</v>
          </cell>
          <cell r="AT58" t="str">
            <v>8.11</v>
          </cell>
          <cell r="AU58" t="str">
            <v>False</v>
          </cell>
          <cell r="AW58" t="str">
            <v>7340122</v>
          </cell>
          <cell r="AX58" t="str">
            <v>Thương mại điện tử</v>
          </cell>
          <cell r="AY58" t="str">
            <v>7340201_3</v>
          </cell>
          <cell r="AZ58" t="str">
            <v>Thuế</v>
          </cell>
          <cell r="BA58" t="str">
            <v>7380107</v>
          </cell>
          <cell r="BB58" t="str">
            <v>Luật kinh tế</v>
          </cell>
          <cell r="BC58" t="str">
            <v>phamhuong</v>
          </cell>
          <cell r="BD58" t="str">
            <v>Đã được tiếp nhận</v>
          </cell>
          <cell r="BE58" t="str">
            <v>em úp bổ sung Giấy chứng nhận kết quả thi tốt nghiệp THPT 2026 nhé</v>
          </cell>
          <cell r="BF58" t="str">
            <v>3</v>
          </cell>
          <cell r="BM58" t="str">
            <v>True</v>
          </cell>
          <cell r="BN58" t="str">
            <v>False</v>
          </cell>
          <cell r="BO58" t="str">
            <v>KQTHPT_56_042307010416.pdf</v>
          </cell>
          <cell r="BR58">
            <v>6.3</v>
          </cell>
          <cell r="BS58">
            <v>6.4</v>
          </cell>
          <cell r="BT58">
            <v>6.9</v>
          </cell>
          <cell r="BU58">
            <v>8.4</v>
          </cell>
          <cell r="BV58">
            <v>6.8</v>
          </cell>
          <cell r="BW58">
            <v>6.4</v>
          </cell>
          <cell r="BX58">
            <v>6.9</v>
          </cell>
          <cell r="BY58">
            <v>0</v>
          </cell>
          <cell r="BZ58">
            <v>0</v>
          </cell>
          <cell r="CA58">
            <v>5.7</v>
          </cell>
          <cell r="CB58">
            <v>6.4</v>
          </cell>
          <cell r="CC58">
            <v>0</v>
          </cell>
          <cell r="CD58">
            <v>0</v>
          </cell>
          <cell r="CE58">
            <v>0</v>
          </cell>
          <cell r="CF58">
            <v>0</v>
          </cell>
          <cell r="CG58">
            <v>0</v>
          </cell>
          <cell r="CH58">
            <v>0</v>
          </cell>
          <cell r="CI58">
            <v>0</v>
          </cell>
          <cell r="CJ58">
            <v>0</v>
          </cell>
          <cell r="CK58">
            <v>0</v>
          </cell>
          <cell r="CL58">
            <v>0</v>
          </cell>
          <cell r="CM58">
            <v>7</v>
          </cell>
          <cell r="CN58">
            <v>7.4</v>
          </cell>
          <cell r="CO58">
            <v>8.3000000000000007</v>
          </cell>
          <cell r="CP58">
            <v>6</v>
          </cell>
          <cell r="CQ58">
            <v>8.6</v>
          </cell>
          <cell r="CR58">
            <v>8.1999999999999993</v>
          </cell>
          <cell r="CS58">
            <v>8.9</v>
          </cell>
          <cell r="CT58">
            <v>0</v>
          </cell>
          <cell r="CU58">
            <v>0</v>
          </cell>
          <cell r="CV58">
            <v>7.7</v>
          </cell>
          <cell r="CW58">
            <v>7.5</v>
          </cell>
          <cell r="CX58">
            <v>0</v>
          </cell>
          <cell r="CY58">
            <v>0</v>
          </cell>
          <cell r="CZ58">
            <v>0</v>
          </cell>
          <cell r="DA58">
            <v>0</v>
          </cell>
          <cell r="DB58">
            <v>0</v>
          </cell>
          <cell r="DC58">
            <v>0</v>
          </cell>
          <cell r="DD58">
            <v>0</v>
          </cell>
          <cell r="DE58">
            <v>0</v>
          </cell>
          <cell r="DF58">
            <v>0</v>
          </cell>
          <cell r="DG58">
            <v>0</v>
          </cell>
          <cell r="DH58">
            <v>7.2</v>
          </cell>
          <cell r="DI58">
            <v>8</v>
          </cell>
          <cell r="DJ58">
            <v>8.6999999999999993</v>
          </cell>
          <cell r="DK58">
            <v>8.8000000000000007</v>
          </cell>
          <cell r="DL58">
            <v>7.9</v>
          </cell>
          <cell r="DM58">
            <v>8.9</v>
          </cell>
          <cell r="DN58">
            <v>8</v>
          </cell>
          <cell r="DO58">
            <v>0</v>
          </cell>
          <cell r="DP58">
            <v>0</v>
          </cell>
          <cell r="DQ58">
            <v>7.3</v>
          </cell>
          <cell r="DR58">
            <v>8.1999999999999993</v>
          </cell>
          <cell r="DS58">
            <v>0</v>
          </cell>
          <cell r="DT58">
            <v>0</v>
          </cell>
          <cell r="DU58">
            <v>0</v>
          </cell>
          <cell r="DV58">
            <v>0</v>
          </cell>
          <cell r="DW58">
            <v>0</v>
          </cell>
          <cell r="DX58">
            <v>0</v>
          </cell>
          <cell r="DY58">
            <v>0</v>
          </cell>
          <cell r="DZ58">
            <v>0</v>
          </cell>
          <cell r="EA58">
            <v>0</v>
          </cell>
          <cell r="EB58">
            <v>0</v>
          </cell>
          <cell r="EC58">
            <v>5.75</v>
          </cell>
          <cell r="ED58">
            <v>7</v>
          </cell>
          <cell r="EE58">
            <v>3.25</v>
          </cell>
        </row>
        <row r="59">
          <cell r="A59">
            <v>788894298</v>
          </cell>
          <cell r="B59" t="str">
            <v>KSVBS2636260</v>
          </cell>
          <cell r="C59" t="str">
            <v>48</v>
          </cell>
          <cell r="D59" t="str">
            <v>ĐẶNG NGỌC MỸ</v>
          </cell>
          <cell r="E59" t="str">
            <v>1</v>
          </cell>
          <cell r="F59" t="str">
            <v>03/12/2008</v>
          </cell>
          <cell r="G59" t="str">
            <v>dgngocmy08@gmail.com</v>
          </cell>
          <cell r="H59" t="str">
            <v>0788894298</v>
          </cell>
          <cell r="I59" t="str">
            <v>083308001521</v>
          </cell>
          <cell r="J59" t="str">
            <v>135, ấp Thanh Bình 1</v>
          </cell>
          <cell r="K59" t="str">
            <v>KV2-NT</v>
          </cell>
          <cell r="M59" t="str">
            <v>Không có</v>
          </cell>
          <cell r="N59" t="str">
            <v>Kinh</v>
          </cell>
          <cell r="P59" t="str">
            <v>2026</v>
          </cell>
          <cell r="Q59" t="str">
            <v>86004583</v>
          </cell>
          <cell r="R59" t="str">
            <v>Không có</v>
          </cell>
          <cell r="S59" t="str">
            <v>Không có</v>
          </cell>
          <cell r="T59" t="str">
            <v>Không có</v>
          </cell>
          <cell r="AA59" t="str">
            <v>Không có</v>
          </cell>
          <cell r="AF59" t="str">
            <v>86N</v>
          </cell>
          <cell r="AG59" t="str">
            <v>137</v>
          </cell>
          <cell r="AH59" t="str">
            <v>THPT Lê Anh Xuân</v>
          </cell>
          <cell r="AI59" t="str">
            <v>86N</v>
          </cell>
          <cell r="AJ59" t="str">
            <v>137</v>
          </cell>
          <cell r="AK59" t="str">
            <v>THPT Lê Anh Xuân</v>
          </cell>
          <cell r="AL59" t="str">
            <v>86N</v>
          </cell>
          <cell r="AM59" t="str">
            <v>137</v>
          </cell>
          <cell r="AN59" t="str">
            <v>THPT Lê Anh Xuân</v>
          </cell>
          <cell r="AO59" t="str">
            <v>GDPT2018</v>
          </cell>
          <cell r="AP59" t="str">
            <v>Tốt</v>
          </cell>
          <cell r="AQ59" t="str">
            <v>7.19</v>
          </cell>
          <cell r="AR59" t="str">
            <v>8.11</v>
          </cell>
          <cell r="AS59" t="str">
            <v>8.40</v>
          </cell>
          <cell r="AT59" t="str">
            <v>8.48</v>
          </cell>
          <cell r="AU59" t="str">
            <v>False</v>
          </cell>
          <cell r="AW59" t="str">
            <v>7340301</v>
          </cell>
          <cell r="AX59" t="str">
            <v>Kế toán doanh nghiệp</v>
          </cell>
          <cell r="BC59" t="str">
            <v>phamhuong</v>
          </cell>
          <cell r="BD59" t="str">
            <v>Đã được tiếp nhận</v>
          </cell>
          <cell r="BF59" t="str">
            <v>3</v>
          </cell>
          <cell r="BM59" t="str">
            <v>True</v>
          </cell>
          <cell r="BN59" t="str">
            <v>False</v>
          </cell>
          <cell r="BO59" t="str">
            <v>KQTHPT_57_083308001521.pdf</v>
          </cell>
          <cell r="BR59">
            <v>8.4</v>
          </cell>
          <cell r="BS59">
            <v>5.9</v>
          </cell>
          <cell r="BT59">
            <v>7.8</v>
          </cell>
          <cell r="BU59">
            <v>9.3000000000000007</v>
          </cell>
          <cell r="BV59">
            <v>8.1999999999999993</v>
          </cell>
          <cell r="BW59">
            <v>0</v>
          </cell>
          <cell r="BX59">
            <v>8.5</v>
          </cell>
          <cell r="BY59">
            <v>8.4</v>
          </cell>
          <cell r="BZ59">
            <v>8</v>
          </cell>
          <cell r="CA59">
            <v>8.5</v>
          </cell>
          <cell r="CB59">
            <v>0</v>
          </cell>
          <cell r="CC59">
            <v>0</v>
          </cell>
          <cell r="CD59">
            <v>0</v>
          </cell>
          <cell r="CE59">
            <v>0</v>
          </cell>
          <cell r="CF59">
            <v>0</v>
          </cell>
          <cell r="CG59">
            <v>0</v>
          </cell>
          <cell r="CH59">
            <v>0</v>
          </cell>
          <cell r="CI59">
            <v>0</v>
          </cell>
          <cell r="CJ59">
            <v>0</v>
          </cell>
          <cell r="CK59">
            <v>0</v>
          </cell>
          <cell r="CL59">
            <v>0</v>
          </cell>
          <cell r="CM59">
            <v>8.5</v>
          </cell>
          <cell r="CN59">
            <v>6.9</v>
          </cell>
          <cell r="CO59">
            <v>7.3</v>
          </cell>
          <cell r="CP59">
            <v>9.6</v>
          </cell>
          <cell r="CQ59">
            <v>9.1999999999999993</v>
          </cell>
          <cell r="CR59">
            <v>0</v>
          </cell>
          <cell r="CS59">
            <v>8.6</v>
          </cell>
          <cell r="CT59">
            <v>8.8000000000000007</v>
          </cell>
          <cell r="CU59">
            <v>7.8</v>
          </cell>
          <cell r="CV59">
            <v>8.9</v>
          </cell>
          <cell r="CW59">
            <v>0</v>
          </cell>
          <cell r="CX59">
            <v>0</v>
          </cell>
          <cell r="CY59">
            <v>0</v>
          </cell>
          <cell r="CZ59">
            <v>0</v>
          </cell>
          <cell r="DA59">
            <v>0</v>
          </cell>
          <cell r="DB59">
            <v>0</v>
          </cell>
          <cell r="DC59">
            <v>0</v>
          </cell>
          <cell r="DD59">
            <v>0</v>
          </cell>
          <cell r="DE59">
            <v>0</v>
          </cell>
          <cell r="DF59">
            <v>0</v>
          </cell>
          <cell r="DG59">
            <v>0</v>
          </cell>
          <cell r="DH59">
            <v>7.7</v>
          </cell>
          <cell r="DI59">
            <v>6.8</v>
          </cell>
          <cell r="DJ59">
            <v>8.4</v>
          </cell>
          <cell r="DK59">
            <v>9.5</v>
          </cell>
          <cell r="DL59">
            <v>9</v>
          </cell>
          <cell r="DM59">
            <v>0</v>
          </cell>
          <cell r="DN59">
            <v>8.1</v>
          </cell>
          <cell r="DO59">
            <v>8.4</v>
          </cell>
          <cell r="DP59">
            <v>8.8000000000000007</v>
          </cell>
          <cell r="DQ59">
            <v>9.6</v>
          </cell>
          <cell r="DR59">
            <v>0</v>
          </cell>
          <cell r="DS59">
            <v>0</v>
          </cell>
          <cell r="DT59">
            <v>0</v>
          </cell>
          <cell r="DU59">
            <v>0</v>
          </cell>
          <cell r="DV59">
            <v>0</v>
          </cell>
          <cell r="DW59">
            <v>0</v>
          </cell>
          <cell r="DX59">
            <v>0</v>
          </cell>
          <cell r="DY59">
            <v>0</v>
          </cell>
          <cell r="DZ59">
            <v>0</v>
          </cell>
          <cell r="EA59">
            <v>0</v>
          </cell>
          <cell r="EB59">
            <v>0</v>
          </cell>
          <cell r="EC59">
            <v>4.25</v>
          </cell>
          <cell r="ED59">
            <v>6</v>
          </cell>
          <cell r="EJ59">
            <v>4.3499999999999996</v>
          </cell>
          <cell r="EK59">
            <v>5.35</v>
          </cell>
        </row>
        <row r="60">
          <cell r="A60">
            <v>396665707</v>
          </cell>
          <cell r="D60" t="str">
            <v>ĐÀO VŨ NGỌC LINH</v>
          </cell>
          <cell r="E60" t="str">
            <v>0</v>
          </cell>
          <cell r="F60" t="str">
            <v>08/01/2008</v>
          </cell>
          <cell r="G60" t="str">
            <v>ngoclinh.daovu@gmail.com</v>
          </cell>
          <cell r="H60" t="str">
            <v>0396665707</v>
          </cell>
          <cell r="I60" t="str">
            <v>092308001264</v>
          </cell>
          <cell r="J60" t="str">
            <v>102/42A, đường 3/2</v>
          </cell>
          <cell r="K60" t="str">
            <v>KV3</v>
          </cell>
          <cell r="M60" t="str">
            <v>Không có</v>
          </cell>
          <cell r="N60" t="str">
            <v>Kinh</v>
          </cell>
          <cell r="P60" t="str">
            <v>2026</v>
          </cell>
          <cell r="Q60" t="str">
            <v>92008746</v>
          </cell>
          <cell r="R60" t="str">
            <v>Không có</v>
          </cell>
          <cell r="S60" t="str">
            <v>Không có</v>
          </cell>
          <cell r="T60" t="str">
            <v>Không có</v>
          </cell>
          <cell r="AA60" t="str">
            <v>Không có</v>
          </cell>
          <cell r="AF60" t="str">
            <v>92N</v>
          </cell>
          <cell r="AG60" t="str">
            <v>017</v>
          </cell>
          <cell r="AH60" t="str">
            <v>Trường THPT Nguyễn Việt Hồng</v>
          </cell>
          <cell r="AI60" t="str">
            <v>92N</v>
          </cell>
          <cell r="AJ60" t="str">
            <v>017</v>
          </cell>
          <cell r="AK60" t="str">
            <v>Trường THPT Nguyễn Việt Hồng</v>
          </cell>
          <cell r="AL60" t="str">
            <v>92N</v>
          </cell>
          <cell r="AM60" t="str">
            <v>017</v>
          </cell>
          <cell r="AN60" t="str">
            <v>Trường THPT Nguyễn Việt Hồng</v>
          </cell>
          <cell r="AO60" t="str">
            <v>GDPT2018</v>
          </cell>
          <cell r="AP60" t="str">
            <v>Giỏi</v>
          </cell>
          <cell r="AQ60" t="str">
            <v>7.65</v>
          </cell>
          <cell r="AR60" t="str">
            <v>8.17</v>
          </cell>
          <cell r="AS60" t="str">
            <v>8.62</v>
          </cell>
          <cell r="AT60" t="str">
            <v>8.13</v>
          </cell>
          <cell r="AU60" t="str">
            <v>False</v>
          </cell>
          <cell r="AW60" t="str">
            <v>7340301</v>
          </cell>
          <cell r="AX60" t="str">
            <v>Kế toán doanh nghiệp</v>
          </cell>
          <cell r="AY60" t="str">
            <v>7340115</v>
          </cell>
          <cell r="AZ60" t="str">
            <v>Marketing</v>
          </cell>
          <cell r="BA60" t="str">
            <v>7340120</v>
          </cell>
          <cell r="BB60" t="str">
            <v>Kinh doanh quốc tế</v>
          </cell>
          <cell r="BD60" t="str">
            <v>Chưa hoàn thành</v>
          </cell>
          <cell r="BF60" t="str">
            <v>3</v>
          </cell>
          <cell r="BM60" t="str">
            <v>True</v>
          </cell>
          <cell r="BN60" t="str">
            <v>True</v>
          </cell>
          <cell r="BR60">
            <v>8.5</v>
          </cell>
          <cell r="BS60">
            <v>8.3000000000000007</v>
          </cell>
          <cell r="BT60">
            <v>7.2</v>
          </cell>
          <cell r="BU60">
            <v>8.5</v>
          </cell>
          <cell r="BV60">
            <v>8.6999999999999993</v>
          </cell>
          <cell r="BW60">
            <v>0</v>
          </cell>
          <cell r="BX60">
            <v>7.8</v>
          </cell>
          <cell r="BY60">
            <v>7.5</v>
          </cell>
          <cell r="BZ60">
            <v>8.8000000000000007</v>
          </cell>
          <cell r="CA60">
            <v>8.1999999999999993</v>
          </cell>
          <cell r="CB60">
            <v>0</v>
          </cell>
          <cell r="CC60">
            <v>0</v>
          </cell>
          <cell r="CD60">
            <v>0</v>
          </cell>
          <cell r="CE60">
            <v>0</v>
          </cell>
          <cell r="CF60">
            <v>0</v>
          </cell>
          <cell r="CG60">
            <v>0</v>
          </cell>
          <cell r="CH60">
            <v>0</v>
          </cell>
          <cell r="CI60">
            <v>0</v>
          </cell>
          <cell r="CJ60">
            <v>0</v>
          </cell>
          <cell r="CK60">
            <v>0</v>
          </cell>
          <cell r="CL60">
            <v>0</v>
          </cell>
          <cell r="CM60">
            <v>8.1999999999999993</v>
          </cell>
          <cell r="CN60">
            <v>8.6</v>
          </cell>
          <cell r="CO60">
            <v>8.3000000000000007</v>
          </cell>
          <cell r="CP60">
            <v>9.1</v>
          </cell>
          <cell r="CQ60">
            <v>9.5</v>
          </cell>
          <cell r="CR60">
            <v>0</v>
          </cell>
          <cell r="CS60">
            <v>8.1</v>
          </cell>
          <cell r="CT60">
            <v>8.5</v>
          </cell>
          <cell r="CU60">
            <v>8.5</v>
          </cell>
          <cell r="CV60">
            <v>8.8000000000000007</v>
          </cell>
          <cell r="CW60">
            <v>0</v>
          </cell>
          <cell r="CX60">
            <v>0</v>
          </cell>
          <cell r="CY60">
            <v>0</v>
          </cell>
          <cell r="CZ60">
            <v>0</v>
          </cell>
          <cell r="DA60">
            <v>0</v>
          </cell>
          <cell r="DB60">
            <v>0</v>
          </cell>
          <cell r="DC60">
            <v>0</v>
          </cell>
          <cell r="DD60">
            <v>0</v>
          </cell>
          <cell r="DE60">
            <v>0</v>
          </cell>
          <cell r="DF60">
            <v>0</v>
          </cell>
          <cell r="DG60">
            <v>0</v>
          </cell>
          <cell r="DH60">
            <v>8.8000000000000007</v>
          </cell>
          <cell r="DI60">
            <v>8</v>
          </cell>
          <cell r="DJ60">
            <v>7</v>
          </cell>
          <cell r="DK60">
            <v>9</v>
          </cell>
          <cell r="DL60">
            <v>8.1999999999999993</v>
          </cell>
          <cell r="DM60">
            <v>0</v>
          </cell>
          <cell r="DN60">
            <v>7.9</v>
          </cell>
          <cell r="DO60">
            <v>8.3000000000000007</v>
          </cell>
          <cell r="DP60">
            <v>8.1</v>
          </cell>
          <cell r="DQ60">
            <v>7.9</v>
          </cell>
          <cell r="DR60">
            <v>0</v>
          </cell>
          <cell r="DS60">
            <v>0</v>
          </cell>
          <cell r="DT60">
            <v>0</v>
          </cell>
          <cell r="DU60">
            <v>0</v>
          </cell>
          <cell r="DV60">
            <v>0</v>
          </cell>
          <cell r="DW60">
            <v>0</v>
          </cell>
          <cell r="DX60">
            <v>0</v>
          </cell>
          <cell r="DY60">
            <v>0</v>
          </cell>
          <cell r="DZ60">
            <v>0</v>
          </cell>
          <cell r="EA60">
            <v>0</v>
          </cell>
          <cell r="EB60">
            <v>0</v>
          </cell>
          <cell r="EC60">
            <v>8.25</v>
          </cell>
          <cell r="ED60">
            <v>6.75</v>
          </cell>
          <cell r="EE60">
            <v>0</v>
          </cell>
          <cell r="EG60">
            <v>0</v>
          </cell>
          <cell r="EI60">
            <v>0</v>
          </cell>
          <cell r="EJ60">
            <v>6.5</v>
          </cell>
          <cell r="EK60">
            <v>6.5</v>
          </cell>
          <cell r="EL60">
            <v>0</v>
          </cell>
          <cell r="EN60">
            <v>0</v>
          </cell>
          <cell r="EW60">
            <v>116.5</v>
          </cell>
          <cell r="EX60">
            <v>0</v>
          </cell>
          <cell r="EY60">
            <v>0</v>
          </cell>
          <cell r="EZ60">
            <v>0</v>
          </cell>
          <cell r="FA60">
            <v>0</v>
          </cell>
          <cell r="FB60">
            <v>113.5</v>
          </cell>
          <cell r="FC60">
            <v>99.5</v>
          </cell>
          <cell r="FD60">
            <v>0</v>
          </cell>
        </row>
        <row r="61">
          <cell r="A61">
            <v>377413356</v>
          </cell>
          <cell r="B61" t="str">
            <v>KSVBS2641837</v>
          </cell>
          <cell r="C61" t="str">
            <v>58</v>
          </cell>
          <cell r="D61" t="str">
            <v>TRẦN XUÂN BÌNH</v>
          </cell>
          <cell r="E61" t="str">
            <v>1</v>
          </cell>
          <cell r="F61" t="str">
            <v>01/03/2008</v>
          </cell>
          <cell r="G61" t="str">
            <v>tranxuanbinh.ss03@gmail.com</v>
          </cell>
          <cell r="H61" t="str">
            <v>0377413356</v>
          </cell>
          <cell r="I61" t="str">
            <v>083308001940</v>
          </cell>
          <cell r="J61" t="str">
            <v>146, khu phố Tam Phước</v>
          </cell>
          <cell r="K61" t="str">
            <v>KV2-NT</v>
          </cell>
          <cell r="M61" t="str">
            <v>Không có</v>
          </cell>
          <cell r="N61" t="str">
            <v>Kinh</v>
          </cell>
          <cell r="P61" t="str">
            <v>2026</v>
          </cell>
          <cell r="Q61" t="str">
            <v>86001255</v>
          </cell>
          <cell r="R61" t="str">
            <v>Không có</v>
          </cell>
          <cell r="S61" t="str">
            <v>Không có</v>
          </cell>
          <cell r="T61" t="str">
            <v>Không có</v>
          </cell>
          <cell r="AA61" t="str">
            <v>Không có</v>
          </cell>
          <cell r="AF61" t="str">
            <v>86N</v>
          </cell>
          <cell r="AG61" t="str">
            <v>120</v>
          </cell>
          <cell r="AH61" t="str">
            <v>THPT Trần Văn Ơn</v>
          </cell>
          <cell r="AI61" t="str">
            <v>86N</v>
          </cell>
          <cell r="AJ61" t="str">
            <v>120</v>
          </cell>
          <cell r="AK61" t="str">
            <v>THPT Trần Văn Ơn</v>
          </cell>
          <cell r="AL61" t="str">
            <v>86N</v>
          </cell>
          <cell r="AM61" t="str">
            <v>120</v>
          </cell>
          <cell r="AN61" t="str">
            <v>THPT Trần Văn Ơn</v>
          </cell>
          <cell r="AO61" t="str">
            <v>GDPT2018</v>
          </cell>
          <cell r="AP61" t="str">
            <v>Giỏi</v>
          </cell>
          <cell r="AQ61" t="str">
            <v>6.78</v>
          </cell>
          <cell r="AR61" t="str">
            <v>7.91</v>
          </cell>
          <cell r="AS61" t="str">
            <v>8.06</v>
          </cell>
          <cell r="AT61" t="str">
            <v>8.84</v>
          </cell>
          <cell r="AU61" t="str">
            <v>False</v>
          </cell>
          <cell r="AW61" t="str">
            <v>7340301</v>
          </cell>
          <cell r="AX61" t="str">
            <v>Kế toán doanh nghiệp</v>
          </cell>
          <cell r="AY61" t="str">
            <v>7340101</v>
          </cell>
          <cell r="AZ61" t="str">
            <v>Quản trị</v>
          </cell>
          <cell r="BC61" t="str">
            <v>phamhuong</v>
          </cell>
          <cell r="BD61" t="str">
            <v>Đã được tiếp nhận</v>
          </cell>
          <cell r="BF61" t="str">
            <v>3</v>
          </cell>
          <cell r="BM61" t="str">
            <v>True</v>
          </cell>
          <cell r="BN61" t="str">
            <v>False</v>
          </cell>
          <cell r="BO61" t="str">
            <v>KQTHPT_59_083308001940.pdf</v>
          </cell>
          <cell r="BR61">
            <v>8.5</v>
          </cell>
          <cell r="BS61">
            <v>5.8</v>
          </cell>
          <cell r="BT61">
            <v>6.4</v>
          </cell>
          <cell r="BU61">
            <v>9.1</v>
          </cell>
          <cell r="BV61">
            <v>8.6999999999999993</v>
          </cell>
          <cell r="BW61">
            <v>0</v>
          </cell>
          <cell r="BX61">
            <v>7.9</v>
          </cell>
          <cell r="BY61">
            <v>7.6</v>
          </cell>
          <cell r="BZ61">
            <v>0</v>
          </cell>
          <cell r="CA61">
            <v>0</v>
          </cell>
          <cell r="CB61">
            <v>9.3000000000000007</v>
          </cell>
          <cell r="CC61">
            <v>0</v>
          </cell>
          <cell r="CD61">
            <v>0</v>
          </cell>
          <cell r="CE61">
            <v>0</v>
          </cell>
          <cell r="CF61">
            <v>0</v>
          </cell>
          <cell r="CG61">
            <v>0</v>
          </cell>
          <cell r="CH61">
            <v>0</v>
          </cell>
          <cell r="CI61">
            <v>0</v>
          </cell>
          <cell r="CJ61">
            <v>0</v>
          </cell>
          <cell r="CK61">
            <v>0</v>
          </cell>
          <cell r="CL61">
            <v>0</v>
          </cell>
          <cell r="CM61">
            <v>8.6999999999999993</v>
          </cell>
          <cell r="CN61">
            <v>5.3</v>
          </cell>
          <cell r="CO61">
            <v>7</v>
          </cell>
          <cell r="CP61">
            <v>8.6</v>
          </cell>
          <cell r="CQ61">
            <v>9.3000000000000007</v>
          </cell>
          <cell r="CR61">
            <v>0</v>
          </cell>
          <cell r="CS61">
            <v>9</v>
          </cell>
          <cell r="CT61">
            <v>7</v>
          </cell>
          <cell r="CU61">
            <v>0</v>
          </cell>
          <cell r="CV61">
            <v>0</v>
          </cell>
          <cell r="CW61">
            <v>9.6</v>
          </cell>
          <cell r="CX61">
            <v>0</v>
          </cell>
          <cell r="CY61">
            <v>0</v>
          </cell>
          <cell r="CZ61">
            <v>0</v>
          </cell>
          <cell r="DA61">
            <v>0</v>
          </cell>
          <cell r="DB61">
            <v>0</v>
          </cell>
          <cell r="DC61">
            <v>0</v>
          </cell>
          <cell r="DD61">
            <v>0</v>
          </cell>
          <cell r="DE61">
            <v>0</v>
          </cell>
          <cell r="DF61">
            <v>0</v>
          </cell>
          <cell r="DG61">
            <v>0</v>
          </cell>
          <cell r="DH61">
            <v>9.5</v>
          </cell>
          <cell r="DI61">
            <v>7</v>
          </cell>
          <cell r="DJ61">
            <v>8</v>
          </cell>
          <cell r="DK61">
            <v>9.9</v>
          </cell>
          <cell r="DL61">
            <v>9.6</v>
          </cell>
          <cell r="DM61">
            <v>0</v>
          </cell>
          <cell r="DN61">
            <v>9</v>
          </cell>
          <cell r="DO61">
            <v>9.1</v>
          </cell>
          <cell r="DP61">
            <v>0</v>
          </cell>
          <cell r="DQ61">
            <v>0</v>
          </cell>
          <cell r="DR61">
            <v>8.6</v>
          </cell>
          <cell r="DS61">
            <v>0</v>
          </cell>
          <cell r="DT61">
            <v>0</v>
          </cell>
          <cell r="DU61">
            <v>0</v>
          </cell>
          <cell r="DV61">
            <v>0</v>
          </cell>
          <cell r="DW61">
            <v>0</v>
          </cell>
          <cell r="DX61">
            <v>0</v>
          </cell>
          <cell r="DY61">
            <v>0</v>
          </cell>
          <cell r="DZ61">
            <v>0</v>
          </cell>
          <cell r="EA61">
            <v>0</v>
          </cell>
          <cell r="EB61">
            <v>0</v>
          </cell>
          <cell r="EC61">
            <v>7</v>
          </cell>
          <cell r="ED61">
            <v>4.5</v>
          </cell>
          <cell r="EE61">
            <v>3.75</v>
          </cell>
          <cell r="EJ61">
            <v>5.5</v>
          </cell>
        </row>
        <row r="62">
          <cell r="A62">
            <v>858694515</v>
          </cell>
          <cell r="B62" t="str">
            <v>KSVBS2620036</v>
          </cell>
          <cell r="C62" t="str">
            <v>49</v>
          </cell>
          <cell r="D62" t="str">
            <v>ĐỖ KHÁNH HUYỀN</v>
          </cell>
          <cell r="E62" t="str">
            <v>1</v>
          </cell>
          <cell r="F62" t="str">
            <v>13/01/2008</v>
          </cell>
          <cell r="G62" t="str">
            <v>hdo516516@gmail.com</v>
          </cell>
          <cell r="H62" t="str">
            <v>0858694515</v>
          </cell>
          <cell r="I62" t="str">
            <v>038308013704</v>
          </cell>
          <cell r="J62" t="str">
            <v xml:space="preserve">101A Lưu Chí Hiếu </v>
          </cell>
          <cell r="K62" t="str">
            <v>KV3</v>
          </cell>
          <cell r="M62" t="str">
            <v>Không có</v>
          </cell>
          <cell r="N62" t="str">
            <v>Kinh</v>
          </cell>
          <cell r="P62" t="str">
            <v>2026</v>
          </cell>
          <cell r="Q62" t="str">
            <v>79129945</v>
          </cell>
          <cell r="R62" t="str">
            <v>Không có</v>
          </cell>
          <cell r="S62" t="str">
            <v>Không có</v>
          </cell>
          <cell r="T62" t="str">
            <v>Không có</v>
          </cell>
          <cell r="AA62" t="str">
            <v>Không có</v>
          </cell>
          <cell r="AF62" t="str">
            <v>79N</v>
          </cell>
          <cell r="AG62" t="str">
            <v>815</v>
          </cell>
          <cell r="AH62" t="str">
            <v>TH-THCS-THPT Nguyễn Thị Minh Khai</v>
          </cell>
          <cell r="AI62" t="str">
            <v>79N</v>
          </cell>
          <cell r="AJ62" t="str">
            <v>815</v>
          </cell>
          <cell r="AK62" t="str">
            <v>TH-THCS-THPT Nguyễn Thị Minh Khai</v>
          </cell>
          <cell r="AL62" t="str">
            <v>79N</v>
          </cell>
          <cell r="AM62" t="str">
            <v>815</v>
          </cell>
          <cell r="AN62" t="str">
            <v>TH-THCS-THPT Nguyễn Thị Minh Khai</v>
          </cell>
          <cell r="AO62" t="str">
            <v>GDPT2018</v>
          </cell>
          <cell r="AP62" t="str">
            <v>Giỏi</v>
          </cell>
          <cell r="AQ62" t="str">
            <v>8.00</v>
          </cell>
          <cell r="AR62" t="str">
            <v>8.03</v>
          </cell>
          <cell r="AS62" t="str">
            <v>8.01</v>
          </cell>
          <cell r="AT62" t="str">
            <v>8.00</v>
          </cell>
          <cell r="AU62" t="str">
            <v>False</v>
          </cell>
          <cell r="AW62" t="str">
            <v>7620114</v>
          </cell>
          <cell r="AX62" t="str">
            <v>Kinh doanh nông nghiệp</v>
          </cell>
          <cell r="BC62" t="str">
            <v>phamhuong</v>
          </cell>
          <cell r="BD62" t="str">
            <v>Đã được tiếp nhận</v>
          </cell>
          <cell r="BF62" t="str">
            <v>3</v>
          </cell>
          <cell r="BM62" t="str">
            <v>True</v>
          </cell>
          <cell r="BN62" t="str">
            <v>False</v>
          </cell>
          <cell r="BO62" t="str">
            <v>KQTHPT_60_038308013704.pdf</v>
          </cell>
          <cell r="BR62">
            <v>7.6</v>
          </cell>
          <cell r="BS62">
            <v>7.6</v>
          </cell>
          <cell r="BT62">
            <v>7.1</v>
          </cell>
          <cell r="BU62">
            <v>7.8</v>
          </cell>
          <cell r="BV62">
            <v>8.8000000000000007</v>
          </cell>
          <cell r="BW62">
            <v>9.3000000000000007</v>
          </cell>
          <cell r="BX62">
            <v>8.3000000000000007</v>
          </cell>
          <cell r="BY62">
            <v>0</v>
          </cell>
          <cell r="BZ62">
            <v>0</v>
          </cell>
          <cell r="CA62">
            <v>8.3000000000000007</v>
          </cell>
          <cell r="CB62">
            <v>0</v>
          </cell>
          <cell r="CC62">
            <v>7.5</v>
          </cell>
          <cell r="CD62">
            <v>0</v>
          </cell>
          <cell r="CE62">
            <v>0</v>
          </cell>
          <cell r="CF62">
            <v>0</v>
          </cell>
          <cell r="CG62">
            <v>0</v>
          </cell>
          <cell r="CH62">
            <v>0</v>
          </cell>
          <cell r="CI62">
            <v>0</v>
          </cell>
          <cell r="CJ62">
            <v>0</v>
          </cell>
          <cell r="CK62">
            <v>0</v>
          </cell>
          <cell r="CL62">
            <v>0</v>
          </cell>
          <cell r="CM62">
            <v>7.4</v>
          </cell>
          <cell r="CN62">
            <v>7.6</v>
          </cell>
          <cell r="CO62">
            <v>7.5</v>
          </cell>
          <cell r="CP62">
            <v>8.3000000000000007</v>
          </cell>
          <cell r="CQ62">
            <v>8</v>
          </cell>
          <cell r="CR62">
            <v>8.8000000000000007</v>
          </cell>
          <cell r="CS62">
            <v>8</v>
          </cell>
          <cell r="CT62">
            <v>0</v>
          </cell>
          <cell r="CU62">
            <v>0</v>
          </cell>
          <cell r="CV62">
            <v>8.3000000000000007</v>
          </cell>
          <cell r="CW62">
            <v>0</v>
          </cell>
          <cell r="CX62">
            <v>8.1999999999999993</v>
          </cell>
          <cell r="CY62">
            <v>0</v>
          </cell>
          <cell r="CZ62">
            <v>0</v>
          </cell>
          <cell r="DA62">
            <v>0</v>
          </cell>
          <cell r="DB62">
            <v>0</v>
          </cell>
          <cell r="DC62">
            <v>0</v>
          </cell>
          <cell r="DD62">
            <v>0</v>
          </cell>
          <cell r="DE62">
            <v>0</v>
          </cell>
          <cell r="DF62">
            <v>0</v>
          </cell>
          <cell r="DG62">
            <v>0</v>
          </cell>
          <cell r="DH62">
            <v>6.5</v>
          </cell>
          <cell r="DI62">
            <v>7</v>
          </cell>
          <cell r="DJ62">
            <v>6.6</v>
          </cell>
          <cell r="DK62">
            <v>9.1</v>
          </cell>
          <cell r="DL62">
            <v>8.6</v>
          </cell>
          <cell r="DM62">
            <v>8.1</v>
          </cell>
          <cell r="DN62">
            <v>8.6</v>
          </cell>
          <cell r="DO62">
            <v>0</v>
          </cell>
          <cell r="DP62">
            <v>0</v>
          </cell>
          <cell r="DQ62">
            <v>8</v>
          </cell>
          <cell r="DR62">
            <v>0</v>
          </cell>
          <cell r="DS62">
            <v>9.5</v>
          </cell>
          <cell r="DT62">
            <v>0</v>
          </cell>
          <cell r="DU62">
            <v>0</v>
          </cell>
          <cell r="DV62">
            <v>0</v>
          </cell>
          <cell r="DW62">
            <v>0</v>
          </cell>
          <cell r="DX62">
            <v>0</v>
          </cell>
          <cell r="DY62">
            <v>0</v>
          </cell>
          <cell r="DZ62">
            <v>0</v>
          </cell>
          <cell r="EA62">
            <v>0</v>
          </cell>
          <cell r="EB62">
            <v>0</v>
          </cell>
          <cell r="EC62">
            <v>5.25</v>
          </cell>
          <cell r="ED62">
            <v>6.5</v>
          </cell>
          <cell r="EE62">
            <v>3.25</v>
          </cell>
          <cell r="EG62">
            <v>4.8499999999999996</v>
          </cell>
        </row>
        <row r="63">
          <cell r="A63">
            <v>703617258</v>
          </cell>
          <cell r="B63" t="str">
            <v>KSVBS2621087</v>
          </cell>
          <cell r="C63" t="str">
            <v>32</v>
          </cell>
          <cell r="D63" t="str">
            <v>NGUYỄN THỊ XUÂN NHI</v>
          </cell>
          <cell r="E63" t="str">
            <v>1</v>
          </cell>
          <cell r="F63" t="str">
            <v>07/04/2008</v>
          </cell>
          <cell r="G63" t="str">
            <v>xnhi1010@gmail.com</v>
          </cell>
          <cell r="H63" t="str">
            <v>0703617258</v>
          </cell>
          <cell r="I63" t="str">
            <v>089308011621</v>
          </cell>
          <cell r="J63" t="str">
            <v>257</v>
          </cell>
          <cell r="K63" t="str">
            <v>KV2-NT</v>
          </cell>
          <cell r="M63" t="str">
            <v>Không có</v>
          </cell>
          <cell r="N63" t="str">
            <v>Kinh</v>
          </cell>
          <cell r="P63" t="str">
            <v>2026</v>
          </cell>
          <cell r="Q63" t="str">
            <v>91020443</v>
          </cell>
          <cell r="R63" t="str">
            <v>Không có</v>
          </cell>
          <cell r="S63" t="str">
            <v>Không có</v>
          </cell>
          <cell r="T63" t="str">
            <v>Không có</v>
          </cell>
          <cell r="AA63" t="str">
            <v>Không có</v>
          </cell>
          <cell r="AF63" t="str">
            <v>89N</v>
          </cell>
          <cell r="AG63" t="str">
            <v>114</v>
          </cell>
          <cell r="AH63" t="str">
            <v>Trường THPT Huỳnh Thị Hưởng</v>
          </cell>
          <cell r="AI63" t="str">
            <v>89N</v>
          </cell>
          <cell r="AJ63" t="str">
            <v>114</v>
          </cell>
          <cell r="AK63" t="str">
            <v>Trường THPT Huỳnh Thị Hưởng</v>
          </cell>
          <cell r="AL63" t="str">
            <v>89N</v>
          </cell>
          <cell r="AM63" t="str">
            <v>114</v>
          </cell>
          <cell r="AN63" t="str">
            <v>Trường THPT Huỳnh Thị Hưởng</v>
          </cell>
          <cell r="AO63" t="str">
            <v>GDPT2018</v>
          </cell>
          <cell r="AP63" t="str">
            <v>Đạt</v>
          </cell>
          <cell r="AQ63" t="str">
            <v>7.55</v>
          </cell>
          <cell r="AR63" t="str">
            <v>9.24</v>
          </cell>
          <cell r="AS63" t="str">
            <v>9.16</v>
          </cell>
          <cell r="AT63" t="str">
            <v>9.36</v>
          </cell>
          <cell r="AU63" t="str">
            <v>False</v>
          </cell>
          <cell r="AW63" t="str">
            <v>7340122</v>
          </cell>
          <cell r="AX63" t="str">
            <v>Thương mại điện tử</v>
          </cell>
          <cell r="BC63" t="str">
            <v>phamhuong</v>
          </cell>
          <cell r="BD63" t="str">
            <v>Đã được tiếp nhận</v>
          </cell>
          <cell r="BF63" t="str">
            <v>3</v>
          </cell>
          <cell r="BM63" t="str">
            <v>True</v>
          </cell>
          <cell r="BN63" t="str">
            <v>False</v>
          </cell>
          <cell r="BO63" t="str">
            <v>KQTHPT_61_089308011621.pdf</v>
          </cell>
          <cell r="BR63">
            <v>8.6999999999999993</v>
          </cell>
          <cell r="BS63">
            <v>9.3000000000000007</v>
          </cell>
          <cell r="BT63">
            <v>8.8000000000000007</v>
          </cell>
          <cell r="BU63">
            <v>10</v>
          </cell>
          <cell r="BV63">
            <v>8.9</v>
          </cell>
          <cell r="BW63">
            <v>9.1999999999999993</v>
          </cell>
          <cell r="BX63">
            <v>9.5</v>
          </cell>
          <cell r="BY63">
            <v>0</v>
          </cell>
          <cell r="BZ63">
            <v>0</v>
          </cell>
          <cell r="CA63">
            <v>0</v>
          </cell>
          <cell r="CB63">
            <v>9.5</v>
          </cell>
          <cell r="CC63">
            <v>9.3000000000000007</v>
          </cell>
          <cell r="CD63">
            <v>0</v>
          </cell>
          <cell r="CE63">
            <v>0</v>
          </cell>
          <cell r="CF63">
            <v>0</v>
          </cell>
          <cell r="CG63">
            <v>0</v>
          </cell>
          <cell r="CH63">
            <v>0</v>
          </cell>
          <cell r="CI63">
            <v>0</v>
          </cell>
          <cell r="CJ63">
            <v>0</v>
          </cell>
          <cell r="CK63">
            <v>0</v>
          </cell>
          <cell r="CL63">
            <v>0</v>
          </cell>
          <cell r="CM63">
            <v>9.1999999999999993</v>
          </cell>
          <cell r="CN63">
            <v>8.6999999999999993</v>
          </cell>
          <cell r="CO63">
            <v>8</v>
          </cell>
          <cell r="CP63">
            <v>9.8000000000000007</v>
          </cell>
          <cell r="CQ63">
            <v>9</v>
          </cell>
          <cell r="CR63">
            <v>9.5</v>
          </cell>
          <cell r="CS63">
            <v>9.5</v>
          </cell>
          <cell r="CT63">
            <v>0</v>
          </cell>
          <cell r="CU63">
            <v>0</v>
          </cell>
          <cell r="CV63">
            <v>0</v>
          </cell>
          <cell r="CW63">
            <v>9.4</v>
          </cell>
          <cell r="CX63">
            <v>9.3000000000000007</v>
          </cell>
          <cell r="CY63">
            <v>0</v>
          </cell>
          <cell r="CZ63">
            <v>0</v>
          </cell>
          <cell r="DA63">
            <v>0</v>
          </cell>
          <cell r="DB63">
            <v>0</v>
          </cell>
          <cell r="DC63">
            <v>0</v>
          </cell>
          <cell r="DD63">
            <v>0</v>
          </cell>
          <cell r="DE63">
            <v>0</v>
          </cell>
          <cell r="DF63">
            <v>0</v>
          </cell>
          <cell r="DG63">
            <v>0</v>
          </cell>
          <cell r="DH63">
            <v>9.4</v>
          </cell>
          <cell r="DI63">
            <v>9.3000000000000007</v>
          </cell>
          <cell r="DJ63">
            <v>8.6</v>
          </cell>
          <cell r="DK63">
            <v>9.8000000000000007</v>
          </cell>
          <cell r="DL63">
            <v>9.1</v>
          </cell>
          <cell r="DM63">
            <v>9.3000000000000007</v>
          </cell>
          <cell r="DN63">
            <v>9.1999999999999993</v>
          </cell>
          <cell r="DO63">
            <v>0</v>
          </cell>
          <cell r="DP63">
            <v>0</v>
          </cell>
          <cell r="DQ63">
            <v>0</v>
          </cell>
          <cell r="DR63">
            <v>9.8000000000000007</v>
          </cell>
          <cell r="DS63">
            <v>9.6999999999999993</v>
          </cell>
          <cell r="DT63">
            <v>0</v>
          </cell>
          <cell r="DU63">
            <v>0</v>
          </cell>
          <cell r="DV63">
            <v>0</v>
          </cell>
          <cell r="DW63">
            <v>0</v>
          </cell>
          <cell r="DX63">
            <v>0</v>
          </cell>
          <cell r="DY63">
            <v>0</v>
          </cell>
          <cell r="DZ63">
            <v>0</v>
          </cell>
          <cell r="EA63">
            <v>0</v>
          </cell>
          <cell r="EB63">
            <v>0</v>
          </cell>
          <cell r="EC63">
            <v>6</v>
          </cell>
          <cell r="ED63">
            <v>7.75</v>
          </cell>
          <cell r="EE63">
            <v>4.5</v>
          </cell>
          <cell r="EI63">
            <v>5.0999999999999996</v>
          </cell>
        </row>
        <row r="64">
          <cell r="A64">
            <v>388512100</v>
          </cell>
          <cell r="B64" t="str">
            <v>KSVBS2623834</v>
          </cell>
          <cell r="C64" t="str">
            <v>57</v>
          </cell>
          <cell r="D64" t="str">
            <v>LÊ HOÀNG TRUNG KIÊN</v>
          </cell>
          <cell r="E64" t="str">
            <v>0</v>
          </cell>
          <cell r="F64" t="str">
            <v>29/05/2008</v>
          </cell>
          <cell r="G64" t="str">
            <v>lekien2958@gmail.com</v>
          </cell>
          <cell r="H64" t="str">
            <v>0388512100</v>
          </cell>
          <cell r="I64" t="str">
            <v>092208001825</v>
          </cell>
          <cell r="J64" t="str">
            <v>147/1/3A Đường Cách Mạng Tháng 8</v>
          </cell>
          <cell r="K64" t="str">
            <v>KV3</v>
          </cell>
          <cell r="M64" t="str">
            <v>Không có</v>
          </cell>
          <cell r="N64" t="str">
            <v>Kinh</v>
          </cell>
          <cell r="P64" t="str">
            <v>2026</v>
          </cell>
          <cell r="Q64" t="str">
            <v>92010238</v>
          </cell>
          <cell r="R64" t="str">
            <v>Không có</v>
          </cell>
          <cell r="S64" t="str">
            <v>Không có</v>
          </cell>
          <cell r="T64" t="str">
            <v>Không có</v>
          </cell>
          <cell r="AA64" t="str">
            <v>Không có</v>
          </cell>
          <cell r="AF64" t="str">
            <v>92N</v>
          </cell>
          <cell r="AG64" t="str">
            <v>365</v>
          </cell>
          <cell r="AH64" t="str">
            <v>Trường THCS và THPT Nguyễn Bỉnh Khiêm (trước 01/7/2025)</v>
          </cell>
          <cell r="AI64" t="str">
            <v>92N</v>
          </cell>
          <cell r="AJ64" t="str">
            <v>365</v>
          </cell>
          <cell r="AK64" t="str">
            <v>Trường THCS và THPT Nguyễn Bỉnh Khiêm (trước 01/7/2025)</v>
          </cell>
          <cell r="AL64" t="str">
            <v>92N</v>
          </cell>
          <cell r="AM64" t="str">
            <v>076</v>
          </cell>
          <cell r="AN64" t="str">
            <v>Trường THCS và THPT Nguyễn Bỉnh Khiêm</v>
          </cell>
          <cell r="AO64" t="str">
            <v>GDPT2018</v>
          </cell>
          <cell r="AP64" t="str">
            <v>Khá</v>
          </cell>
          <cell r="AQ64" t="str">
            <v>6.09</v>
          </cell>
          <cell r="AR64" t="str">
            <v>7.14</v>
          </cell>
          <cell r="AS64" t="str">
            <v>7.94</v>
          </cell>
          <cell r="AT64" t="str">
            <v>7.81</v>
          </cell>
          <cell r="AU64" t="str">
            <v>False</v>
          </cell>
          <cell r="AW64" t="str">
            <v>7480107</v>
          </cell>
          <cell r="AX64" t="str">
            <v>Robot và Trí tuệ nhân tạo (hệ kỹ sư)</v>
          </cell>
          <cell r="BC64" t="str">
            <v>phamhuong</v>
          </cell>
          <cell r="BD64" t="str">
            <v>Đã được tiếp nhận</v>
          </cell>
          <cell r="BF64" t="str">
            <v>3</v>
          </cell>
          <cell r="BM64" t="str">
            <v>True</v>
          </cell>
          <cell r="BN64" t="str">
            <v>True</v>
          </cell>
          <cell r="BO64" t="str">
            <v>KQTHPT_62_092208001825.pdf</v>
          </cell>
          <cell r="BQ64" t="str">
            <v>KQVSAT_62_092208001825.pdf</v>
          </cell>
          <cell r="BR64">
            <v>5.5</v>
          </cell>
          <cell r="BS64">
            <v>6.6</v>
          </cell>
          <cell r="BT64">
            <v>6</v>
          </cell>
          <cell r="BU64">
            <v>8.6</v>
          </cell>
          <cell r="BV64">
            <v>8.6</v>
          </cell>
          <cell r="BW64">
            <v>8</v>
          </cell>
          <cell r="BX64">
            <v>8.4</v>
          </cell>
          <cell r="BY64">
            <v>4.7</v>
          </cell>
          <cell r="BZ64">
            <v>0</v>
          </cell>
          <cell r="CA64">
            <v>0</v>
          </cell>
          <cell r="CB64">
            <v>0</v>
          </cell>
          <cell r="CC64">
            <v>7.9</v>
          </cell>
          <cell r="CD64">
            <v>0</v>
          </cell>
          <cell r="CE64">
            <v>0</v>
          </cell>
          <cell r="CF64">
            <v>0</v>
          </cell>
          <cell r="CG64">
            <v>0</v>
          </cell>
          <cell r="CH64">
            <v>0</v>
          </cell>
          <cell r="CI64">
            <v>0</v>
          </cell>
          <cell r="CJ64">
            <v>0</v>
          </cell>
          <cell r="CK64">
            <v>0</v>
          </cell>
          <cell r="CL64">
            <v>0</v>
          </cell>
          <cell r="CM64">
            <v>7.8</v>
          </cell>
          <cell r="CN64">
            <v>6.7</v>
          </cell>
          <cell r="CO64">
            <v>7.3</v>
          </cell>
          <cell r="CP64">
            <v>7.5</v>
          </cell>
          <cell r="CQ64">
            <v>9.1</v>
          </cell>
          <cell r="CR64">
            <v>8.6</v>
          </cell>
          <cell r="CS64">
            <v>8.6999999999999993</v>
          </cell>
          <cell r="CT64">
            <v>7.1</v>
          </cell>
          <cell r="CU64">
            <v>0</v>
          </cell>
          <cell r="CV64">
            <v>0</v>
          </cell>
          <cell r="CW64">
            <v>0</v>
          </cell>
          <cell r="CX64">
            <v>8.6999999999999993</v>
          </cell>
          <cell r="CY64">
            <v>0</v>
          </cell>
          <cell r="CZ64">
            <v>0</v>
          </cell>
          <cell r="DA64">
            <v>0</v>
          </cell>
          <cell r="DB64">
            <v>0</v>
          </cell>
          <cell r="DC64">
            <v>0</v>
          </cell>
          <cell r="DD64">
            <v>0</v>
          </cell>
          <cell r="DE64">
            <v>0</v>
          </cell>
          <cell r="DF64">
            <v>0</v>
          </cell>
          <cell r="DG64">
            <v>0</v>
          </cell>
          <cell r="DH64">
            <v>6.7</v>
          </cell>
          <cell r="DI64">
            <v>7.5</v>
          </cell>
          <cell r="DJ64">
            <v>6.7</v>
          </cell>
          <cell r="DK64">
            <v>8.8000000000000007</v>
          </cell>
          <cell r="DL64">
            <v>7.9</v>
          </cell>
          <cell r="DM64">
            <v>9.1</v>
          </cell>
          <cell r="DN64">
            <v>7.3</v>
          </cell>
          <cell r="DO64">
            <v>7.2</v>
          </cell>
          <cell r="DP64">
            <v>0</v>
          </cell>
          <cell r="DQ64">
            <v>0</v>
          </cell>
          <cell r="DR64">
            <v>0</v>
          </cell>
          <cell r="DS64">
            <v>9.1</v>
          </cell>
          <cell r="DT64">
            <v>0</v>
          </cell>
          <cell r="DU64">
            <v>0</v>
          </cell>
          <cell r="DV64">
            <v>0</v>
          </cell>
          <cell r="DW64">
            <v>0</v>
          </cell>
          <cell r="DX64">
            <v>0</v>
          </cell>
          <cell r="DY64">
            <v>0</v>
          </cell>
          <cell r="DZ64">
            <v>0</v>
          </cell>
          <cell r="EA64">
            <v>0</v>
          </cell>
          <cell r="EB64">
            <v>0</v>
          </cell>
          <cell r="EC64">
            <v>5</v>
          </cell>
          <cell r="ED64">
            <v>7</v>
          </cell>
          <cell r="EE64">
            <v>3</v>
          </cell>
          <cell r="EJ64">
            <v>2.75</v>
          </cell>
          <cell r="EW64">
            <v>63.5</v>
          </cell>
          <cell r="EX64">
            <v>101.5</v>
          </cell>
          <cell r="EY64">
            <v>79.5</v>
          </cell>
          <cell r="FB64">
            <v>67.5</v>
          </cell>
        </row>
        <row r="65">
          <cell r="A65">
            <v>337891696</v>
          </cell>
          <cell r="B65" t="str">
            <v>KSVBS2620084</v>
          </cell>
          <cell r="C65" t="str">
            <v>46</v>
          </cell>
          <cell r="D65" t="str">
            <v>NGUYỄN DUY MINH PHƯƠNG</v>
          </cell>
          <cell r="E65" t="str">
            <v>0</v>
          </cell>
          <cell r="F65" t="str">
            <v>23/12/2008</v>
          </cell>
          <cell r="G65" t="str">
            <v>ndmphuong2312@gmail.com</v>
          </cell>
          <cell r="H65" t="str">
            <v>0337891696</v>
          </cell>
          <cell r="I65" t="str">
            <v>068208002791</v>
          </cell>
          <cell r="J65" t="str">
            <v>Số 45, Thôn Nam Hà</v>
          </cell>
          <cell r="K65" t="str">
            <v>KV2-NT</v>
          </cell>
          <cell r="M65" t="str">
            <v>Không có</v>
          </cell>
          <cell r="N65" t="str">
            <v>Kinh</v>
          </cell>
          <cell r="P65" t="str">
            <v>2026</v>
          </cell>
          <cell r="Q65" t="str">
            <v>68010239</v>
          </cell>
          <cell r="R65" t="str">
            <v>Không có</v>
          </cell>
          <cell r="S65" t="str">
            <v>Không có</v>
          </cell>
          <cell r="T65" t="str">
            <v>Không có</v>
          </cell>
          <cell r="V65" t="str">
            <v xml:space="preserve"> 393209</v>
          </cell>
          <cell r="W65" t="str">
            <v>848.00</v>
          </cell>
          <cell r="X65" t="str">
            <v>475457</v>
          </cell>
          <cell r="Y65" t="str">
            <v>D26163749</v>
          </cell>
          <cell r="Z65" t="str">
            <v>908.00</v>
          </cell>
          <cell r="AA65" t="str">
            <v>Không có</v>
          </cell>
          <cell r="AF65" t="str">
            <v>68N</v>
          </cell>
          <cell r="AG65" t="str">
            <v>051</v>
          </cell>
          <cell r="AH65" t="str">
            <v>THPT Thăng Long</v>
          </cell>
          <cell r="AI65" t="str">
            <v>68N</v>
          </cell>
          <cell r="AJ65" t="str">
            <v>051</v>
          </cell>
          <cell r="AK65" t="str">
            <v>THPT Thăng Long</v>
          </cell>
          <cell r="AL65" t="str">
            <v>68N</v>
          </cell>
          <cell r="AM65" t="str">
            <v>051</v>
          </cell>
          <cell r="AN65" t="str">
            <v>THPT Thăng Long</v>
          </cell>
          <cell r="AO65" t="str">
            <v>GDPT2018</v>
          </cell>
          <cell r="AP65" t="str">
            <v>Tốt</v>
          </cell>
          <cell r="AQ65" t="str">
            <v>0.00</v>
          </cell>
          <cell r="AR65" t="str">
            <v>8.73</v>
          </cell>
          <cell r="AS65" t="str">
            <v>8.68</v>
          </cell>
          <cell r="AT65" t="str">
            <v>8.76</v>
          </cell>
          <cell r="AU65" t="str">
            <v>True</v>
          </cell>
          <cell r="AW65" t="str">
            <v>7480201</v>
          </cell>
          <cell r="AX65" t="str">
            <v>Công nghệ và đổi mới sáng tạo</v>
          </cell>
          <cell r="BC65" t="str">
            <v>phamhuong</v>
          </cell>
          <cell r="BD65" t="str">
            <v>Đã được tiếp nhận</v>
          </cell>
          <cell r="BE65" t="str">
            <v>Trường có điều chỉnh mã số hồ sơ và số báo danh kỳ thi Đánh giá năng lực cho đúng với minh chứng thí sinh cung cấp</v>
          </cell>
          <cell r="BF65" t="str">
            <v>3</v>
          </cell>
          <cell r="BM65" t="str">
            <v>True</v>
          </cell>
          <cell r="BN65" t="str">
            <v>False</v>
          </cell>
          <cell r="BO65" t="str">
            <v>KQTHPT_63_068208002791.pdf</v>
          </cell>
          <cell r="BP65" t="str">
            <v>KQDGNL_63_068208002791.pdf</v>
          </cell>
          <cell r="BR65">
            <v>9.3000000000000007</v>
          </cell>
          <cell r="BS65">
            <v>8</v>
          </cell>
          <cell r="BT65">
            <v>8.6</v>
          </cell>
          <cell r="BU65">
            <v>8.6999999999999993</v>
          </cell>
          <cell r="BV65">
            <v>9</v>
          </cell>
          <cell r="BW65">
            <v>0</v>
          </cell>
          <cell r="BX65">
            <v>0</v>
          </cell>
          <cell r="BY65">
            <v>8.6999999999999993</v>
          </cell>
          <cell r="BZ65">
            <v>8.9</v>
          </cell>
          <cell r="CA65">
            <v>8.3000000000000007</v>
          </cell>
          <cell r="CB65">
            <v>0</v>
          </cell>
          <cell r="CC65">
            <v>9.1</v>
          </cell>
          <cell r="CD65">
            <v>0</v>
          </cell>
          <cell r="CE65">
            <v>0</v>
          </cell>
          <cell r="CF65">
            <v>0</v>
          </cell>
          <cell r="CG65">
            <v>0</v>
          </cell>
          <cell r="CH65">
            <v>0</v>
          </cell>
          <cell r="CI65">
            <v>0</v>
          </cell>
          <cell r="CJ65">
            <v>0</v>
          </cell>
          <cell r="CK65">
            <v>0</v>
          </cell>
          <cell r="CL65">
            <v>0</v>
          </cell>
          <cell r="CM65">
            <v>8.8000000000000007</v>
          </cell>
          <cell r="CN65">
            <v>7.5</v>
          </cell>
          <cell r="CO65">
            <v>8.1999999999999993</v>
          </cell>
          <cell r="CP65">
            <v>8.5</v>
          </cell>
          <cell r="CQ65">
            <v>8.8000000000000007</v>
          </cell>
          <cell r="CR65">
            <v>0</v>
          </cell>
          <cell r="CS65">
            <v>0</v>
          </cell>
          <cell r="CT65">
            <v>9.1999999999999993</v>
          </cell>
          <cell r="CU65">
            <v>9.4</v>
          </cell>
          <cell r="CV65">
            <v>8.5</v>
          </cell>
          <cell r="CW65">
            <v>0</v>
          </cell>
          <cell r="CX65">
            <v>9.1999999999999993</v>
          </cell>
          <cell r="CY65">
            <v>0</v>
          </cell>
          <cell r="CZ65">
            <v>0</v>
          </cell>
          <cell r="DA65">
            <v>0</v>
          </cell>
          <cell r="DB65">
            <v>0</v>
          </cell>
          <cell r="DC65">
            <v>0</v>
          </cell>
          <cell r="DD65">
            <v>0</v>
          </cell>
          <cell r="DE65">
            <v>0</v>
          </cell>
          <cell r="DF65">
            <v>0</v>
          </cell>
          <cell r="DG65">
            <v>0</v>
          </cell>
          <cell r="DH65">
            <v>9.1999999999999993</v>
          </cell>
          <cell r="DI65">
            <v>7.9</v>
          </cell>
          <cell r="DJ65">
            <v>8.8000000000000007</v>
          </cell>
          <cell r="DK65">
            <v>8.9</v>
          </cell>
          <cell r="DL65">
            <v>8.3000000000000007</v>
          </cell>
          <cell r="DM65">
            <v>0</v>
          </cell>
          <cell r="DN65">
            <v>0</v>
          </cell>
          <cell r="DO65">
            <v>9.1999999999999993</v>
          </cell>
          <cell r="DP65">
            <v>9.5</v>
          </cell>
          <cell r="DQ65">
            <v>8.1999999999999993</v>
          </cell>
          <cell r="DR65">
            <v>0</v>
          </cell>
          <cell r="DS65">
            <v>8.8000000000000007</v>
          </cell>
          <cell r="DT65">
            <v>0</v>
          </cell>
          <cell r="DU65">
            <v>0</v>
          </cell>
          <cell r="DV65">
            <v>0</v>
          </cell>
          <cell r="DW65">
            <v>0</v>
          </cell>
          <cell r="DX65">
            <v>0</v>
          </cell>
          <cell r="DY65">
            <v>0</v>
          </cell>
          <cell r="DZ65">
            <v>0</v>
          </cell>
          <cell r="EA65">
            <v>0</v>
          </cell>
          <cell r="EB65">
            <v>0</v>
          </cell>
          <cell r="EC65">
            <v>7.5</v>
          </cell>
          <cell r="ED65">
            <v>7</v>
          </cell>
          <cell r="EE65">
            <v>6.75</v>
          </cell>
          <cell r="EJ65">
            <v>7.75</v>
          </cell>
        </row>
        <row r="66">
          <cell r="A66">
            <v>907370129</v>
          </cell>
          <cell r="B66" t="str">
            <v>KSVBS2648154</v>
          </cell>
          <cell r="C66" t="str">
            <v>41</v>
          </cell>
          <cell r="D66" t="str">
            <v>LƯƠNG NGUYỄN ĐẠT</v>
          </cell>
          <cell r="E66" t="str">
            <v>0</v>
          </cell>
          <cell r="F66" t="str">
            <v>17/07/2008</v>
          </cell>
          <cell r="G66" t="str">
            <v>luongnguyen.dat2008@gmail.com</v>
          </cell>
          <cell r="H66" t="str">
            <v>0907370129</v>
          </cell>
          <cell r="I66" t="str">
            <v>086208000490</v>
          </cell>
          <cell r="J66" t="str">
            <v>Số Nhà 446/63/12, Tổ 06, Khóm Đông Thuận, Phường Đông Thành,  Tỉnh Vĩnh Long</v>
          </cell>
          <cell r="K66" t="str">
            <v>KV1</v>
          </cell>
          <cell r="M66" t="str">
            <v>Không có</v>
          </cell>
          <cell r="N66" t="str">
            <v>Kinh</v>
          </cell>
          <cell r="P66" t="str">
            <v>2026</v>
          </cell>
          <cell r="Q66" t="str">
            <v>86022423</v>
          </cell>
          <cell r="R66" t="str">
            <v>Không có</v>
          </cell>
          <cell r="S66" t="str">
            <v>Không có</v>
          </cell>
          <cell r="T66" t="str">
            <v>Không có</v>
          </cell>
          <cell r="AA66" t="str">
            <v>Không có</v>
          </cell>
          <cell r="AF66" t="str">
            <v>86N</v>
          </cell>
          <cell r="AG66" t="str">
            <v>424</v>
          </cell>
          <cell r="AH66" t="str">
            <v>THCS và THPT Đông Thành</v>
          </cell>
          <cell r="AI66" t="str">
            <v>86N</v>
          </cell>
          <cell r="AJ66" t="str">
            <v>424</v>
          </cell>
          <cell r="AK66" t="str">
            <v>THCS và THPT Đông Thành</v>
          </cell>
          <cell r="AL66" t="str">
            <v>86N</v>
          </cell>
          <cell r="AM66" t="str">
            <v>424</v>
          </cell>
          <cell r="AN66" t="str">
            <v>THCS và THPT Đông Thành</v>
          </cell>
          <cell r="AO66" t="str">
            <v>GDPT2018</v>
          </cell>
          <cell r="AP66" t="str">
            <v>Giỏi</v>
          </cell>
          <cell r="AQ66" t="str">
            <v>0.00</v>
          </cell>
          <cell r="AR66" t="str">
            <v>8.33</v>
          </cell>
          <cell r="AS66" t="str">
            <v>8.38</v>
          </cell>
          <cell r="AT66" t="str">
            <v>8.91</v>
          </cell>
          <cell r="AU66" t="str">
            <v>False</v>
          </cell>
          <cell r="AW66" t="str">
            <v>7340201_2</v>
          </cell>
          <cell r="AX66" t="str">
            <v>Tài chính</v>
          </cell>
          <cell r="BC66" t="str">
            <v>phamhuong</v>
          </cell>
          <cell r="BD66" t="str">
            <v>Đã được tiếp nhận</v>
          </cell>
          <cell r="BF66" t="str">
            <v>3</v>
          </cell>
          <cell r="BM66" t="str">
            <v>True</v>
          </cell>
          <cell r="BN66" t="str">
            <v>True</v>
          </cell>
          <cell r="BO66" t="str">
            <v>KQTHPT_64_086208000490.pdf</v>
          </cell>
          <cell r="BQ66" t="str">
            <v>KQVSAT_64_086208000490.pdf</v>
          </cell>
          <cell r="BR66">
            <v>6.7</v>
          </cell>
          <cell r="BS66">
            <v>8.1</v>
          </cell>
          <cell r="BT66">
            <v>8.9</v>
          </cell>
          <cell r="BU66">
            <v>8.6</v>
          </cell>
          <cell r="BV66">
            <v>9.1</v>
          </cell>
          <cell r="BW66">
            <v>0</v>
          </cell>
          <cell r="BX66">
            <v>0</v>
          </cell>
          <cell r="BY66">
            <v>8.5</v>
          </cell>
          <cell r="BZ66">
            <v>8.1999999999999993</v>
          </cell>
          <cell r="CA66">
            <v>8.3000000000000007</v>
          </cell>
          <cell r="CB66">
            <v>0</v>
          </cell>
          <cell r="CC66">
            <v>8.6</v>
          </cell>
          <cell r="CD66">
            <v>0</v>
          </cell>
          <cell r="CE66">
            <v>0</v>
          </cell>
          <cell r="CF66">
            <v>0</v>
          </cell>
          <cell r="CG66">
            <v>0</v>
          </cell>
          <cell r="CH66">
            <v>0</v>
          </cell>
          <cell r="CI66">
            <v>0</v>
          </cell>
          <cell r="CJ66">
            <v>0</v>
          </cell>
          <cell r="CK66">
            <v>0</v>
          </cell>
          <cell r="CL66">
            <v>0</v>
          </cell>
          <cell r="CM66">
            <v>6.7</v>
          </cell>
          <cell r="CN66">
            <v>8.8000000000000007</v>
          </cell>
          <cell r="CO66">
            <v>8.1999999999999993</v>
          </cell>
          <cell r="CP66">
            <v>9.4</v>
          </cell>
          <cell r="CQ66">
            <v>8.8000000000000007</v>
          </cell>
          <cell r="CR66">
            <v>0</v>
          </cell>
          <cell r="CS66">
            <v>0</v>
          </cell>
          <cell r="CT66">
            <v>8</v>
          </cell>
          <cell r="CU66">
            <v>8.1999999999999993</v>
          </cell>
          <cell r="CV66">
            <v>8.5</v>
          </cell>
          <cell r="CW66">
            <v>0</v>
          </cell>
          <cell r="CX66">
            <v>8.8000000000000007</v>
          </cell>
          <cell r="CY66">
            <v>0</v>
          </cell>
          <cell r="CZ66">
            <v>0</v>
          </cell>
          <cell r="DA66">
            <v>0</v>
          </cell>
          <cell r="DB66">
            <v>0</v>
          </cell>
          <cell r="DC66">
            <v>0</v>
          </cell>
          <cell r="DD66">
            <v>0</v>
          </cell>
          <cell r="DE66">
            <v>0</v>
          </cell>
          <cell r="DF66">
            <v>0</v>
          </cell>
          <cell r="DG66">
            <v>0</v>
          </cell>
          <cell r="DH66">
            <v>8.1999999999999993</v>
          </cell>
          <cell r="DI66">
            <v>9</v>
          </cell>
          <cell r="DJ66">
            <v>8.9</v>
          </cell>
          <cell r="DK66">
            <v>9.6</v>
          </cell>
          <cell r="DL66">
            <v>9.5</v>
          </cell>
          <cell r="DM66">
            <v>0</v>
          </cell>
          <cell r="DN66">
            <v>0</v>
          </cell>
          <cell r="DO66">
            <v>8.5</v>
          </cell>
          <cell r="DP66">
            <v>8.4</v>
          </cell>
          <cell r="DQ66">
            <v>8.6999999999999993</v>
          </cell>
          <cell r="DR66">
            <v>0</v>
          </cell>
          <cell r="DS66">
            <v>9.4</v>
          </cell>
          <cell r="DT66">
            <v>0</v>
          </cell>
          <cell r="DU66">
            <v>0</v>
          </cell>
          <cell r="DV66">
            <v>0</v>
          </cell>
          <cell r="DW66">
            <v>0</v>
          </cell>
          <cell r="DX66">
            <v>0</v>
          </cell>
          <cell r="DY66">
            <v>0</v>
          </cell>
          <cell r="DZ66">
            <v>0</v>
          </cell>
          <cell r="EA66">
            <v>0</v>
          </cell>
          <cell r="EB66">
            <v>0</v>
          </cell>
          <cell r="EC66">
            <v>5.25</v>
          </cell>
          <cell r="ED66">
            <v>5</v>
          </cell>
          <cell r="EE66">
            <v>5</v>
          </cell>
          <cell r="EG66">
            <v>7.75</v>
          </cell>
          <cell r="EW66">
            <v>61.5</v>
          </cell>
          <cell r="EX66">
            <v>121.5</v>
          </cell>
          <cell r="EY66">
            <v>115.5</v>
          </cell>
          <cell r="EZ66">
            <v>126</v>
          </cell>
          <cell r="FB66">
            <v>84</v>
          </cell>
        </row>
        <row r="67">
          <cell r="A67">
            <v>845696526</v>
          </cell>
          <cell r="B67" t="str">
            <v>KSVBS2640309</v>
          </cell>
          <cell r="C67" t="str">
            <v>55</v>
          </cell>
          <cell r="D67" t="str">
            <v>NGUYỄN TRẦN YẾN NHI</v>
          </cell>
          <cell r="E67" t="str">
            <v>1</v>
          </cell>
          <cell r="F67" t="str">
            <v>14/04/2008</v>
          </cell>
          <cell r="G67" t="str">
            <v>nguyentranyennhi140408@gmail.com</v>
          </cell>
          <cell r="H67" t="str">
            <v>0845696526</v>
          </cell>
          <cell r="I67" t="str">
            <v>079308009276</v>
          </cell>
          <cell r="J67" t="str">
            <v>2 Thới An 10 phường Thới An TP.HCM</v>
          </cell>
          <cell r="K67" t="str">
            <v>KV3</v>
          </cell>
          <cell r="M67" t="str">
            <v>Không có</v>
          </cell>
          <cell r="N67" t="str">
            <v>Kinh</v>
          </cell>
          <cell r="P67" t="str">
            <v>2026</v>
          </cell>
          <cell r="Q67" t="str">
            <v>79055743</v>
          </cell>
          <cell r="R67" t="str">
            <v>Không có</v>
          </cell>
          <cell r="S67" t="str">
            <v>Không có</v>
          </cell>
          <cell r="T67" t="str">
            <v>Không có</v>
          </cell>
          <cell r="U67" t="str">
            <v>104170</v>
          </cell>
          <cell r="V67" t="str">
            <v>D26721529</v>
          </cell>
          <cell r="W67" t="str">
            <v>677.00</v>
          </cell>
          <cell r="Z67" t="str">
            <v>0.00</v>
          </cell>
          <cell r="AA67" t="str">
            <v>IELTS</v>
          </cell>
          <cell r="AB67" t="str">
            <v>30/05/2026</v>
          </cell>
          <cell r="AC67" t="str">
            <v>6.5</v>
          </cell>
          <cell r="AD67" t="str">
            <v>26VN515311NGUT028A</v>
          </cell>
          <cell r="AE67" t="str">
            <v>ChungChiTA_65_079308009276.pdf</v>
          </cell>
          <cell r="AF67" t="str">
            <v>79N</v>
          </cell>
          <cell r="AG67" t="str">
            <v>048</v>
          </cell>
          <cell r="AH67" t="str">
            <v>THPT Nguyễn Trung Trực</v>
          </cell>
          <cell r="AI67" t="str">
            <v>79N</v>
          </cell>
          <cell r="AJ67" t="str">
            <v>048</v>
          </cell>
          <cell r="AK67" t="str">
            <v>THPT Nguyễn Trung Trực</v>
          </cell>
          <cell r="AL67" t="str">
            <v>79N</v>
          </cell>
          <cell r="AM67" t="str">
            <v>048</v>
          </cell>
          <cell r="AN67" t="str">
            <v>THPT Nguyễn Trung Trực</v>
          </cell>
          <cell r="AO67" t="str">
            <v>GDPT2018</v>
          </cell>
          <cell r="AP67" t="str">
            <v>Giỏi</v>
          </cell>
          <cell r="AQ67" t="str">
            <v>7.89</v>
          </cell>
          <cell r="AR67" t="str">
            <v>9.39</v>
          </cell>
          <cell r="AS67" t="str">
            <v>9.29</v>
          </cell>
          <cell r="AT67" t="str">
            <v>9.42</v>
          </cell>
          <cell r="AU67" t="str">
            <v>True</v>
          </cell>
          <cell r="AW67" t="str">
            <v>7340201_3</v>
          </cell>
          <cell r="AX67" t="str">
            <v>Thuế</v>
          </cell>
          <cell r="BC67" t="str">
            <v>phamhuong</v>
          </cell>
          <cell r="BD67" t="str">
            <v>Đã được tiếp nhận</v>
          </cell>
          <cell r="BF67" t="str">
            <v>3</v>
          </cell>
          <cell r="BM67" t="str">
            <v>True</v>
          </cell>
          <cell r="BN67" t="str">
            <v>False</v>
          </cell>
          <cell r="BO67" t="str">
            <v>KQTHPT_65_079308009276.pdf</v>
          </cell>
          <cell r="BP67" t="str">
            <v>KQDGNL_65_079308009276.pdf</v>
          </cell>
          <cell r="BR67">
            <v>9.1</v>
          </cell>
          <cell r="BS67">
            <v>8.3000000000000007</v>
          </cell>
          <cell r="BT67">
            <v>9.6</v>
          </cell>
          <cell r="BU67">
            <v>9.5</v>
          </cell>
          <cell r="BV67">
            <v>9.9</v>
          </cell>
          <cell r="BW67">
            <v>9.3000000000000007</v>
          </cell>
          <cell r="BX67">
            <v>9.8000000000000007</v>
          </cell>
          <cell r="BY67">
            <v>9.5</v>
          </cell>
          <cell r="BZ67">
            <v>0</v>
          </cell>
          <cell r="CA67">
            <v>0</v>
          </cell>
          <cell r="CB67">
            <v>0</v>
          </cell>
          <cell r="CC67">
            <v>9.5</v>
          </cell>
          <cell r="CD67">
            <v>0</v>
          </cell>
          <cell r="CE67">
            <v>0</v>
          </cell>
          <cell r="CF67">
            <v>0</v>
          </cell>
          <cell r="CG67">
            <v>0</v>
          </cell>
          <cell r="CH67">
            <v>0</v>
          </cell>
          <cell r="CI67">
            <v>0</v>
          </cell>
          <cell r="CJ67">
            <v>0</v>
          </cell>
          <cell r="CK67">
            <v>0</v>
          </cell>
          <cell r="CL67">
            <v>0</v>
          </cell>
          <cell r="CM67">
            <v>8.4</v>
          </cell>
          <cell r="CN67">
            <v>9</v>
          </cell>
          <cell r="CO67">
            <v>9.5</v>
          </cell>
          <cell r="CP67">
            <v>9.6</v>
          </cell>
          <cell r="CQ67">
            <v>9.6999999999999993</v>
          </cell>
          <cell r="CR67">
            <v>9.5</v>
          </cell>
          <cell r="CS67">
            <v>9.6999999999999993</v>
          </cell>
          <cell r="CT67">
            <v>9.3000000000000007</v>
          </cell>
          <cell r="CU67">
            <v>0</v>
          </cell>
          <cell r="CV67">
            <v>0</v>
          </cell>
          <cell r="CW67">
            <v>0</v>
          </cell>
          <cell r="CX67">
            <v>8.9</v>
          </cell>
          <cell r="CY67">
            <v>0</v>
          </cell>
          <cell r="CZ67">
            <v>0</v>
          </cell>
          <cell r="DA67">
            <v>0</v>
          </cell>
          <cell r="DB67">
            <v>0</v>
          </cell>
          <cell r="DC67">
            <v>0</v>
          </cell>
          <cell r="DD67">
            <v>0</v>
          </cell>
          <cell r="DE67">
            <v>0</v>
          </cell>
          <cell r="DF67">
            <v>0</v>
          </cell>
          <cell r="DG67">
            <v>0</v>
          </cell>
          <cell r="DH67">
            <v>8.8000000000000007</v>
          </cell>
          <cell r="DI67">
            <v>8.9</v>
          </cell>
          <cell r="DJ67">
            <v>9.3000000000000007</v>
          </cell>
          <cell r="DK67">
            <v>9.8000000000000007</v>
          </cell>
          <cell r="DL67">
            <v>9.1999999999999993</v>
          </cell>
          <cell r="DM67">
            <v>9.5</v>
          </cell>
          <cell r="DN67">
            <v>9.6</v>
          </cell>
          <cell r="DO67">
            <v>9.9</v>
          </cell>
          <cell r="DP67">
            <v>0</v>
          </cell>
          <cell r="DQ67">
            <v>0</v>
          </cell>
          <cell r="DR67">
            <v>0</v>
          </cell>
          <cell r="DS67">
            <v>9.8000000000000007</v>
          </cell>
          <cell r="DT67">
            <v>0</v>
          </cell>
          <cell r="DU67">
            <v>0</v>
          </cell>
          <cell r="DV67">
            <v>0</v>
          </cell>
          <cell r="DW67">
            <v>0</v>
          </cell>
          <cell r="DX67">
            <v>0</v>
          </cell>
          <cell r="DY67">
            <v>0</v>
          </cell>
          <cell r="DZ67">
            <v>0</v>
          </cell>
          <cell r="EA67">
            <v>0</v>
          </cell>
          <cell r="EB67">
            <v>0</v>
          </cell>
          <cell r="EC67">
            <v>7</v>
          </cell>
          <cell r="ED67">
            <v>7.5</v>
          </cell>
          <cell r="EE67">
            <v>5.25</v>
          </cell>
          <cell r="EH67">
            <v>5.85</v>
          </cell>
        </row>
        <row r="68">
          <cell r="A68">
            <v>373997476</v>
          </cell>
          <cell r="B68" t="str">
            <v>KSVBS2622794</v>
          </cell>
          <cell r="C68" t="str">
            <v>42</v>
          </cell>
          <cell r="D68" t="str">
            <v>LÊ VĂN GIA THỊNH</v>
          </cell>
          <cell r="E68" t="str">
            <v>0</v>
          </cell>
          <cell r="F68" t="str">
            <v>07/12/2008</v>
          </cell>
          <cell r="G68" t="str">
            <v>giathinh712@gmail.com</v>
          </cell>
          <cell r="H68" t="str">
            <v>0373997476</v>
          </cell>
          <cell r="I68" t="str">
            <v>066208003927</v>
          </cell>
          <cell r="J68" t="str">
            <v>Thôn Eatun 1</v>
          </cell>
          <cell r="K68" t="str">
            <v>KV1</v>
          </cell>
          <cell r="M68" t="str">
            <v>Không có</v>
          </cell>
          <cell r="N68" t="str">
            <v>Kinh</v>
          </cell>
          <cell r="P68" t="str">
            <v>2026</v>
          </cell>
          <cell r="Q68" t="str">
            <v>66012019</v>
          </cell>
          <cell r="R68" t="str">
            <v>Không có</v>
          </cell>
          <cell r="S68" t="str">
            <v>Không có</v>
          </cell>
          <cell r="T68" t="str">
            <v>Không có</v>
          </cell>
          <cell r="U68" t="str">
            <v>370334</v>
          </cell>
          <cell r="V68" t="str">
            <v>D26903058</v>
          </cell>
          <cell r="W68" t="str">
            <v>746.00</v>
          </cell>
          <cell r="X68" t="str">
            <v>450421</v>
          </cell>
          <cell r="Y68" t="str">
            <v>D26139278</v>
          </cell>
          <cell r="Z68" t="str">
            <v>819.00</v>
          </cell>
          <cell r="AA68" t="str">
            <v>Không có</v>
          </cell>
          <cell r="AF68" t="str">
            <v>66N</v>
          </cell>
          <cell r="AG68" t="str">
            <v>018</v>
          </cell>
          <cell r="AH68" t="str">
            <v>Trường THPT Krông Ana</v>
          </cell>
          <cell r="AI68" t="str">
            <v>66N</v>
          </cell>
          <cell r="AJ68" t="str">
            <v>018</v>
          </cell>
          <cell r="AK68" t="str">
            <v>Trường THPT Krông Ana</v>
          </cell>
          <cell r="AL68" t="str">
            <v>66N</v>
          </cell>
          <cell r="AM68" t="str">
            <v>018</v>
          </cell>
          <cell r="AN68" t="str">
            <v>Trường THPT Krông Ana</v>
          </cell>
          <cell r="AO68" t="str">
            <v>GDPT2018</v>
          </cell>
          <cell r="AP68" t="str">
            <v>Tốt</v>
          </cell>
          <cell r="AQ68" t="str">
            <v>7.43</v>
          </cell>
          <cell r="AR68" t="str">
            <v>8.28</v>
          </cell>
          <cell r="AS68" t="str">
            <v>8.88</v>
          </cell>
          <cell r="AT68" t="str">
            <v>8.53</v>
          </cell>
          <cell r="AU68" t="str">
            <v>True</v>
          </cell>
          <cell r="AW68" t="str">
            <v>7480107</v>
          </cell>
          <cell r="AX68" t="str">
            <v>Robot và Trí tuệ nhân tạo (hệ kỹ sư)</v>
          </cell>
          <cell r="BC68" t="str">
            <v>phamhuong</v>
          </cell>
          <cell r="BD68" t="str">
            <v>Đã được tiếp nhận</v>
          </cell>
          <cell r="BF68" t="str">
            <v>3</v>
          </cell>
          <cell r="BM68" t="str">
            <v>True</v>
          </cell>
          <cell r="BN68" t="str">
            <v>False</v>
          </cell>
          <cell r="BO68" t="str">
            <v>KQTHPT_66_066208003927.pdf</v>
          </cell>
          <cell r="BP68" t="str">
            <v>KQDGNL_66_066208003927.pdf</v>
          </cell>
          <cell r="BR68">
            <v>7.4</v>
          </cell>
          <cell r="BS68">
            <v>7.5</v>
          </cell>
          <cell r="BT68">
            <v>8.1</v>
          </cell>
          <cell r="BU68">
            <v>9.3000000000000007</v>
          </cell>
          <cell r="BV68">
            <v>7.4</v>
          </cell>
          <cell r="BW68">
            <v>0</v>
          </cell>
          <cell r="BX68">
            <v>0</v>
          </cell>
          <cell r="BY68">
            <v>8.8000000000000007</v>
          </cell>
          <cell r="BZ68">
            <v>8.5</v>
          </cell>
          <cell r="CA68">
            <v>8.6</v>
          </cell>
          <cell r="CB68">
            <v>0</v>
          </cell>
          <cell r="CC68">
            <v>8.9</v>
          </cell>
          <cell r="CD68">
            <v>0</v>
          </cell>
          <cell r="CE68">
            <v>0</v>
          </cell>
          <cell r="CF68">
            <v>0</v>
          </cell>
          <cell r="CG68">
            <v>0</v>
          </cell>
          <cell r="CH68">
            <v>0</v>
          </cell>
          <cell r="CI68">
            <v>0</v>
          </cell>
          <cell r="CJ68">
            <v>0</v>
          </cell>
          <cell r="CK68">
            <v>0</v>
          </cell>
          <cell r="CL68">
            <v>0</v>
          </cell>
          <cell r="CM68">
            <v>8.5</v>
          </cell>
          <cell r="CN68">
            <v>7.9</v>
          </cell>
          <cell r="CO68">
            <v>8.3000000000000007</v>
          </cell>
          <cell r="CP68">
            <v>9.6</v>
          </cell>
          <cell r="CQ68">
            <v>9</v>
          </cell>
          <cell r="CR68">
            <v>0</v>
          </cell>
          <cell r="CS68">
            <v>0</v>
          </cell>
          <cell r="CT68">
            <v>9.6</v>
          </cell>
          <cell r="CU68">
            <v>8.1</v>
          </cell>
          <cell r="CV68">
            <v>9.6</v>
          </cell>
          <cell r="CW68">
            <v>0</v>
          </cell>
          <cell r="CX68">
            <v>9.3000000000000007</v>
          </cell>
          <cell r="CY68">
            <v>0</v>
          </cell>
          <cell r="CZ68">
            <v>0</v>
          </cell>
          <cell r="DA68">
            <v>0</v>
          </cell>
          <cell r="DB68">
            <v>0</v>
          </cell>
          <cell r="DC68">
            <v>0</v>
          </cell>
          <cell r="DD68">
            <v>0</v>
          </cell>
          <cell r="DE68">
            <v>0</v>
          </cell>
          <cell r="DF68">
            <v>0</v>
          </cell>
          <cell r="DG68">
            <v>0</v>
          </cell>
          <cell r="DH68">
            <v>9</v>
          </cell>
          <cell r="DI68">
            <v>6.7</v>
          </cell>
          <cell r="DJ68">
            <v>7.6</v>
          </cell>
          <cell r="DK68">
            <v>9.9</v>
          </cell>
          <cell r="DL68">
            <v>7.9</v>
          </cell>
          <cell r="DM68">
            <v>0</v>
          </cell>
          <cell r="DN68">
            <v>0</v>
          </cell>
          <cell r="DO68">
            <v>8.9</v>
          </cell>
          <cell r="DP68">
            <v>9</v>
          </cell>
          <cell r="DQ68">
            <v>9</v>
          </cell>
          <cell r="DR68">
            <v>0</v>
          </cell>
          <cell r="DS68">
            <v>8.8000000000000007</v>
          </cell>
          <cell r="DT68">
            <v>0</v>
          </cell>
          <cell r="DU68">
            <v>0</v>
          </cell>
          <cell r="DV68">
            <v>0</v>
          </cell>
          <cell r="DW68">
            <v>0</v>
          </cell>
          <cell r="DX68">
            <v>0</v>
          </cell>
          <cell r="DY68">
            <v>0</v>
          </cell>
          <cell r="DZ68">
            <v>0</v>
          </cell>
          <cell r="EA68">
            <v>0</v>
          </cell>
          <cell r="EB68">
            <v>0</v>
          </cell>
          <cell r="EC68">
            <v>8.5</v>
          </cell>
          <cell r="ED68">
            <v>5.25</v>
          </cell>
          <cell r="EE68">
            <v>4</v>
          </cell>
          <cell r="EJ68">
            <v>7.25</v>
          </cell>
        </row>
        <row r="69">
          <cell r="A69">
            <v>363644359</v>
          </cell>
          <cell r="B69" t="str">
            <v>KSVBS2639187</v>
          </cell>
          <cell r="C69" t="str">
            <v>56</v>
          </cell>
          <cell r="D69" t="str">
            <v>PHẠM HOÀNG PHONG</v>
          </cell>
          <cell r="E69" t="str">
            <v>0</v>
          </cell>
          <cell r="F69" t="str">
            <v>14/01/2008</v>
          </cell>
          <cell r="G69" t="str">
            <v>phphong1401@gmail.com</v>
          </cell>
          <cell r="H69" t="str">
            <v>0363644359</v>
          </cell>
          <cell r="I69" t="str">
            <v>086208007331</v>
          </cell>
          <cell r="J69" t="str">
            <v>273a, ấp Long Thới, Long Hồ, Vĩnh Long</v>
          </cell>
          <cell r="K69" t="str">
            <v>KV2</v>
          </cell>
          <cell r="M69" t="str">
            <v>Không có</v>
          </cell>
          <cell r="N69" t="str">
            <v>Kinh</v>
          </cell>
          <cell r="P69" t="str">
            <v>2026</v>
          </cell>
          <cell r="Q69" t="str">
            <v>86015559</v>
          </cell>
          <cell r="R69" t="str">
            <v>Không có</v>
          </cell>
          <cell r="S69" t="str">
            <v>Không có</v>
          </cell>
          <cell r="T69" t="str">
            <v>Không có</v>
          </cell>
          <cell r="W69" t="str">
            <v>0.00</v>
          </cell>
          <cell r="X69" t="str">
            <v>590128</v>
          </cell>
          <cell r="Y69" t="str">
            <v>D26385730</v>
          </cell>
          <cell r="Z69" t="str">
            <v>808.00</v>
          </cell>
          <cell r="AA69" t="str">
            <v>Không có</v>
          </cell>
          <cell r="AF69" t="str">
            <v>86N</v>
          </cell>
          <cell r="AG69" t="str">
            <v>407</v>
          </cell>
          <cell r="AH69" t="str">
            <v>THPT chuyên Nguyễn Bỉnh Khiêm</v>
          </cell>
          <cell r="AI69" t="str">
            <v>86N</v>
          </cell>
          <cell r="AJ69" t="str">
            <v>407</v>
          </cell>
          <cell r="AK69" t="str">
            <v>THPT chuyên Nguyễn Bỉnh Khiêm</v>
          </cell>
          <cell r="AL69" t="str">
            <v>86N</v>
          </cell>
          <cell r="AM69" t="str">
            <v>407</v>
          </cell>
          <cell r="AN69" t="str">
            <v>THPT chuyên Nguyễn Bỉnh Khiêm</v>
          </cell>
          <cell r="AO69" t="str">
            <v>GDPT2018</v>
          </cell>
          <cell r="AP69" t="str">
            <v>Tốt</v>
          </cell>
          <cell r="AQ69" t="str">
            <v>8.53</v>
          </cell>
          <cell r="AR69" t="str">
            <v>8.70</v>
          </cell>
          <cell r="AS69" t="str">
            <v>8.60</v>
          </cell>
          <cell r="AT69" t="str">
            <v>8.43</v>
          </cell>
          <cell r="AU69" t="str">
            <v>True</v>
          </cell>
          <cell r="AW69" t="str">
            <v>7480107</v>
          </cell>
          <cell r="AX69" t="str">
            <v>Robot và Trí tuệ nhân tạo (hệ kỹ sư)</v>
          </cell>
          <cell r="BC69" t="str">
            <v>phamhuong</v>
          </cell>
          <cell r="BD69" t="str">
            <v>Đã được tiếp nhận</v>
          </cell>
          <cell r="BF69" t="str">
            <v>3</v>
          </cell>
          <cell r="BM69" t="str">
            <v>True</v>
          </cell>
          <cell r="BN69" t="str">
            <v>False</v>
          </cell>
          <cell r="BO69" t="str">
            <v>KQTHPT_67_086208007331.pdf</v>
          </cell>
          <cell r="BP69" t="str">
            <v>KQDGNL_67_086208007331.pdf</v>
          </cell>
          <cell r="BR69">
            <v>8.8000000000000007</v>
          </cell>
          <cell r="BS69">
            <v>7.8</v>
          </cell>
          <cell r="BT69">
            <v>8</v>
          </cell>
          <cell r="BU69">
            <v>10</v>
          </cell>
          <cell r="BV69">
            <v>8.8000000000000007</v>
          </cell>
          <cell r="BW69">
            <v>0</v>
          </cell>
          <cell r="BX69">
            <v>0</v>
          </cell>
          <cell r="BY69">
            <v>8.5</v>
          </cell>
          <cell r="BZ69">
            <v>8.6999999999999993</v>
          </cell>
          <cell r="CA69">
            <v>8.5</v>
          </cell>
          <cell r="CB69">
            <v>0</v>
          </cell>
          <cell r="CC69">
            <v>9.1999999999999993</v>
          </cell>
          <cell r="CD69">
            <v>0</v>
          </cell>
          <cell r="CE69">
            <v>0</v>
          </cell>
          <cell r="CF69">
            <v>0</v>
          </cell>
          <cell r="CG69">
            <v>0</v>
          </cell>
          <cell r="CH69">
            <v>0</v>
          </cell>
          <cell r="CI69">
            <v>0</v>
          </cell>
          <cell r="CJ69">
            <v>0</v>
          </cell>
          <cell r="CK69">
            <v>0</v>
          </cell>
          <cell r="CL69">
            <v>0</v>
          </cell>
          <cell r="CM69">
            <v>9.1</v>
          </cell>
          <cell r="CN69">
            <v>7.5</v>
          </cell>
          <cell r="CO69">
            <v>7.9</v>
          </cell>
          <cell r="CP69">
            <v>10</v>
          </cell>
          <cell r="CQ69">
            <v>9.1999999999999993</v>
          </cell>
          <cell r="CR69">
            <v>0</v>
          </cell>
          <cell r="CS69">
            <v>0</v>
          </cell>
          <cell r="CT69">
            <v>9</v>
          </cell>
          <cell r="CU69">
            <v>7</v>
          </cell>
          <cell r="CV69">
            <v>8.6</v>
          </cell>
          <cell r="CW69">
            <v>0</v>
          </cell>
          <cell r="CX69">
            <v>9.1</v>
          </cell>
          <cell r="CY69">
            <v>0</v>
          </cell>
          <cell r="CZ69">
            <v>0</v>
          </cell>
          <cell r="DA69">
            <v>0</v>
          </cell>
          <cell r="DB69">
            <v>0</v>
          </cell>
          <cell r="DC69">
            <v>0</v>
          </cell>
          <cell r="DD69">
            <v>0</v>
          </cell>
          <cell r="DE69">
            <v>0</v>
          </cell>
          <cell r="DF69">
            <v>0</v>
          </cell>
          <cell r="DG69">
            <v>0</v>
          </cell>
          <cell r="DH69">
            <v>9</v>
          </cell>
          <cell r="DI69">
            <v>7.1</v>
          </cell>
          <cell r="DJ69">
            <v>7.2</v>
          </cell>
          <cell r="DK69">
            <v>10</v>
          </cell>
          <cell r="DL69">
            <v>9.3000000000000007</v>
          </cell>
          <cell r="DM69">
            <v>0</v>
          </cell>
          <cell r="DN69">
            <v>0</v>
          </cell>
          <cell r="DO69">
            <v>9.3000000000000007</v>
          </cell>
          <cell r="DP69">
            <v>8.1999999999999993</v>
          </cell>
          <cell r="DQ69">
            <v>6.7</v>
          </cell>
          <cell r="DR69">
            <v>0</v>
          </cell>
          <cell r="DS69">
            <v>9.1</v>
          </cell>
          <cell r="DT69">
            <v>0</v>
          </cell>
          <cell r="DU69">
            <v>0</v>
          </cell>
          <cell r="DV69">
            <v>0</v>
          </cell>
          <cell r="DW69">
            <v>0</v>
          </cell>
          <cell r="DX69">
            <v>0</v>
          </cell>
          <cell r="DY69">
            <v>0</v>
          </cell>
          <cell r="DZ69">
            <v>0</v>
          </cell>
          <cell r="EA69">
            <v>0</v>
          </cell>
          <cell r="EB69">
            <v>0</v>
          </cell>
          <cell r="EC69">
            <v>9</v>
          </cell>
          <cell r="ED69">
            <v>5.25</v>
          </cell>
          <cell r="EE69">
            <v>4.75</v>
          </cell>
          <cell r="EJ69">
            <v>6.75</v>
          </cell>
        </row>
        <row r="70">
          <cell r="A70">
            <v>398445865</v>
          </cell>
          <cell r="B70" t="str">
            <v>KSVBS2604464</v>
          </cell>
          <cell r="C70" t="str">
            <v>37</v>
          </cell>
          <cell r="D70" t="str">
            <v>DƯƠNG THỊ HỒNG QUYÊN</v>
          </cell>
          <cell r="E70" t="str">
            <v>1</v>
          </cell>
          <cell r="F70" t="str">
            <v>31/10/2007</v>
          </cell>
          <cell r="G70" t="str">
            <v>hquyenn3110@gmail.com</v>
          </cell>
          <cell r="H70" t="str">
            <v>0398445865</v>
          </cell>
          <cell r="I70" t="str">
            <v>024307011058</v>
          </cell>
          <cell r="J70" t="str">
            <v xml:space="preserve">Tổ dân phố An Thái </v>
          </cell>
          <cell r="K70" t="str">
            <v>KV1</v>
          </cell>
          <cell r="M70" t="str">
            <v>Không có</v>
          </cell>
          <cell r="N70" t="str">
            <v>Kinh</v>
          </cell>
          <cell r="P70" t="str">
            <v>2026</v>
          </cell>
          <cell r="R70" t="str">
            <v>Không có</v>
          </cell>
          <cell r="S70" t="str">
            <v>Không có</v>
          </cell>
          <cell r="T70" t="str">
            <v>Không có</v>
          </cell>
          <cell r="AA70" t="str">
            <v>Không có</v>
          </cell>
          <cell r="AF70" t="str">
            <v>27N</v>
          </cell>
          <cell r="AG70" t="str">
            <v>133</v>
          </cell>
          <cell r="AH70" t="str">
            <v>THPT Yên Dũng số 1</v>
          </cell>
          <cell r="AI70" t="str">
            <v>27N</v>
          </cell>
          <cell r="AJ70" t="str">
            <v>133</v>
          </cell>
          <cell r="AK70" t="str">
            <v>THPT Yên Dũng số 1</v>
          </cell>
          <cell r="AL70" t="str">
            <v>27N</v>
          </cell>
          <cell r="AM70" t="str">
            <v>133</v>
          </cell>
          <cell r="AN70" t="str">
            <v>THPT Yên Dũng số 1</v>
          </cell>
          <cell r="AO70" t="str">
            <v>GDPT2018</v>
          </cell>
          <cell r="AP70" t="str">
            <v>Khá</v>
          </cell>
          <cell r="AQ70" t="str">
            <v>7.63</v>
          </cell>
          <cell r="AR70" t="str">
            <v>7.50</v>
          </cell>
          <cell r="AS70" t="str">
            <v>7.42</v>
          </cell>
          <cell r="AT70" t="str">
            <v>8.02</v>
          </cell>
          <cell r="AU70" t="str">
            <v>False</v>
          </cell>
          <cell r="AW70" t="str">
            <v>7480107</v>
          </cell>
          <cell r="AX70" t="str">
            <v>Robot và Trí tuệ nhân tạo (hệ kỹ sư)</v>
          </cell>
          <cell r="BC70" t="str">
            <v>phamhuong</v>
          </cell>
          <cell r="BD70" t="str">
            <v>Bổ sung minh chứng</v>
          </cell>
          <cell r="BE70" t="str">
            <v xml:space="preserve">Thí sinh tự do (những thí sinh đã tốt nghiệp THPT trước năm 2026) 
Điều kiện bắt buộc: Bạn phải đăng ký và tham gia ít nhất một trong ba kỳ thi được tổ chức trong năm 2026 để lấy điểm thành phần "Điểm thi" cho công thức xét tuyển, bao gồm:
Kỳ thi tốt nghiệp THPT năm 2026.
Kỳ thi đánh giá năng lực do Đại học Quốc gia TP.HCM tổ chức năm 2026 (ĐGNL-HCM).
Kỳ thi đánh giá đầu vào đại học V-SAT năm 2026 ( do Đại học Cần Thơ tổ chức)
</v>
          </cell>
          <cell r="BF70" t="str">
            <v>3</v>
          </cell>
          <cell r="BM70" t="str">
            <v>False</v>
          </cell>
          <cell r="BN70" t="str">
            <v>False</v>
          </cell>
          <cell r="BR70">
            <v>7.1</v>
          </cell>
          <cell r="BS70">
            <v>7.8</v>
          </cell>
          <cell r="BT70">
            <v>6.5</v>
          </cell>
          <cell r="BU70">
            <v>8.6</v>
          </cell>
          <cell r="BV70">
            <v>7.9</v>
          </cell>
          <cell r="BW70">
            <v>8.4</v>
          </cell>
          <cell r="BX70">
            <v>7.6</v>
          </cell>
          <cell r="BY70">
            <v>0</v>
          </cell>
          <cell r="BZ70">
            <v>0</v>
          </cell>
          <cell r="CA70">
            <v>6.5</v>
          </cell>
          <cell r="CB70">
            <v>7.1</v>
          </cell>
          <cell r="CC70">
            <v>0</v>
          </cell>
          <cell r="CD70">
            <v>0</v>
          </cell>
          <cell r="CE70">
            <v>0</v>
          </cell>
          <cell r="CF70">
            <v>0</v>
          </cell>
          <cell r="CG70">
            <v>0</v>
          </cell>
          <cell r="CH70">
            <v>0</v>
          </cell>
          <cell r="CI70">
            <v>0</v>
          </cell>
          <cell r="CJ70">
            <v>0</v>
          </cell>
          <cell r="CK70">
            <v>0</v>
          </cell>
          <cell r="CL70">
            <v>0</v>
          </cell>
          <cell r="CM70">
            <v>8</v>
          </cell>
          <cell r="CN70">
            <v>8</v>
          </cell>
          <cell r="CO70">
            <v>6</v>
          </cell>
          <cell r="CP70">
            <v>8</v>
          </cell>
          <cell r="CQ70">
            <v>7.5</v>
          </cell>
          <cell r="CR70">
            <v>7.3</v>
          </cell>
          <cell r="CS70">
            <v>8.1</v>
          </cell>
          <cell r="CT70">
            <v>0</v>
          </cell>
          <cell r="CU70">
            <v>0</v>
          </cell>
          <cell r="CV70">
            <v>6.9</v>
          </cell>
          <cell r="CW70">
            <v>7</v>
          </cell>
          <cell r="CX70">
            <v>0</v>
          </cell>
          <cell r="CY70">
            <v>0</v>
          </cell>
          <cell r="CZ70">
            <v>0</v>
          </cell>
          <cell r="DA70">
            <v>0</v>
          </cell>
          <cell r="DB70">
            <v>0</v>
          </cell>
          <cell r="DC70">
            <v>0</v>
          </cell>
          <cell r="DD70">
            <v>0</v>
          </cell>
          <cell r="DE70">
            <v>0</v>
          </cell>
          <cell r="DF70">
            <v>0</v>
          </cell>
          <cell r="DG70">
            <v>0</v>
          </cell>
          <cell r="DH70">
            <v>7.4</v>
          </cell>
          <cell r="DI70">
            <v>7.7</v>
          </cell>
          <cell r="DJ70">
            <v>6.2</v>
          </cell>
          <cell r="DK70">
            <v>8.6</v>
          </cell>
          <cell r="DL70">
            <v>8.3000000000000007</v>
          </cell>
          <cell r="DM70">
            <v>8.9</v>
          </cell>
          <cell r="DN70">
            <v>8.5</v>
          </cell>
          <cell r="DO70">
            <v>0</v>
          </cell>
          <cell r="DP70">
            <v>9</v>
          </cell>
          <cell r="DQ70">
            <v>7.7</v>
          </cell>
          <cell r="DR70">
            <v>7.9</v>
          </cell>
          <cell r="DS70">
            <v>0</v>
          </cell>
          <cell r="DT70">
            <v>0</v>
          </cell>
          <cell r="DU70">
            <v>0</v>
          </cell>
          <cell r="DV70">
            <v>0</v>
          </cell>
          <cell r="DW70">
            <v>0</v>
          </cell>
          <cell r="DX70">
            <v>0</v>
          </cell>
          <cell r="DY70">
            <v>0</v>
          </cell>
          <cell r="DZ70">
            <v>0</v>
          </cell>
          <cell r="EA70">
            <v>0</v>
          </cell>
          <cell r="EB70">
            <v>0</v>
          </cell>
        </row>
        <row r="71">
          <cell r="A71">
            <v>819523730</v>
          </cell>
          <cell r="B71" t="str">
            <v>KSVBS2642326</v>
          </cell>
          <cell r="C71" t="str">
            <v>35</v>
          </cell>
          <cell r="D71" t="str">
            <v>LÊ BÙI GIA HÂN</v>
          </cell>
          <cell r="E71" t="str">
            <v>1</v>
          </cell>
          <cell r="F71" t="str">
            <v>19/01/2008</v>
          </cell>
          <cell r="G71" t="str">
            <v>legiahan401@gmail.com</v>
          </cell>
          <cell r="H71" t="str">
            <v>0819523730</v>
          </cell>
          <cell r="I71" t="str">
            <v>080308001683</v>
          </cell>
          <cell r="J71" t="str">
            <v>số 283 ấp Long An 4</v>
          </cell>
          <cell r="K71" t="str">
            <v>KV2-NT</v>
          </cell>
          <cell r="M71" t="str">
            <v>Không có</v>
          </cell>
          <cell r="N71" t="str">
            <v>Kinh</v>
          </cell>
          <cell r="P71" t="str">
            <v>2026</v>
          </cell>
          <cell r="Q71" t="str">
            <v>80015581</v>
          </cell>
          <cell r="R71" t="str">
            <v>Không có</v>
          </cell>
          <cell r="S71" t="str">
            <v>Không có</v>
          </cell>
          <cell r="T71" t="str">
            <v>Không có</v>
          </cell>
          <cell r="W71" t="str">
            <v>0.00</v>
          </cell>
          <cell r="X71" t="str">
            <v>061673</v>
          </cell>
          <cell r="Y71" t="str">
            <v>D26942098</v>
          </cell>
          <cell r="Z71" t="str">
            <v>737.00</v>
          </cell>
          <cell r="AA71" t="str">
            <v>IELTS</v>
          </cell>
          <cell r="AB71" t="str">
            <v>20/03/2026</v>
          </cell>
          <cell r="AC71" t="str">
            <v>5.5</v>
          </cell>
          <cell r="AD71" t="str">
            <v>25VN535615LEB028A</v>
          </cell>
          <cell r="AE71" t="str">
            <v>ChungChiTA_69_080308001683.pdf</v>
          </cell>
          <cell r="AF71" t="str">
            <v>72N</v>
          </cell>
          <cell r="AG71" t="str">
            <v>245</v>
          </cell>
          <cell r="AH71" t="str">
            <v>THPT Cần Giuộc</v>
          </cell>
          <cell r="AI71" t="str">
            <v>72N</v>
          </cell>
          <cell r="AJ71" t="str">
            <v>245</v>
          </cell>
          <cell r="AK71" t="str">
            <v>THPT Cần Giuộc</v>
          </cell>
          <cell r="AL71" t="str">
            <v>72N</v>
          </cell>
          <cell r="AM71" t="str">
            <v>245</v>
          </cell>
          <cell r="AN71" t="str">
            <v>THPT Cần Giuộc</v>
          </cell>
          <cell r="AO71" t="str">
            <v>GDPT2018</v>
          </cell>
          <cell r="AP71" t="str">
            <v>Tốt</v>
          </cell>
          <cell r="AQ71" t="str">
            <v>8.78</v>
          </cell>
          <cell r="AR71" t="str">
            <v>8.81</v>
          </cell>
          <cell r="AS71" t="str">
            <v>8.59</v>
          </cell>
          <cell r="AT71" t="str">
            <v>8.89</v>
          </cell>
          <cell r="AU71" t="str">
            <v>True</v>
          </cell>
          <cell r="AW71" t="str">
            <v>7340120</v>
          </cell>
          <cell r="AX71" t="str">
            <v>Kinh doanh quốc tế</v>
          </cell>
          <cell r="AY71" t="str">
            <v>7380107</v>
          </cell>
          <cell r="AZ71" t="str">
            <v>Luật kinh tế</v>
          </cell>
          <cell r="BA71" t="str">
            <v>7220201</v>
          </cell>
          <cell r="BB71" t="str">
            <v>Tiếng Anh thương mại</v>
          </cell>
          <cell r="BC71" t="str">
            <v>phamhuong</v>
          </cell>
          <cell r="BD71" t="str">
            <v>Đã được tiếp nhận</v>
          </cell>
          <cell r="BF71" t="str">
            <v>3</v>
          </cell>
          <cell r="BM71" t="str">
            <v>True</v>
          </cell>
          <cell r="BN71" t="str">
            <v>False</v>
          </cell>
          <cell r="BO71" t="str">
            <v>KQTHPT_69_080308001683.pdf</v>
          </cell>
          <cell r="BP71" t="str">
            <v>KQDGNL_69_080308001683.pdf</v>
          </cell>
          <cell r="BR71">
            <v>7.7</v>
          </cell>
          <cell r="BS71">
            <v>7.7</v>
          </cell>
          <cell r="BT71">
            <v>8.8000000000000007</v>
          </cell>
          <cell r="BU71">
            <v>9</v>
          </cell>
          <cell r="BV71">
            <v>9.1</v>
          </cell>
          <cell r="BW71">
            <v>0</v>
          </cell>
          <cell r="BX71">
            <v>0</v>
          </cell>
          <cell r="BY71">
            <v>9.1</v>
          </cell>
          <cell r="BZ71">
            <v>9.1999999999999993</v>
          </cell>
          <cell r="CA71">
            <v>9.1999999999999993</v>
          </cell>
          <cell r="CB71">
            <v>9.5</v>
          </cell>
          <cell r="CC71">
            <v>0</v>
          </cell>
          <cell r="CD71">
            <v>0</v>
          </cell>
          <cell r="CE71">
            <v>0</v>
          </cell>
          <cell r="CF71">
            <v>0</v>
          </cell>
          <cell r="CG71">
            <v>0</v>
          </cell>
          <cell r="CH71">
            <v>0</v>
          </cell>
          <cell r="CI71">
            <v>0</v>
          </cell>
          <cell r="CJ71">
            <v>0</v>
          </cell>
          <cell r="CK71">
            <v>0</v>
          </cell>
          <cell r="CL71">
            <v>0</v>
          </cell>
          <cell r="CM71">
            <v>7</v>
          </cell>
          <cell r="CN71">
            <v>7.5</v>
          </cell>
          <cell r="CO71">
            <v>9.3000000000000007</v>
          </cell>
          <cell r="CP71">
            <v>9.5</v>
          </cell>
          <cell r="CQ71">
            <v>9.3000000000000007</v>
          </cell>
          <cell r="CR71">
            <v>0</v>
          </cell>
          <cell r="CS71">
            <v>0</v>
          </cell>
          <cell r="CT71">
            <v>8</v>
          </cell>
          <cell r="CU71">
            <v>8.6999999999999993</v>
          </cell>
          <cell r="CV71">
            <v>8.6999999999999993</v>
          </cell>
          <cell r="CW71">
            <v>9.3000000000000007</v>
          </cell>
          <cell r="CX71">
            <v>0</v>
          </cell>
          <cell r="CY71">
            <v>0</v>
          </cell>
          <cell r="CZ71">
            <v>0</v>
          </cell>
          <cell r="DA71">
            <v>0</v>
          </cell>
          <cell r="DB71">
            <v>0</v>
          </cell>
          <cell r="DC71">
            <v>0</v>
          </cell>
          <cell r="DD71">
            <v>0</v>
          </cell>
          <cell r="DE71">
            <v>0</v>
          </cell>
          <cell r="DF71">
            <v>0</v>
          </cell>
          <cell r="DG71">
            <v>0</v>
          </cell>
          <cell r="DH71">
            <v>7.3</v>
          </cell>
          <cell r="DI71">
            <v>9</v>
          </cell>
          <cell r="DJ71">
            <v>9.4</v>
          </cell>
          <cell r="DK71">
            <v>9.6</v>
          </cell>
          <cell r="DL71">
            <v>9.9</v>
          </cell>
          <cell r="DM71">
            <v>0</v>
          </cell>
          <cell r="DN71">
            <v>0</v>
          </cell>
          <cell r="DO71">
            <v>7.4</v>
          </cell>
          <cell r="DP71">
            <v>9.1999999999999993</v>
          </cell>
          <cell r="DQ71">
            <v>8.9</v>
          </cell>
          <cell r="DR71">
            <v>9.3000000000000007</v>
          </cell>
          <cell r="DS71">
            <v>0</v>
          </cell>
          <cell r="DT71">
            <v>0</v>
          </cell>
          <cell r="DU71">
            <v>0</v>
          </cell>
          <cell r="DV71">
            <v>0</v>
          </cell>
          <cell r="DW71">
            <v>0</v>
          </cell>
          <cell r="DX71">
            <v>0</v>
          </cell>
          <cell r="DY71">
            <v>0</v>
          </cell>
          <cell r="DZ71">
            <v>0</v>
          </cell>
          <cell r="EA71">
            <v>0</v>
          </cell>
          <cell r="EB71">
            <v>0</v>
          </cell>
          <cell r="EC71">
            <v>7</v>
          </cell>
          <cell r="ED71">
            <v>7.75</v>
          </cell>
          <cell r="EE71">
            <v>5.25</v>
          </cell>
          <cell r="EK71">
            <v>6.25</v>
          </cell>
        </row>
        <row r="72">
          <cell r="A72">
            <v>932466792</v>
          </cell>
          <cell r="B72" t="str">
            <v>KSVBS2638157</v>
          </cell>
          <cell r="C72" t="str">
            <v>39</v>
          </cell>
          <cell r="D72" t="str">
            <v>PHẠM NGỌC DUNG</v>
          </cell>
          <cell r="E72" t="str">
            <v>1</v>
          </cell>
          <cell r="F72" t="str">
            <v>18/09/2008</v>
          </cell>
          <cell r="G72" t="str">
            <v>dungpham.31261570469@st.ueh.edu.vn</v>
          </cell>
          <cell r="H72" t="str">
            <v>0932466792</v>
          </cell>
          <cell r="I72" t="str">
            <v>080308013680</v>
          </cell>
          <cell r="J72" t="str">
            <v xml:space="preserve">Đường ấp Long An 4 </v>
          </cell>
          <cell r="K72" t="str">
            <v>KV2-NT</v>
          </cell>
          <cell r="M72" t="str">
            <v>Không có</v>
          </cell>
          <cell r="N72" t="str">
            <v>Kinh</v>
          </cell>
          <cell r="P72" t="str">
            <v>2026</v>
          </cell>
          <cell r="Q72" t="str">
            <v>80015539</v>
          </cell>
          <cell r="R72" t="str">
            <v>Không có</v>
          </cell>
          <cell r="S72" t="str">
            <v>Không có</v>
          </cell>
          <cell r="T72" t="str">
            <v>Không có</v>
          </cell>
          <cell r="U72" t="str">
            <v>021627</v>
          </cell>
          <cell r="V72" t="str">
            <v>D26165683</v>
          </cell>
          <cell r="W72" t="str">
            <v>685.00</v>
          </cell>
          <cell r="X72" t="str">
            <v>060391</v>
          </cell>
          <cell r="Y72" t="str">
            <v>D26831575</v>
          </cell>
          <cell r="Z72" t="str">
            <v>551.00</v>
          </cell>
          <cell r="AA72" t="str">
            <v>Không có</v>
          </cell>
          <cell r="AF72" t="str">
            <v>72N</v>
          </cell>
          <cell r="AG72" t="str">
            <v>245</v>
          </cell>
          <cell r="AH72" t="str">
            <v>THPT Cần Giuộc</v>
          </cell>
          <cell r="AI72" t="str">
            <v>72N</v>
          </cell>
          <cell r="AJ72" t="str">
            <v>245</v>
          </cell>
          <cell r="AK72" t="str">
            <v>THPT Cần Giuộc</v>
          </cell>
          <cell r="AL72" t="str">
            <v>72N</v>
          </cell>
          <cell r="AM72" t="str">
            <v>245</v>
          </cell>
          <cell r="AN72" t="str">
            <v>THPT Cần Giuộc</v>
          </cell>
          <cell r="AO72" t="str">
            <v>GDPT2018</v>
          </cell>
          <cell r="AP72" t="str">
            <v>Tốt</v>
          </cell>
          <cell r="AQ72" t="str">
            <v>8.60</v>
          </cell>
          <cell r="AR72" t="str">
            <v>8.42</v>
          </cell>
          <cell r="AS72" t="str">
            <v>8.42</v>
          </cell>
          <cell r="AT72" t="str">
            <v>8.78</v>
          </cell>
          <cell r="AU72" t="str">
            <v>True</v>
          </cell>
          <cell r="AW72" t="str">
            <v>7340301</v>
          </cell>
          <cell r="AX72" t="str">
            <v>Kế toán doanh nghiệp</v>
          </cell>
          <cell r="AY72" t="str">
            <v>7340201_3</v>
          </cell>
          <cell r="AZ72" t="str">
            <v>Thuế</v>
          </cell>
          <cell r="BA72" t="str">
            <v>7380107</v>
          </cell>
          <cell r="BB72" t="str">
            <v>Luật kinh tế</v>
          </cell>
          <cell r="BC72" t="str">
            <v>phamhuong</v>
          </cell>
          <cell r="BD72" t="str">
            <v>Đã được tiếp nhận</v>
          </cell>
          <cell r="BF72" t="str">
            <v>3</v>
          </cell>
          <cell r="BM72" t="str">
            <v>True</v>
          </cell>
          <cell r="BN72" t="str">
            <v>False</v>
          </cell>
          <cell r="BO72" t="str">
            <v>KQTHPT_70_080308013680.pdf</v>
          </cell>
          <cell r="BP72" t="str">
            <v>KQDGNL_70_080308013680.pdf</v>
          </cell>
          <cell r="BR72">
            <v>7.4</v>
          </cell>
          <cell r="BS72">
            <v>7</v>
          </cell>
          <cell r="BT72">
            <v>8.1999999999999993</v>
          </cell>
          <cell r="BU72">
            <v>8.9</v>
          </cell>
          <cell r="BV72">
            <v>9.5</v>
          </cell>
          <cell r="BW72">
            <v>0</v>
          </cell>
          <cell r="BX72">
            <v>0</v>
          </cell>
          <cell r="BY72">
            <v>8.4</v>
          </cell>
          <cell r="BZ72">
            <v>8.6</v>
          </cell>
          <cell r="CA72">
            <v>8.5</v>
          </cell>
          <cell r="CB72">
            <v>9.3000000000000007</v>
          </cell>
          <cell r="CC72">
            <v>0</v>
          </cell>
          <cell r="CD72">
            <v>0</v>
          </cell>
          <cell r="CE72">
            <v>0</v>
          </cell>
          <cell r="CF72">
            <v>0</v>
          </cell>
          <cell r="CG72">
            <v>0</v>
          </cell>
          <cell r="CH72">
            <v>0</v>
          </cell>
          <cell r="CI72">
            <v>0</v>
          </cell>
          <cell r="CJ72">
            <v>0</v>
          </cell>
          <cell r="CK72">
            <v>0</v>
          </cell>
          <cell r="CL72">
            <v>0</v>
          </cell>
          <cell r="CM72">
            <v>7.1</v>
          </cell>
          <cell r="CN72">
            <v>7.2</v>
          </cell>
          <cell r="CO72">
            <v>8.6</v>
          </cell>
          <cell r="CP72">
            <v>9.6</v>
          </cell>
          <cell r="CQ72">
            <v>9.1</v>
          </cell>
          <cell r="CR72">
            <v>0</v>
          </cell>
          <cell r="CS72">
            <v>0</v>
          </cell>
          <cell r="CT72">
            <v>7.9</v>
          </cell>
          <cell r="CU72">
            <v>8.5</v>
          </cell>
          <cell r="CV72">
            <v>8.4</v>
          </cell>
          <cell r="CW72">
            <v>9.4</v>
          </cell>
          <cell r="CX72">
            <v>0</v>
          </cell>
          <cell r="CY72">
            <v>0</v>
          </cell>
          <cell r="CZ72">
            <v>0</v>
          </cell>
          <cell r="DA72">
            <v>0</v>
          </cell>
          <cell r="DB72">
            <v>0</v>
          </cell>
          <cell r="DC72">
            <v>0</v>
          </cell>
          <cell r="DD72">
            <v>0</v>
          </cell>
          <cell r="DE72">
            <v>0</v>
          </cell>
          <cell r="DF72">
            <v>0</v>
          </cell>
          <cell r="DG72">
            <v>0</v>
          </cell>
          <cell r="DH72">
            <v>8.3000000000000007</v>
          </cell>
          <cell r="DI72">
            <v>8.4</v>
          </cell>
          <cell r="DJ72">
            <v>8.8000000000000007</v>
          </cell>
          <cell r="DK72">
            <v>9.6999999999999993</v>
          </cell>
          <cell r="DL72">
            <v>9.6</v>
          </cell>
          <cell r="DM72">
            <v>0</v>
          </cell>
          <cell r="DN72">
            <v>0</v>
          </cell>
          <cell r="DO72">
            <v>7.7</v>
          </cell>
          <cell r="DP72">
            <v>8.5</v>
          </cell>
          <cell r="DQ72">
            <v>8.6999999999999993</v>
          </cell>
          <cell r="DR72">
            <v>9.3000000000000007</v>
          </cell>
          <cell r="DS72">
            <v>0</v>
          </cell>
          <cell r="DT72">
            <v>0</v>
          </cell>
          <cell r="DU72">
            <v>0</v>
          </cell>
          <cell r="DV72">
            <v>0</v>
          </cell>
          <cell r="DW72">
            <v>0</v>
          </cell>
          <cell r="DX72">
            <v>0</v>
          </cell>
          <cell r="DY72">
            <v>0</v>
          </cell>
          <cell r="DZ72">
            <v>0</v>
          </cell>
          <cell r="EA72">
            <v>0</v>
          </cell>
          <cell r="EB72">
            <v>0</v>
          </cell>
          <cell r="EC72">
            <v>7.5</v>
          </cell>
          <cell r="ED72">
            <v>6.5</v>
          </cell>
          <cell r="EE72">
            <v>5.75</v>
          </cell>
          <cell r="EK72">
            <v>6.25</v>
          </cell>
        </row>
        <row r="73">
          <cell r="A73">
            <v>773138215</v>
          </cell>
          <cell r="D73" t="str">
            <v>NGUYỄN VÂN ANH</v>
          </cell>
          <cell r="E73" t="str">
            <v>1</v>
          </cell>
          <cell r="F73" t="str">
            <v>07/07/2008</v>
          </cell>
          <cell r="G73" t="str">
            <v>nguyenvananh7708@gmail.com</v>
          </cell>
          <cell r="H73" t="str">
            <v>0773138215</v>
          </cell>
          <cell r="I73" t="str">
            <v>086308000805</v>
          </cell>
          <cell r="J73" t="str">
            <v>273a/22 ấp Phú Long A, xã Phú Quới, tỉnh Vĩnh Long</v>
          </cell>
          <cell r="K73" t="str">
            <v>KV3</v>
          </cell>
          <cell r="M73" t="str">
            <v>Không có</v>
          </cell>
          <cell r="N73" t="str">
            <v>Kinh</v>
          </cell>
          <cell r="P73" t="str">
            <v>2026</v>
          </cell>
          <cell r="Q73" t="str">
            <v>86017317</v>
          </cell>
          <cell r="R73" t="str">
            <v>Không có</v>
          </cell>
          <cell r="S73" t="str">
            <v>Không có</v>
          </cell>
          <cell r="T73" t="str">
            <v>Không có</v>
          </cell>
          <cell r="AA73" t="str">
            <v>Không có</v>
          </cell>
          <cell r="AF73" t="str">
            <v>86N</v>
          </cell>
          <cell r="AG73" t="str">
            <v>422</v>
          </cell>
          <cell r="AH73" t="str">
            <v>THCS và THPT Phú Quới</v>
          </cell>
          <cell r="AI73" t="str">
            <v>86N</v>
          </cell>
          <cell r="AJ73" t="str">
            <v>422</v>
          </cell>
          <cell r="AK73" t="str">
            <v>THCS và THPT Phú Quới</v>
          </cell>
          <cell r="AL73" t="str">
            <v>86N</v>
          </cell>
          <cell r="AM73" t="str">
            <v>422</v>
          </cell>
          <cell r="AN73" t="str">
            <v>THCS và THPT Phú Quới</v>
          </cell>
          <cell r="AO73" t="str">
            <v>GDPT2018</v>
          </cell>
          <cell r="AP73" t="str">
            <v>Giỏi</v>
          </cell>
          <cell r="AQ73" t="str">
            <v>7.87</v>
          </cell>
          <cell r="AR73" t="str">
            <v>7.27</v>
          </cell>
          <cell r="AS73" t="str">
            <v>7.36</v>
          </cell>
          <cell r="AT73" t="str">
            <v>8.40</v>
          </cell>
          <cell r="AU73" t="str">
            <v>False</v>
          </cell>
          <cell r="AW73" t="str">
            <v>7340115</v>
          </cell>
          <cell r="AX73" t="str">
            <v>Marketing</v>
          </cell>
          <cell r="AY73" t="str">
            <v>7380107</v>
          </cell>
          <cell r="AZ73" t="str">
            <v>Luật kinh tế</v>
          </cell>
          <cell r="BA73" t="str">
            <v>7340201_2</v>
          </cell>
          <cell r="BB73" t="str">
            <v>Tài chính</v>
          </cell>
          <cell r="BD73" t="str">
            <v>Chưa hoàn thành</v>
          </cell>
          <cell r="BF73" t="str">
            <v>3</v>
          </cell>
          <cell r="BM73" t="str">
            <v>True</v>
          </cell>
          <cell r="BN73" t="str">
            <v>False</v>
          </cell>
          <cell r="BO73" t="str">
            <v>KQTHPT_71_086308000805.pdf</v>
          </cell>
          <cell r="BR73">
            <v>6.2</v>
          </cell>
          <cell r="BS73">
            <v>7.1</v>
          </cell>
          <cell r="BT73">
            <v>6.7</v>
          </cell>
          <cell r="BU73">
            <v>8.1999999999999993</v>
          </cell>
          <cell r="BV73">
            <v>7.6</v>
          </cell>
          <cell r="BW73">
            <v>0</v>
          </cell>
          <cell r="BX73">
            <v>0</v>
          </cell>
          <cell r="BY73">
            <v>7.2</v>
          </cell>
          <cell r="BZ73">
            <v>7.1</v>
          </cell>
          <cell r="CA73">
            <v>8</v>
          </cell>
          <cell r="CB73">
            <v>0</v>
          </cell>
          <cell r="CC73">
            <v>7.3</v>
          </cell>
          <cell r="CD73">
            <v>0</v>
          </cell>
          <cell r="CE73">
            <v>0</v>
          </cell>
          <cell r="CF73">
            <v>0</v>
          </cell>
          <cell r="CG73">
            <v>0</v>
          </cell>
          <cell r="CH73">
            <v>0</v>
          </cell>
          <cell r="CI73">
            <v>0</v>
          </cell>
          <cell r="CJ73">
            <v>0</v>
          </cell>
          <cell r="CK73">
            <v>0</v>
          </cell>
          <cell r="CL73">
            <v>0</v>
          </cell>
          <cell r="CM73">
            <v>7.4</v>
          </cell>
          <cell r="CN73">
            <v>6.6</v>
          </cell>
          <cell r="CO73">
            <v>6.9</v>
          </cell>
          <cell r="CP73">
            <v>8</v>
          </cell>
          <cell r="CQ73">
            <v>7.5</v>
          </cell>
          <cell r="CR73">
            <v>0</v>
          </cell>
          <cell r="CS73">
            <v>0</v>
          </cell>
          <cell r="CT73">
            <v>6.8</v>
          </cell>
          <cell r="CU73">
            <v>7.2</v>
          </cell>
          <cell r="CV73">
            <v>7.6</v>
          </cell>
          <cell r="CW73">
            <v>0</v>
          </cell>
          <cell r="CX73">
            <v>8.1999999999999993</v>
          </cell>
          <cell r="CY73">
            <v>0</v>
          </cell>
          <cell r="CZ73">
            <v>0</v>
          </cell>
          <cell r="DA73">
            <v>0</v>
          </cell>
          <cell r="DB73">
            <v>0</v>
          </cell>
          <cell r="DC73">
            <v>0</v>
          </cell>
          <cell r="DD73">
            <v>0</v>
          </cell>
          <cell r="DE73">
            <v>0</v>
          </cell>
          <cell r="DF73">
            <v>0</v>
          </cell>
          <cell r="DG73">
            <v>0</v>
          </cell>
          <cell r="DH73">
            <v>8.8000000000000007</v>
          </cell>
          <cell r="DI73">
            <v>8.1</v>
          </cell>
          <cell r="DJ73">
            <v>7.2</v>
          </cell>
          <cell r="DK73">
            <v>8.9</v>
          </cell>
          <cell r="DL73">
            <v>8.5</v>
          </cell>
          <cell r="DM73">
            <v>0</v>
          </cell>
          <cell r="DN73">
            <v>0</v>
          </cell>
          <cell r="DO73">
            <v>8.9</v>
          </cell>
          <cell r="DP73">
            <v>7.6</v>
          </cell>
          <cell r="DQ73">
            <v>8.8000000000000007</v>
          </cell>
          <cell r="DR73">
            <v>0</v>
          </cell>
          <cell r="DS73">
            <v>8.8000000000000007</v>
          </cell>
          <cell r="DT73">
            <v>0</v>
          </cell>
          <cell r="DU73">
            <v>0</v>
          </cell>
          <cell r="DV73">
            <v>0</v>
          </cell>
          <cell r="DW73">
            <v>0</v>
          </cell>
          <cell r="DX73">
            <v>0</v>
          </cell>
          <cell r="DY73">
            <v>0</v>
          </cell>
          <cell r="DZ73">
            <v>0</v>
          </cell>
          <cell r="EA73">
            <v>0</v>
          </cell>
          <cell r="EB73">
            <v>0</v>
          </cell>
          <cell r="EC73">
            <v>3.5</v>
          </cell>
          <cell r="ED73">
            <v>5.25</v>
          </cell>
          <cell r="EG73">
            <v>6.5</v>
          </cell>
          <cell r="EJ73">
            <v>3.5</v>
          </cell>
        </row>
        <row r="74">
          <cell r="A74">
            <v>962287654</v>
          </cell>
          <cell r="B74" t="str">
            <v>KSVBS2615007</v>
          </cell>
          <cell r="C74" t="str">
            <v>45</v>
          </cell>
          <cell r="D74" t="str">
            <v>NGUYỄN DUY THANH</v>
          </cell>
          <cell r="E74" t="str">
            <v>0</v>
          </cell>
          <cell r="F74" t="str">
            <v>30/03/2008</v>
          </cell>
          <cell r="G74" t="str">
            <v>nguyendithanhh77223@gmail.com</v>
          </cell>
          <cell r="H74" t="str">
            <v>0962287654</v>
          </cell>
          <cell r="I74" t="str">
            <v>083208000690</v>
          </cell>
          <cell r="J74" t="str">
            <v>34, Ấp Bình Tây 2</v>
          </cell>
          <cell r="K74" t="str">
            <v>KV2-NT</v>
          </cell>
          <cell r="M74" t="str">
            <v>Không có</v>
          </cell>
          <cell r="N74" t="str">
            <v>Kinh</v>
          </cell>
          <cell r="P74" t="str">
            <v>2026</v>
          </cell>
          <cell r="Q74" t="str">
            <v>86006228</v>
          </cell>
          <cell r="R74" t="str">
            <v>Không có</v>
          </cell>
          <cell r="S74" t="str">
            <v>Không có</v>
          </cell>
          <cell r="T74" t="str">
            <v>Không có</v>
          </cell>
          <cell r="U74" t="str">
            <v>500281</v>
          </cell>
          <cell r="V74" t="str">
            <v>D26704076</v>
          </cell>
          <cell r="W74" t="str">
            <v>582.00</v>
          </cell>
          <cell r="X74" t="str">
            <v>570368</v>
          </cell>
          <cell r="Y74" t="str">
            <v>D26G2JUEM</v>
          </cell>
          <cell r="Z74" t="str">
            <v>685.00</v>
          </cell>
          <cell r="AA74" t="str">
            <v>Không có</v>
          </cell>
          <cell r="AF74" t="str">
            <v>86N</v>
          </cell>
          <cell r="AG74" t="str">
            <v>178</v>
          </cell>
          <cell r="AH74" t="str">
            <v>THPT An Thới (Trước 2025)</v>
          </cell>
          <cell r="AI74" t="str">
            <v>86N</v>
          </cell>
          <cell r="AJ74" t="str">
            <v>178</v>
          </cell>
          <cell r="AK74" t="str">
            <v>THPT An Thới (Trước 2025)</v>
          </cell>
          <cell r="AL74" t="str">
            <v>86N</v>
          </cell>
          <cell r="AM74" t="str">
            <v>128</v>
          </cell>
          <cell r="AN74" t="str">
            <v>THPT An Thới</v>
          </cell>
          <cell r="AO74" t="str">
            <v>GDPT2018</v>
          </cell>
          <cell r="AP74" t="str">
            <v>Tốt</v>
          </cell>
          <cell r="AQ74" t="str">
            <v>8.25</v>
          </cell>
          <cell r="AR74" t="str">
            <v>9.29</v>
          </cell>
          <cell r="AS74" t="str">
            <v>9.14</v>
          </cell>
          <cell r="AT74" t="str">
            <v>9.31</v>
          </cell>
          <cell r="AU74" t="str">
            <v>True</v>
          </cell>
          <cell r="AW74" t="str">
            <v>7340301</v>
          </cell>
          <cell r="AX74" t="str">
            <v>Kế toán doanh nghiệp</v>
          </cell>
          <cell r="AY74" t="str">
            <v>7340201_3</v>
          </cell>
          <cell r="AZ74" t="str">
            <v>Thuế</v>
          </cell>
          <cell r="BA74" t="str">
            <v>7220201</v>
          </cell>
          <cell r="BB74" t="str">
            <v>Tiếng Anh thương mại</v>
          </cell>
          <cell r="BC74" t="str">
            <v>phamhuong</v>
          </cell>
          <cell r="BD74" t="str">
            <v>Đã được tiếp nhận</v>
          </cell>
          <cell r="BF74" t="str">
            <v>3</v>
          </cell>
          <cell r="BM74" t="str">
            <v>True</v>
          </cell>
          <cell r="BN74" t="str">
            <v>False</v>
          </cell>
          <cell r="BO74" t="str">
            <v>KQTHPT_72_083208000690.pdf</v>
          </cell>
          <cell r="BP74" t="str">
            <v>KQDGNL_72_083208000690.pdf</v>
          </cell>
          <cell r="BR74">
            <v>9.8000000000000007</v>
          </cell>
          <cell r="BS74">
            <v>9.4</v>
          </cell>
          <cell r="BT74">
            <v>8.6</v>
          </cell>
          <cell r="BU74">
            <v>8.6999999999999993</v>
          </cell>
          <cell r="BV74">
            <v>9.8000000000000007</v>
          </cell>
          <cell r="BW74">
            <v>9.3000000000000007</v>
          </cell>
          <cell r="BX74">
            <v>9.3000000000000007</v>
          </cell>
          <cell r="BY74">
            <v>9</v>
          </cell>
          <cell r="BZ74">
            <v>0</v>
          </cell>
          <cell r="CA74">
            <v>0</v>
          </cell>
          <cell r="CB74">
            <v>0</v>
          </cell>
          <cell r="CC74">
            <v>9.6999999999999993</v>
          </cell>
          <cell r="CD74">
            <v>0</v>
          </cell>
          <cell r="CE74">
            <v>0</v>
          </cell>
          <cell r="CF74">
            <v>0</v>
          </cell>
          <cell r="CG74">
            <v>0</v>
          </cell>
          <cell r="CH74">
            <v>0</v>
          </cell>
          <cell r="CI74">
            <v>0</v>
          </cell>
          <cell r="CJ74">
            <v>0</v>
          </cell>
          <cell r="CK74">
            <v>0</v>
          </cell>
          <cell r="CL74">
            <v>0</v>
          </cell>
          <cell r="CM74">
            <v>9.1999999999999993</v>
          </cell>
          <cell r="CN74">
            <v>8.9</v>
          </cell>
          <cell r="CO74">
            <v>8.4</v>
          </cell>
          <cell r="CP74">
            <v>9.1999999999999993</v>
          </cell>
          <cell r="CQ74">
            <v>9.6</v>
          </cell>
          <cell r="CR74">
            <v>9.3000000000000007</v>
          </cell>
          <cell r="CS74">
            <v>9.1</v>
          </cell>
          <cell r="CT74">
            <v>9.3000000000000007</v>
          </cell>
          <cell r="CU74">
            <v>0</v>
          </cell>
          <cell r="CV74">
            <v>0</v>
          </cell>
          <cell r="CW74">
            <v>0</v>
          </cell>
          <cell r="CX74">
            <v>9.3000000000000007</v>
          </cell>
          <cell r="CY74">
            <v>0</v>
          </cell>
          <cell r="CZ74">
            <v>0</v>
          </cell>
          <cell r="DA74">
            <v>0</v>
          </cell>
          <cell r="DB74">
            <v>0</v>
          </cell>
          <cell r="DC74">
            <v>0</v>
          </cell>
          <cell r="DD74">
            <v>0</v>
          </cell>
          <cell r="DE74">
            <v>0</v>
          </cell>
          <cell r="DF74">
            <v>0</v>
          </cell>
          <cell r="DG74">
            <v>0</v>
          </cell>
          <cell r="DH74">
            <v>9.3000000000000007</v>
          </cell>
          <cell r="DI74">
            <v>9.5</v>
          </cell>
          <cell r="DJ74">
            <v>8.9</v>
          </cell>
          <cell r="DK74">
            <v>9</v>
          </cell>
          <cell r="DL74">
            <v>9.6</v>
          </cell>
          <cell r="DM74">
            <v>9.1</v>
          </cell>
          <cell r="DN74">
            <v>9.3000000000000007</v>
          </cell>
          <cell r="DO74">
            <v>9.3000000000000007</v>
          </cell>
          <cell r="DP74">
            <v>0</v>
          </cell>
          <cell r="DQ74">
            <v>0</v>
          </cell>
          <cell r="DR74">
            <v>0</v>
          </cell>
          <cell r="DS74">
            <v>9.8000000000000007</v>
          </cell>
          <cell r="DT74">
            <v>0</v>
          </cell>
          <cell r="DU74">
            <v>0</v>
          </cell>
          <cell r="DV74">
            <v>0</v>
          </cell>
          <cell r="DW74">
            <v>0</v>
          </cell>
          <cell r="DX74">
            <v>0</v>
          </cell>
          <cell r="DY74">
            <v>0</v>
          </cell>
          <cell r="DZ74">
            <v>0</v>
          </cell>
          <cell r="EA74">
            <v>0</v>
          </cell>
          <cell r="EB74">
            <v>0</v>
          </cell>
          <cell r="EC74">
            <v>9</v>
          </cell>
          <cell r="ED74">
            <v>6.75</v>
          </cell>
          <cell r="EE74">
            <v>3.5</v>
          </cell>
          <cell r="EI74">
            <v>5.75</v>
          </cell>
        </row>
        <row r="75">
          <cell r="A75">
            <v>792392660</v>
          </cell>
          <cell r="B75" t="str">
            <v>KSVBS2622915</v>
          </cell>
          <cell r="C75" t="str">
            <v>67</v>
          </cell>
          <cell r="D75" t="str">
            <v>BÙI KIM TRIỂN</v>
          </cell>
          <cell r="E75" t="str">
            <v>0</v>
          </cell>
          <cell r="F75" t="str">
            <v>18/04/2008</v>
          </cell>
          <cell r="G75" t="str">
            <v>kimtrienbui@gmail.com</v>
          </cell>
          <cell r="H75" t="str">
            <v>0792392660</v>
          </cell>
          <cell r="I75" t="str">
            <v>077208001964</v>
          </cell>
          <cell r="J75" t="str">
            <v>ấp Thanh Long</v>
          </cell>
          <cell r="K75" t="str">
            <v>KV2-NT</v>
          </cell>
          <cell r="M75" t="str">
            <v>Không có</v>
          </cell>
          <cell r="N75" t="str">
            <v>Kinh</v>
          </cell>
          <cell r="P75" t="str">
            <v>2026</v>
          </cell>
          <cell r="Q75" t="str">
            <v>79134235</v>
          </cell>
          <cell r="R75" t="str">
            <v>Không có</v>
          </cell>
          <cell r="S75" t="str">
            <v>Không có</v>
          </cell>
          <cell r="T75" t="str">
            <v>Không có</v>
          </cell>
          <cell r="U75" t="str">
            <v>230695</v>
          </cell>
          <cell r="V75" t="str">
            <v>D26213065</v>
          </cell>
          <cell r="W75" t="str">
            <v>871.00</v>
          </cell>
          <cell r="X75" t="str">
            <v>023625</v>
          </cell>
          <cell r="Y75" t="str">
            <v>D265HATAY</v>
          </cell>
          <cell r="Z75" t="str">
            <v>887.00</v>
          </cell>
          <cell r="AA75" t="str">
            <v>Không có</v>
          </cell>
          <cell r="AF75" t="str">
            <v>79N</v>
          </cell>
          <cell r="AG75" t="str">
            <v>744</v>
          </cell>
          <cell r="AH75" t="str">
            <v>THPT Võ Thị Sáu - Bà Rịa - Vũng Tàu</v>
          </cell>
          <cell r="AI75" t="str">
            <v>79N</v>
          </cell>
          <cell r="AJ75" t="str">
            <v>744</v>
          </cell>
          <cell r="AK75" t="str">
            <v>THPT Võ Thị Sáu - Bà Rịa - Vũng Tàu</v>
          </cell>
          <cell r="AL75" t="str">
            <v>79N</v>
          </cell>
          <cell r="AM75" t="str">
            <v>744</v>
          </cell>
          <cell r="AN75" t="str">
            <v>THPT Võ Thị Sáu - Bà Rịa - Vũng Tàu</v>
          </cell>
          <cell r="AO75" t="str">
            <v>GDPT2018</v>
          </cell>
          <cell r="AP75" t="str">
            <v>Giỏi</v>
          </cell>
          <cell r="AQ75" t="str">
            <v>8.53</v>
          </cell>
          <cell r="AR75" t="str">
            <v>8.47</v>
          </cell>
          <cell r="AS75" t="str">
            <v>8.73</v>
          </cell>
          <cell r="AT75" t="str">
            <v>8.42</v>
          </cell>
          <cell r="AU75" t="str">
            <v>True</v>
          </cell>
          <cell r="AW75" t="str">
            <v>7620114</v>
          </cell>
          <cell r="AX75" t="str">
            <v>Kinh doanh nông nghiệp</v>
          </cell>
          <cell r="AY75" t="str">
            <v>7220201</v>
          </cell>
          <cell r="AZ75" t="str">
            <v>Tiếng Anh thương mại</v>
          </cell>
          <cell r="BC75" t="str">
            <v>phamhuong</v>
          </cell>
          <cell r="BD75" t="str">
            <v>Đã được tiếp nhận</v>
          </cell>
          <cell r="BF75" t="str">
            <v>3</v>
          </cell>
          <cell r="BM75" t="str">
            <v>True</v>
          </cell>
          <cell r="BN75" t="str">
            <v>False</v>
          </cell>
          <cell r="BO75" t="str">
            <v>KQTHPT_73_077208001964.pdf</v>
          </cell>
          <cell r="BP75" t="str">
            <v>KQDGNL_73_077208001964.pdf</v>
          </cell>
          <cell r="BR75">
            <v>8.6</v>
          </cell>
          <cell r="BS75">
            <v>6.8</v>
          </cell>
          <cell r="BT75">
            <v>9.1999999999999993</v>
          </cell>
          <cell r="BU75">
            <v>9.1999999999999993</v>
          </cell>
          <cell r="BV75">
            <v>8.4</v>
          </cell>
          <cell r="BW75">
            <v>0</v>
          </cell>
          <cell r="BX75">
            <v>0</v>
          </cell>
          <cell r="BY75">
            <v>9.5</v>
          </cell>
          <cell r="BZ75">
            <v>7.9</v>
          </cell>
          <cell r="CA75">
            <v>8.1999999999999993</v>
          </cell>
          <cell r="CB75">
            <v>0</v>
          </cell>
          <cell r="CC75">
            <v>8.4</v>
          </cell>
          <cell r="CD75">
            <v>0</v>
          </cell>
          <cell r="CE75">
            <v>0</v>
          </cell>
          <cell r="CF75">
            <v>0</v>
          </cell>
          <cell r="CG75">
            <v>0</v>
          </cell>
          <cell r="CH75">
            <v>0</v>
          </cell>
          <cell r="CI75">
            <v>0</v>
          </cell>
          <cell r="CJ75">
            <v>0</v>
          </cell>
          <cell r="CK75">
            <v>0</v>
          </cell>
          <cell r="CL75">
            <v>0</v>
          </cell>
          <cell r="CM75">
            <v>8.6999999999999993</v>
          </cell>
          <cell r="CN75">
            <v>6.8</v>
          </cell>
          <cell r="CO75">
            <v>9.4</v>
          </cell>
          <cell r="CP75">
            <v>9</v>
          </cell>
          <cell r="CQ75">
            <v>8.6</v>
          </cell>
          <cell r="CR75">
            <v>0</v>
          </cell>
          <cell r="CS75">
            <v>0</v>
          </cell>
          <cell r="CT75">
            <v>9</v>
          </cell>
          <cell r="CU75">
            <v>8.8000000000000007</v>
          </cell>
          <cell r="CV75">
            <v>9.1</v>
          </cell>
          <cell r="CW75">
            <v>0</v>
          </cell>
          <cell r="CX75">
            <v>9.1999999999999993</v>
          </cell>
          <cell r="CY75">
            <v>0</v>
          </cell>
          <cell r="CZ75">
            <v>0</v>
          </cell>
          <cell r="DA75">
            <v>0</v>
          </cell>
          <cell r="DB75">
            <v>0</v>
          </cell>
          <cell r="DC75">
            <v>0</v>
          </cell>
          <cell r="DD75">
            <v>0</v>
          </cell>
          <cell r="DE75">
            <v>0</v>
          </cell>
          <cell r="DF75">
            <v>0</v>
          </cell>
          <cell r="DG75">
            <v>0</v>
          </cell>
          <cell r="DH75">
            <v>9.1999999999999993</v>
          </cell>
          <cell r="DI75">
            <v>7</v>
          </cell>
          <cell r="DJ75">
            <v>9.1</v>
          </cell>
          <cell r="DK75">
            <v>9.1999999999999993</v>
          </cell>
          <cell r="DL75">
            <v>8.4</v>
          </cell>
          <cell r="DM75">
            <v>0</v>
          </cell>
          <cell r="DN75">
            <v>0</v>
          </cell>
          <cell r="DO75">
            <v>8.8000000000000007</v>
          </cell>
          <cell r="DP75">
            <v>7</v>
          </cell>
          <cell r="DQ75">
            <v>8</v>
          </cell>
          <cell r="DR75">
            <v>0</v>
          </cell>
          <cell r="DS75">
            <v>9.1</v>
          </cell>
          <cell r="DT75">
            <v>0</v>
          </cell>
          <cell r="DU75">
            <v>0</v>
          </cell>
          <cell r="DV75">
            <v>0</v>
          </cell>
          <cell r="DW75">
            <v>0</v>
          </cell>
          <cell r="DX75">
            <v>0</v>
          </cell>
          <cell r="DY75">
            <v>0</v>
          </cell>
          <cell r="DZ75">
            <v>0</v>
          </cell>
          <cell r="EA75">
            <v>0</v>
          </cell>
          <cell r="EB75">
            <v>0</v>
          </cell>
          <cell r="EC75">
            <v>8.5</v>
          </cell>
          <cell r="ED75">
            <v>6.75</v>
          </cell>
          <cell r="EE75">
            <v>8</v>
          </cell>
          <cell r="EJ75">
            <v>8.25</v>
          </cell>
        </row>
        <row r="76">
          <cell r="A76">
            <v>769712280</v>
          </cell>
          <cell r="B76" t="str">
            <v>KSVBS2647175</v>
          </cell>
          <cell r="C76" t="str">
            <v>53</v>
          </cell>
          <cell r="D76" t="str">
            <v>MAI HỮU TÀI</v>
          </cell>
          <cell r="E76" t="str">
            <v>0</v>
          </cell>
          <cell r="F76" t="str">
            <v>19/05/2008</v>
          </cell>
          <cell r="G76" t="str">
            <v>epixgoes@gmail.com</v>
          </cell>
          <cell r="H76" t="str">
            <v>0769712280</v>
          </cell>
          <cell r="I76" t="str">
            <v>086208009865</v>
          </cell>
          <cell r="J76" t="str">
            <v>Tổ 27 ấp Hòa An</v>
          </cell>
          <cell r="K76" t="str">
            <v>KV2-NT</v>
          </cell>
          <cell r="M76" t="str">
            <v>Không có</v>
          </cell>
          <cell r="N76" t="str">
            <v>Kinh</v>
          </cell>
          <cell r="P76" t="str">
            <v>2026</v>
          </cell>
          <cell r="Q76" t="str">
            <v>79045946</v>
          </cell>
          <cell r="R76" t="str">
            <v>Không có</v>
          </cell>
          <cell r="S76" t="str">
            <v>Không có</v>
          </cell>
          <cell r="T76" t="str">
            <v>Không có</v>
          </cell>
          <cell r="U76" t="str">
            <v>140102</v>
          </cell>
          <cell r="V76" t="str">
            <v>D26418974</v>
          </cell>
          <cell r="W76" t="str">
            <v>734.00</v>
          </cell>
          <cell r="X76" t="str">
            <v>140917</v>
          </cell>
          <cell r="Y76" t="str">
            <v>D26917315</v>
          </cell>
          <cell r="Z76" t="str">
            <v>872.00</v>
          </cell>
          <cell r="AA76" t="str">
            <v>Không có</v>
          </cell>
          <cell r="AF76" t="str">
            <v>79N</v>
          </cell>
          <cell r="AG76" t="str">
            <v>075</v>
          </cell>
          <cell r="AH76" t="str">
            <v>THPT Võ Trường Toản</v>
          </cell>
          <cell r="AI76" t="str">
            <v>79N</v>
          </cell>
          <cell r="AJ76" t="str">
            <v>075</v>
          </cell>
          <cell r="AK76" t="str">
            <v>THPT Võ Trường Toản</v>
          </cell>
          <cell r="AL76" t="str">
            <v>79N</v>
          </cell>
          <cell r="AM76" t="str">
            <v>075</v>
          </cell>
          <cell r="AN76" t="str">
            <v>THPT Võ Trường Toản</v>
          </cell>
          <cell r="AO76" t="str">
            <v>GDPT2018</v>
          </cell>
          <cell r="AP76" t="str">
            <v>Khá</v>
          </cell>
          <cell r="AQ76" t="str">
            <v>7.44</v>
          </cell>
          <cell r="AR76" t="str">
            <v>6.87</v>
          </cell>
          <cell r="AS76" t="str">
            <v>7.21</v>
          </cell>
          <cell r="AT76" t="str">
            <v>7.78</v>
          </cell>
          <cell r="AU76" t="str">
            <v>True</v>
          </cell>
          <cell r="AW76" t="str">
            <v>7340120</v>
          </cell>
          <cell r="AX76" t="str">
            <v>Kinh doanh quốc tế</v>
          </cell>
          <cell r="AY76" t="str">
            <v>7480107</v>
          </cell>
          <cell r="AZ76" t="str">
            <v>Robot và Trí tuệ nhân tạo (hệ kỹ sư)</v>
          </cell>
          <cell r="BC76" t="str">
            <v>phamhuong</v>
          </cell>
          <cell r="BD76" t="str">
            <v>Đã được tiếp nhận</v>
          </cell>
          <cell r="BF76" t="str">
            <v>3</v>
          </cell>
          <cell r="BM76" t="str">
            <v>True</v>
          </cell>
          <cell r="BN76" t="str">
            <v>False</v>
          </cell>
          <cell r="BO76" t="str">
            <v>KQTHPT_74_086208009865.pdf</v>
          </cell>
          <cell r="BP76" t="str">
            <v>KQDGNL_74_086208009865.pdf</v>
          </cell>
          <cell r="BR76">
            <v>6</v>
          </cell>
          <cell r="BS76">
            <v>5.7</v>
          </cell>
          <cell r="BT76">
            <v>7.6</v>
          </cell>
          <cell r="BU76">
            <v>7.9</v>
          </cell>
          <cell r="BV76">
            <v>5.8</v>
          </cell>
          <cell r="BW76">
            <v>0</v>
          </cell>
          <cell r="BX76">
            <v>0</v>
          </cell>
          <cell r="BY76">
            <v>6.9</v>
          </cell>
          <cell r="BZ76">
            <v>5.6</v>
          </cell>
          <cell r="CA76">
            <v>7.8</v>
          </cell>
          <cell r="CB76">
            <v>0</v>
          </cell>
          <cell r="CC76">
            <v>8.5</v>
          </cell>
          <cell r="CD76">
            <v>0</v>
          </cell>
          <cell r="CE76">
            <v>0</v>
          </cell>
          <cell r="CF76">
            <v>0</v>
          </cell>
          <cell r="CG76">
            <v>0</v>
          </cell>
          <cell r="CH76">
            <v>0</v>
          </cell>
          <cell r="CI76">
            <v>0</v>
          </cell>
          <cell r="CJ76">
            <v>0</v>
          </cell>
          <cell r="CK76">
            <v>0</v>
          </cell>
          <cell r="CL76">
            <v>0</v>
          </cell>
          <cell r="CM76">
            <v>7.1</v>
          </cell>
          <cell r="CN76">
            <v>5.6</v>
          </cell>
          <cell r="CO76">
            <v>7.9</v>
          </cell>
          <cell r="CP76">
            <v>8.9</v>
          </cell>
          <cell r="CQ76">
            <v>6.2</v>
          </cell>
          <cell r="CR76">
            <v>0</v>
          </cell>
          <cell r="CS76">
            <v>0</v>
          </cell>
          <cell r="CT76">
            <v>6.3</v>
          </cell>
          <cell r="CU76">
            <v>6.2</v>
          </cell>
          <cell r="CV76">
            <v>7.9</v>
          </cell>
          <cell r="CW76">
            <v>0</v>
          </cell>
          <cell r="CX76">
            <v>8.8000000000000007</v>
          </cell>
          <cell r="CY76">
            <v>0</v>
          </cell>
          <cell r="CZ76">
            <v>0</v>
          </cell>
          <cell r="DA76">
            <v>0</v>
          </cell>
          <cell r="DB76">
            <v>0</v>
          </cell>
          <cell r="DC76">
            <v>0</v>
          </cell>
          <cell r="DD76">
            <v>0</v>
          </cell>
          <cell r="DE76">
            <v>0</v>
          </cell>
          <cell r="DF76">
            <v>0</v>
          </cell>
          <cell r="DG76">
            <v>0</v>
          </cell>
          <cell r="DH76">
            <v>8.6999999999999993</v>
          </cell>
          <cell r="DI76">
            <v>5.9</v>
          </cell>
          <cell r="DJ76">
            <v>8.6</v>
          </cell>
          <cell r="DK76">
            <v>9.1999999999999993</v>
          </cell>
          <cell r="DL76">
            <v>7.3</v>
          </cell>
          <cell r="DM76">
            <v>0</v>
          </cell>
          <cell r="DN76">
            <v>0</v>
          </cell>
          <cell r="DO76">
            <v>6.8</v>
          </cell>
          <cell r="DP76">
            <v>5.8</v>
          </cell>
          <cell r="DQ76">
            <v>8.9</v>
          </cell>
          <cell r="DR76">
            <v>0</v>
          </cell>
          <cell r="DS76">
            <v>8.8000000000000007</v>
          </cell>
          <cell r="DT76">
            <v>0</v>
          </cell>
          <cell r="DU76">
            <v>0</v>
          </cell>
          <cell r="DV76">
            <v>0</v>
          </cell>
          <cell r="DW76">
            <v>0</v>
          </cell>
          <cell r="DX76">
            <v>0</v>
          </cell>
          <cell r="DY76">
            <v>0</v>
          </cell>
          <cell r="DZ76">
            <v>0</v>
          </cell>
          <cell r="EA76">
            <v>0</v>
          </cell>
          <cell r="EB76">
            <v>0</v>
          </cell>
          <cell r="EC76">
            <v>8</v>
          </cell>
          <cell r="ED76">
            <v>5.75</v>
          </cell>
          <cell r="EE76">
            <v>8.75</v>
          </cell>
          <cell r="EJ76">
            <v>5.5</v>
          </cell>
        </row>
        <row r="77">
          <cell r="A77">
            <v>913332461</v>
          </cell>
          <cell r="B77" t="str">
            <v>KSVBS2644460</v>
          </cell>
          <cell r="C77" t="str">
            <v>47</v>
          </cell>
          <cell r="D77" t="str">
            <v>LÊ VĨNH KHANG</v>
          </cell>
          <cell r="E77" t="str">
            <v>0</v>
          </cell>
          <cell r="F77" t="str">
            <v>13/12/2005</v>
          </cell>
          <cell r="G77" t="str">
            <v>levinhkhang84@gmail.com</v>
          </cell>
          <cell r="H77" t="str">
            <v>0913332461</v>
          </cell>
          <cell r="I77" t="str">
            <v>096205010696</v>
          </cell>
          <cell r="J77" t="str">
            <v>Ấp Cái Rắn A</v>
          </cell>
          <cell r="K77" t="str">
            <v>KV2-NT</v>
          </cell>
          <cell r="L77" t="str">
            <v>02b</v>
          </cell>
          <cell r="M77" t="str">
            <v>02b</v>
          </cell>
          <cell r="N77" t="str">
            <v>Kinh</v>
          </cell>
          <cell r="P77" t="str">
            <v>2023</v>
          </cell>
          <cell r="Q77" t="str">
            <v>92012000</v>
          </cell>
          <cell r="R77" t="str">
            <v>Không có</v>
          </cell>
          <cell r="S77" t="str">
            <v>Không có</v>
          </cell>
          <cell r="T77" t="str">
            <v>Không có</v>
          </cell>
          <cell r="AA77" t="str">
            <v>Không có</v>
          </cell>
          <cell r="AF77" t="str">
            <v>96N</v>
          </cell>
          <cell r="AG77" t="str">
            <v>399</v>
          </cell>
          <cell r="AH77" t="str">
            <v>THPT Phú Hưng</v>
          </cell>
          <cell r="AI77" t="str">
            <v>96N</v>
          </cell>
          <cell r="AJ77" t="str">
            <v>399</v>
          </cell>
          <cell r="AK77" t="str">
            <v>THPT Phú Hưng</v>
          </cell>
          <cell r="AL77" t="str">
            <v>96N</v>
          </cell>
          <cell r="AM77" t="str">
            <v>399</v>
          </cell>
          <cell r="AN77" t="str">
            <v>THPT Phú Hưng</v>
          </cell>
          <cell r="AO77" t="str">
            <v>GDPT2006</v>
          </cell>
          <cell r="AP77" t="str">
            <v>Giỏi</v>
          </cell>
          <cell r="AQ77" t="str">
            <v>0.00</v>
          </cell>
          <cell r="AR77" t="str">
            <v>7.48</v>
          </cell>
          <cell r="AS77" t="str">
            <v>7.18</v>
          </cell>
          <cell r="AT77" t="str">
            <v>8.04</v>
          </cell>
          <cell r="AU77" t="str">
            <v>False</v>
          </cell>
          <cell r="AW77" t="str">
            <v>7340201_1</v>
          </cell>
          <cell r="AX77" t="str">
            <v>Ngân hàng</v>
          </cell>
          <cell r="AY77" t="str">
            <v>7340201_2</v>
          </cell>
          <cell r="AZ77" t="str">
            <v>Tài chính</v>
          </cell>
          <cell r="BA77" t="str">
            <v>7340201_3</v>
          </cell>
          <cell r="BB77" t="str">
            <v>Thuế</v>
          </cell>
          <cell r="BC77" t="str">
            <v>phamhuong</v>
          </cell>
          <cell r="BD77" t="str">
            <v>Đã được tiếp nhận</v>
          </cell>
          <cell r="BE77" t="str">
            <v xml:space="preserve">- Bổ sung học bạ THPT thêm ảnh bìa thông tin học sinh nha e
</v>
          </cell>
          <cell r="BF77" t="str">
            <v>3</v>
          </cell>
          <cell r="BM77" t="str">
            <v>True</v>
          </cell>
          <cell r="BN77" t="str">
            <v>False</v>
          </cell>
          <cell r="BO77" t="str">
            <v>KQTHPT_75_096205010696.pdf</v>
          </cell>
          <cell r="BR77">
            <v>7.1</v>
          </cell>
          <cell r="BS77">
            <v>7.9</v>
          </cell>
          <cell r="BT77">
            <v>6.3</v>
          </cell>
          <cell r="BU77">
            <v>8.5</v>
          </cell>
          <cell r="BV77">
            <v>8.1999999999999993</v>
          </cell>
          <cell r="BW77">
            <v>0</v>
          </cell>
          <cell r="BX77">
            <v>7.4</v>
          </cell>
          <cell r="BY77">
            <v>7.5</v>
          </cell>
          <cell r="BZ77">
            <v>7.7</v>
          </cell>
          <cell r="CA77">
            <v>6.4</v>
          </cell>
          <cell r="CB77">
            <v>7.5</v>
          </cell>
          <cell r="CC77">
            <v>8.1</v>
          </cell>
          <cell r="CD77">
            <v>0</v>
          </cell>
          <cell r="CE77">
            <v>7.1</v>
          </cell>
          <cell r="CF77">
            <v>0</v>
          </cell>
          <cell r="CG77">
            <v>0</v>
          </cell>
          <cell r="CH77">
            <v>0</v>
          </cell>
          <cell r="CI77">
            <v>0</v>
          </cell>
          <cell r="CJ77">
            <v>0</v>
          </cell>
          <cell r="CK77">
            <v>0</v>
          </cell>
          <cell r="CL77">
            <v>0</v>
          </cell>
          <cell r="CM77">
            <v>7.1</v>
          </cell>
          <cell r="CN77">
            <v>6.2</v>
          </cell>
          <cell r="CO77">
            <v>7.6</v>
          </cell>
          <cell r="CP77">
            <v>8.9</v>
          </cell>
          <cell r="CQ77">
            <v>6.5</v>
          </cell>
          <cell r="CR77">
            <v>0</v>
          </cell>
          <cell r="CS77">
            <v>7.5</v>
          </cell>
          <cell r="CT77">
            <v>6</v>
          </cell>
          <cell r="CU77">
            <v>7.2</v>
          </cell>
          <cell r="CV77">
            <v>7</v>
          </cell>
          <cell r="CW77">
            <v>7.8</v>
          </cell>
          <cell r="CX77">
            <v>6.8</v>
          </cell>
          <cell r="CY77">
            <v>0</v>
          </cell>
          <cell r="CZ77">
            <v>7.5</v>
          </cell>
          <cell r="DA77">
            <v>0</v>
          </cell>
          <cell r="DB77">
            <v>0</v>
          </cell>
          <cell r="DC77">
            <v>0</v>
          </cell>
          <cell r="DD77">
            <v>0</v>
          </cell>
          <cell r="DE77">
            <v>0</v>
          </cell>
          <cell r="DF77">
            <v>0</v>
          </cell>
          <cell r="DG77">
            <v>0</v>
          </cell>
          <cell r="DH77">
            <v>8</v>
          </cell>
          <cell r="DI77">
            <v>8</v>
          </cell>
          <cell r="DJ77">
            <v>7.3</v>
          </cell>
          <cell r="DK77">
            <v>9.1999999999999993</v>
          </cell>
          <cell r="DL77">
            <v>8.3000000000000007</v>
          </cell>
          <cell r="DM77">
            <v>0</v>
          </cell>
          <cell r="DN77">
            <v>8.1999999999999993</v>
          </cell>
          <cell r="DO77">
            <v>8.1999999999999993</v>
          </cell>
          <cell r="DP77">
            <v>8.1999999999999993</v>
          </cell>
          <cell r="DQ77">
            <v>7.2</v>
          </cell>
          <cell r="DR77">
            <v>8.4</v>
          </cell>
          <cell r="DS77">
            <v>8</v>
          </cell>
          <cell r="DT77">
            <v>0</v>
          </cell>
          <cell r="DU77">
            <v>7.5</v>
          </cell>
          <cell r="DV77">
            <v>0</v>
          </cell>
          <cell r="DW77">
            <v>0</v>
          </cell>
          <cell r="DX77">
            <v>0</v>
          </cell>
          <cell r="DY77">
            <v>0</v>
          </cell>
          <cell r="DZ77">
            <v>0</v>
          </cell>
          <cell r="EA77">
            <v>0</v>
          </cell>
          <cell r="EB77">
            <v>0</v>
          </cell>
          <cell r="EC77">
            <v>6.25</v>
          </cell>
          <cell r="ED77">
            <v>0</v>
          </cell>
          <cell r="EE77">
            <v>0</v>
          </cell>
          <cell r="EG77">
            <v>0</v>
          </cell>
          <cell r="EI77">
            <v>0</v>
          </cell>
          <cell r="EJ77">
            <v>5.5</v>
          </cell>
          <cell r="EK77">
            <v>6.5</v>
          </cell>
          <cell r="EL77">
            <v>0</v>
          </cell>
          <cell r="EN77">
            <v>0</v>
          </cell>
        </row>
        <row r="78">
          <cell r="A78">
            <v>325243150</v>
          </cell>
          <cell r="B78" t="str">
            <v>KSVBS2643272</v>
          </cell>
          <cell r="C78" t="str">
            <v>63</v>
          </cell>
          <cell r="D78" t="str">
            <v>LÊ NGỌC HÂN</v>
          </cell>
          <cell r="E78" t="str">
            <v>1</v>
          </cell>
          <cell r="F78" t="str">
            <v>01/01/2008</v>
          </cell>
          <cell r="G78" t="str">
            <v>lengochan010108@gmail.com</v>
          </cell>
          <cell r="H78" t="str">
            <v>0325243150</v>
          </cell>
          <cell r="I78" t="str">
            <v>083308010613</v>
          </cell>
          <cell r="J78" t="str">
            <v>326 QL60</v>
          </cell>
          <cell r="K78" t="str">
            <v>KV2-NT</v>
          </cell>
          <cell r="M78" t="str">
            <v>Không có</v>
          </cell>
          <cell r="N78" t="str">
            <v>Kinh</v>
          </cell>
          <cell r="P78" t="str">
            <v>2026</v>
          </cell>
          <cell r="Q78" t="str">
            <v>86004464</v>
          </cell>
          <cell r="R78" t="str">
            <v>Không có</v>
          </cell>
          <cell r="S78" t="str">
            <v>Không có</v>
          </cell>
          <cell r="T78" t="str">
            <v>Không có</v>
          </cell>
          <cell r="AA78" t="str">
            <v>Không có</v>
          </cell>
          <cell r="AF78" t="str">
            <v>86N</v>
          </cell>
          <cell r="AG78" t="str">
            <v>137</v>
          </cell>
          <cell r="AH78" t="str">
            <v>THPT Lê Anh Xuân</v>
          </cell>
          <cell r="AI78" t="str">
            <v>86N</v>
          </cell>
          <cell r="AJ78" t="str">
            <v>137</v>
          </cell>
          <cell r="AK78" t="str">
            <v>THPT Lê Anh Xuân</v>
          </cell>
          <cell r="AL78" t="str">
            <v>86N</v>
          </cell>
          <cell r="AM78" t="str">
            <v>137</v>
          </cell>
          <cell r="AN78" t="str">
            <v>THPT Lê Anh Xuân</v>
          </cell>
          <cell r="AO78" t="str">
            <v>GDPT2018</v>
          </cell>
          <cell r="AP78" t="str">
            <v>Tốt</v>
          </cell>
          <cell r="AQ78" t="str">
            <v>5.71</v>
          </cell>
          <cell r="AR78" t="str">
            <v>7.41</v>
          </cell>
          <cell r="AS78" t="str">
            <v>8.59</v>
          </cell>
          <cell r="AT78" t="str">
            <v>9.02</v>
          </cell>
          <cell r="AU78" t="str">
            <v>False</v>
          </cell>
          <cell r="AW78" t="str">
            <v>7340122</v>
          </cell>
          <cell r="AX78" t="str">
            <v>Thương mại điện tử</v>
          </cell>
          <cell r="AY78" t="str">
            <v>7340120</v>
          </cell>
          <cell r="AZ78" t="str">
            <v>Kinh doanh quốc tế</v>
          </cell>
          <cell r="BC78" t="str">
            <v>phamhuong</v>
          </cell>
          <cell r="BD78" t="str">
            <v>Đã được tiếp nhận</v>
          </cell>
          <cell r="BF78" t="str">
            <v>3</v>
          </cell>
          <cell r="BM78" t="str">
            <v>True</v>
          </cell>
          <cell r="BN78" t="str">
            <v>True</v>
          </cell>
          <cell r="BO78" t="str">
            <v>KQTHPT_76_083308010613.pdf</v>
          </cell>
          <cell r="BQ78" t="str">
            <v>KQVSAT_76_083308010613.pdf</v>
          </cell>
          <cell r="BR78">
            <v>7.4</v>
          </cell>
          <cell r="BS78">
            <v>5.6</v>
          </cell>
          <cell r="BT78">
            <v>6.6</v>
          </cell>
          <cell r="BU78">
            <v>8.4</v>
          </cell>
          <cell r="BV78">
            <v>7.8</v>
          </cell>
          <cell r="BW78">
            <v>0</v>
          </cell>
          <cell r="BX78">
            <v>0</v>
          </cell>
          <cell r="BY78">
            <v>6.6</v>
          </cell>
          <cell r="BZ78">
            <v>7.8</v>
          </cell>
          <cell r="CA78">
            <v>8.1</v>
          </cell>
          <cell r="CB78">
            <v>8.4</v>
          </cell>
          <cell r="CC78">
            <v>0</v>
          </cell>
          <cell r="CD78">
            <v>0</v>
          </cell>
          <cell r="CE78">
            <v>0</v>
          </cell>
          <cell r="CF78">
            <v>0</v>
          </cell>
          <cell r="CG78">
            <v>0</v>
          </cell>
          <cell r="CH78">
            <v>0</v>
          </cell>
          <cell r="CI78">
            <v>0</v>
          </cell>
          <cell r="CJ78">
            <v>0</v>
          </cell>
          <cell r="CK78">
            <v>0</v>
          </cell>
          <cell r="CL78">
            <v>0</v>
          </cell>
          <cell r="CM78">
            <v>8.3000000000000007</v>
          </cell>
          <cell r="CN78">
            <v>6.9</v>
          </cell>
          <cell r="CO78">
            <v>8</v>
          </cell>
          <cell r="CP78">
            <v>9.6</v>
          </cell>
          <cell r="CQ78">
            <v>8.8000000000000007</v>
          </cell>
          <cell r="CR78">
            <v>0</v>
          </cell>
          <cell r="CS78">
            <v>0</v>
          </cell>
          <cell r="CT78">
            <v>9.1</v>
          </cell>
          <cell r="CU78">
            <v>7.9</v>
          </cell>
          <cell r="CV78">
            <v>9.3000000000000007</v>
          </cell>
          <cell r="CW78">
            <v>9.4</v>
          </cell>
          <cell r="CX78">
            <v>0</v>
          </cell>
          <cell r="CY78">
            <v>0</v>
          </cell>
          <cell r="CZ78">
            <v>0</v>
          </cell>
          <cell r="DA78">
            <v>0</v>
          </cell>
          <cell r="DB78">
            <v>0</v>
          </cell>
          <cell r="DC78">
            <v>0</v>
          </cell>
          <cell r="DD78">
            <v>0</v>
          </cell>
          <cell r="DE78">
            <v>0</v>
          </cell>
          <cell r="DF78">
            <v>0</v>
          </cell>
          <cell r="DG78">
            <v>0</v>
          </cell>
          <cell r="DH78">
            <v>9.3000000000000007</v>
          </cell>
          <cell r="DI78">
            <v>6.8</v>
          </cell>
          <cell r="DJ78">
            <v>7.4</v>
          </cell>
          <cell r="DK78">
            <v>10</v>
          </cell>
          <cell r="DL78">
            <v>9.5</v>
          </cell>
          <cell r="DM78">
            <v>0</v>
          </cell>
          <cell r="DN78">
            <v>0</v>
          </cell>
          <cell r="DO78">
            <v>9.3000000000000007</v>
          </cell>
          <cell r="DP78">
            <v>9.1999999999999993</v>
          </cell>
          <cell r="DQ78">
            <v>9.8000000000000007</v>
          </cell>
          <cell r="DR78">
            <v>9.9</v>
          </cell>
          <cell r="DS78">
            <v>0</v>
          </cell>
          <cell r="DT78">
            <v>0</v>
          </cell>
          <cell r="DU78">
            <v>0</v>
          </cell>
          <cell r="DV78">
            <v>0</v>
          </cell>
          <cell r="DW78">
            <v>0</v>
          </cell>
          <cell r="DX78">
            <v>0</v>
          </cell>
          <cell r="DY78">
            <v>0</v>
          </cell>
          <cell r="DZ78">
            <v>0</v>
          </cell>
          <cell r="EA78">
            <v>0</v>
          </cell>
          <cell r="EB78">
            <v>0</v>
          </cell>
          <cell r="EC78">
            <v>6.75</v>
          </cell>
          <cell r="ED78">
            <v>5</v>
          </cell>
          <cell r="EJ78">
            <v>4.75</v>
          </cell>
          <cell r="EK78">
            <v>6.35</v>
          </cell>
          <cell r="EW78">
            <v>72.5</v>
          </cell>
          <cell r="FB78">
            <v>91</v>
          </cell>
          <cell r="FC78">
            <v>63.5</v>
          </cell>
        </row>
        <row r="79">
          <cell r="A79">
            <v>327138283</v>
          </cell>
          <cell r="B79" t="str">
            <v>KSVBS2615477</v>
          </cell>
          <cell r="C79" t="str">
            <v>60</v>
          </cell>
          <cell r="D79" t="str">
            <v>NGUYỄN MAI KHANH</v>
          </cell>
          <cell r="E79" t="str">
            <v>1</v>
          </cell>
          <cell r="F79" t="str">
            <v>02/01/2008</v>
          </cell>
          <cell r="G79" t="str">
            <v>thanhnam08071995@gmail.com</v>
          </cell>
          <cell r="H79" t="str">
            <v>0327138283</v>
          </cell>
          <cell r="I79" t="str">
            <v>079308028343</v>
          </cell>
          <cell r="J79" t="str">
            <v>78 đường 652</v>
          </cell>
          <cell r="K79" t="str">
            <v>KV3</v>
          </cell>
          <cell r="M79" t="str">
            <v>Không có</v>
          </cell>
          <cell r="N79" t="str">
            <v>Kinh</v>
          </cell>
          <cell r="P79" t="str">
            <v>2026</v>
          </cell>
          <cell r="Q79" t="str">
            <v>79007817</v>
          </cell>
          <cell r="R79" t="str">
            <v>Không có</v>
          </cell>
          <cell r="S79" t="str">
            <v>Không có</v>
          </cell>
          <cell r="T79" t="str">
            <v>Không có</v>
          </cell>
          <cell r="AA79" t="str">
            <v>Không có</v>
          </cell>
          <cell r="AF79" t="str">
            <v>79N</v>
          </cell>
          <cell r="AG79" t="str">
            <v>044</v>
          </cell>
          <cell r="AH79" t="str">
            <v>THPT Nguyễn Thị Diệu</v>
          </cell>
          <cell r="AI79" t="str">
            <v>79N</v>
          </cell>
          <cell r="AJ79" t="str">
            <v>044</v>
          </cell>
          <cell r="AK79" t="str">
            <v>THPT Nguyễn Thị Diệu</v>
          </cell>
          <cell r="AL79" t="str">
            <v>79N</v>
          </cell>
          <cell r="AM79" t="str">
            <v>044</v>
          </cell>
          <cell r="AN79" t="str">
            <v>THPT Nguyễn Thị Diệu</v>
          </cell>
          <cell r="AO79" t="str">
            <v>GDPT2018</v>
          </cell>
          <cell r="AP79" t="str">
            <v>Đạt</v>
          </cell>
          <cell r="AQ79" t="str">
            <v>8.01</v>
          </cell>
          <cell r="AR79" t="str">
            <v>6.51</v>
          </cell>
          <cell r="AS79" t="str">
            <v>7.61</v>
          </cell>
          <cell r="AT79" t="str">
            <v>8.01</v>
          </cell>
          <cell r="AU79" t="str">
            <v>False</v>
          </cell>
          <cell r="AW79" t="str">
            <v>7340122</v>
          </cell>
          <cell r="AX79" t="str">
            <v>Thương mại điện tử</v>
          </cell>
          <cell r="AY79" t="str">
            <v>7620114</v>
          </cell>
          <cell r="AZ79" t="str">
            <v>Kinh doanh nông nghiệp</v>
          </cell>
          <cell r="BA79" t="str">
            <v>7220201</v>
          </cell>
          <cell r="BB79" t="str">
            <v>Tiếng Anh thương mại</v>
          </cell>
          <cell r="BC79" t="str">
            <v>phamhuong</v>
          </cell>
          <cell r="BD79" t="str">
            <v>Đã được tiếp nhận</v>
          </cell>
          <cell r="BF79" t="str">
            <v>3</v>
          </cell>
          <cell r="BM79" t="str">
            <v>True</v>
          </cell>
          <cell r="BN79" t="str">
            <v>False</v>
          </cell>
          <cell r="BO79" t="str">
            <v>KQTHPT_77_079308028343.pdf</v>
          </cell>
          <cell r="BR79">
            <v>5.6</v>
          </cell>
          <cell r="BS79">
            <v>7</v>
          </cell>
          <cell r="BT79">
            <v>5.0999999999999996</v>
          </cell>
          <cell r="BU79">
            <v>6.7</v>
          </cell>
          <cell r="BV79">
            <v>6.1</v>
          </cell>
          <cell r="BW79">
            <v>7.8</v>
          </cell>
          <cell r="BX79">
            <v>7</v>
          </cell>
          <cell r="BY79">
            <v>0</v>
          </cell>
          <cell r="BZ79">
            <v>6.6</v>
          </cell>
          <cell r="CA79">
            <v>0</v>
          </cell>
          <cell r="CB79">
            <v>6.7</v>
          </cell>
          <cell r="CC79">
            <v>0</v>
          </cell>
          <cell r="CD79">
            <v>0</v>
          </cell>
          <cell r="CE79">
            <v>0</v>
          </cell>
          <cell r="CF79">
            <v>0</v>
          </cell>
          <cell r="CG79">
            <v>0</v>
          </cell>
          <cell r="CH79">
            <v>0</v>
          </cell>
          <cell r="CI79">
            <v>0</v>
          </cell>
          <cell r="CJ79">
            <v>0</v>
          </cell>
          <cell r="CK79">
            <v>0</v>
          </cell>
          <cell r="CL79">
            <v>0</v>
          </cell>
          <cell r="CM79">
            <v>5.7</v>
          </cell>
          <cell r="CN79">
            <v>7.3</v>
          </cell>
          <cell r="CO79">
            <v>7.1</v>
          </cell>
          <cell r="CP79">
            <v>8.4</v>
          </cell>
          <cell r="CQ79">
            <v>8.4</v>
          </cell>
          <cell r="CR79">
            <v>8.1</v>
          </cell>
          <cell r="CS79">
            <v>8.4</v>
          </cell>
          <cell r="CT79">
            <v>0</v>
          </cell>
          <cell r="CU79">
            <v>6.1</v>
          </cell>
          <cell r="CV79">
            <v>0</v>
          </cell>
          <cell r="CW79">
            <v>9</v>
          </cell>
          <cell r="CX79">
            <v>0</v>
          </cell>
          <cell r="CY79">
            <v>0</v>
          </cell>
          <cell r="CZ79">
            <v>0</v>
          </cell>
          <cell r="DA79">
            <v>0</v>
          </cell>
          <cell r="DB79">
            <v>0</v>
          </cell>
          <cell r="DC79">
            <v>0</v>
          </cell>
          <cell r="DD79">
            <v>0</v>
          </cell>
          <cell r="DE79">
            <v>0</v>
          </cell>
          <cell r="DF79">
            <v>0</v>
          </cell>
          <cell r="DG79">
            <v>0</v>
          </cell>
          <cell r="DH79">
            <v>7.4</v>
          </cell>
          <cell r="DI79">
            <v>7.7</v>
          </cell>
          <cell r="DJ79">
            <v>7.9</v>
          </cell>
          <cell r="DK79">
            <v>9.3000000000000007</v>
          </cell>
          <cell r="DL79">
            <v>7.7</v>
          </cell>
          <cell r="DM79">
            <v>8.8000000000000007</v>
          </cell>
          <cell r="DN79">
            <v>8.4</v>
          </cell>
          <cell r="DO79">
            <v>0</v>
          </cell>
          <cell r="DP79">
            <v>5.6</v>
          </cell>
          <cell r="DQ79">
            <v>0</v>
          </cell>
          <cell r="DR79">
            <v>9.3000000000000007</v>
          </cell>
          <cell r="DS79">
            <v>0</v>
          </cell>
          <cell r="DT79">
            <v>0</v>
          </cell>
          <cell r="DU79">
            <v>0</v>
          </cell>
          <cell r="DV79">
            <v>0</v>
          </cell>
          <cell r="DW79">
            <v>0</v>
          </cell>
          <cell r="DX79">
            <v>0</v>
          </cell>
          <cell r="DY79">
            <v>0</v>
          </cell>
          <cell r="DZ79">
            <v>0</v>
          </cell>
          <cell r="EA79">
            <v>0</v>
          </cell>
          <cell r="EB79">
            <v>0</v>
          </cell>
          <cell r="EC79">
            <v>5.25</v>
          </cell>
          <cell r="ED79">
            <v>6</v>
          </cell>
          <cell r="EE79">
            <v>5</v>
          </cell>
          <cell r="EH79">
            <v>5.6</v>
          </cell>
        </row>
        <row r="80">
          <cell r="A80">
            <v>0</v>
          </cell>
          <cell r="D80" t="str">
            <v>NGUYEN THI HANH DUYEN</v>
          </cell>
          <cell r="E80" t="str">
            <v>0</v>
          </cell>
          <cell r="F80" t="str">
            <v>14/10/2005</v>
          </cell>
          <cell r="G80" t="str">
            <v>nguyenthihanhduyen4564@gmail.com</v>
          </cell>
          <cell r="I80" t="str">
            <v>080305003516</v>
          </cell>
          <cell r="BD80" t="str">
            <v>Chưa hoàn thành</v>
          </cell>
          <cell r="BF80" t="str">
            <v>3</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v>0</v>
          </cell>
          <cell r="DU80">
            <v>0</v>
          </cell>
          <cell r="DV80">
            <v>0</v>
          </cell>
          <cell r="DW80">
            <v>0</v>
          </cell>
          <cell r="DX80">
            <v>0</v>
          </cell>
          <cell r="DY80">
            <v>0</v>
          </cell>
          <cell r="DZ80">
            <v>0</v>
          </cell>
          <cell r="EA80">
            <v>0</v>
          </cell>
          <cell r="EB80">
            <v>0</v>
          </cell>
        </row>
        <row r="81">
          <cell r="A81">
            <v>859677669</v>
          </cell>
          <cell r="B81" t="str">
            <v>KSVBS2618146</v>
          </cell>
          <cell r="C81" t="str">
            <v>66</v>
          </cell>
          <cell r="D81" t="str">
            <v>NGUYỄN PHÚC NGUYÊN</v>
          </cell>
          <cell r="E81" t="str">
            <v>0</v>
          </cell>
          <cell r="F81" t="str">
            <v>15/04/2008</v>
          </cell>
          <cell r="G81" t="str">
            <v>nguyennguyen.31261570481@st.ueh.edu.vn</v>
          </cell>
          <cell r="H81" t="str">
            <v>0859677669</v>
          </cell>
          <cell r="I81" t="str">
            <v>087208000775</v>
          </cell>
          <cell r="J81" t="str">
            <v>251C,ấp Vĩnh Thạnh, Quốc lộ 80</v>
          </cell>
          <cell r="K81" t="str">
            <v>KV2-NT</v>
          </cell>
          <cell r="M81" t="str">
            <v>Không có</v>
          </cell>
          <cell r="N81" t="str">
            <v>Kinh</v>
          </cell>
          <cell r="P81" t="str">
            <v>2026</v>
          </cell>
          <cell r="Q81" t="str">
            <v>8201335</v>
          </cell>
          <cell r="R81" t="str">
            <v>Không có</v>
          </cell>
          <cell r="S81" t="str">
            <v>Không có</v>
          </cell>
          <cell r="T81" t="str">
            <v>Không có</v>
          </cell>
          <cell r="AA81" t="str">
            <v>Không có</v>
          </cell>
          <cell r="AF81" t="str">
            <v>87N</v>
          </cell>
          <cell r="AG81" t="str">
            <v>319</v>
          </cell>
          <cell r="AH81" t="str">
            <v>THPT Lấp Vò 1</v>
          </cell>
          <cell r="AI81" t="str">
            <v>87N</v>
          </cell>
          <cell r="AJ81" t="str">
            <v>319</v>
          </cell>
          <cell r="AK81" t="str">
            <v>THPT Lấp Vò 1</v>
          </cell>
          <cell r="AL81" t="str">
            <v>87N</v>
          </cell>
          <cell r="AM81" t="str">
            <v>319</v>
          </cell>
          <cell r="AN81" t="str">
            <v>THPT Lấp Vò 1</v>
          </cell>
          <cell r="AO81" t="str">
            <v>GDPT2018</v>
          </cell>
          <cell r="AP81" t="str">
            <v>Giỏi</v>
          </cell>
          <cell r="AQ81" t="str">
            <v>8.40</v>
          </cell>
          <cell r="AR81" t="str">
            <v>8.01</v>
          </cell>
          <cell r="AS81" t="str">
            <v>7.89</v>
          </cell>
          <cell r="AT81" t="str">
            <v>8.50</v>
          </cell>
          <cell r="AU81" t="str">
            <v>False</v>
          </cell>
          <cell r="AW81" t="str">
            <v>7220201</v>
          </cell>
          <cell r="AX81" t="str">
            <v>Tiếng Anh thương mại</v>
          </cell>
          <cell r="AY81" t="str">
            <v>7480107</v>
          </cell>
          <cell r="AZ81" t="str">
            <v>Robot và Trí tuệ nhân tạo (hệ kỹ sư)</v>
          </cell>
          <cell r="BA81" t="str">
            <v>7480201</v>
          </cell>
          <cell r="BB81" t="str">
            <v>Công nghệ và đổi mới sáng tạo</v>
          </cell>
          <cell r="BC81" t="str">
            <v>phamhuong</v>
          </cell>
          <cell r="BD81" t="str">
            <v>Đã được tiếp nhận</v>
          </cell>
          <cell r="BF81" t="str">
            <v>3</v>
          </cell>
          <cell r="BM81" t="str">
            <v>True</v>
          </cell>
          <cell r="BN81" t="str">
            <v>False</v>
          </cell>
          <cell r="BO81" t="str">
            <v>KQTHPT_79_087208000775.pdf</v>
          </cell>
          <cell r="BR81">
            <v>6.8</v>
          </cell>
          <cell r="BS81">
            <v>8.6</v>
          </cell>
          <cell r="BT81">
            <v>8.3000000000000007</v>
          </cell>
          <cell r="BU81">
            <v>8.3000000000000007</v>
          </cell>
          <cell r="BV81">
            <v>8.6</v>
          </cell>
          <cell r="BW81">
            <v>7.8</v>
          </cell>
          <cell r="BX81">
            <v>8.1</v>
          </cell>
          <cell r="BY81">
            <v>7.6</v>
          </cell>
          <cell r="BZ81">
            <v>0</v>
          </cell>
          <cell r="CA81">
            <v>0</v>
          </cell>
          <cell r="CB81">
            <v>8</v>
          </cell>
          <cell r="CC81">
            <v>0</v>
          </cell>
          <cell r="CD81">
            <v>0</v>
          </cell>
          <cell r="CE81">
            <v>0</v>
          </cell>
          <cell r="CF81">
            <v>0</v>
          </cell>
          <cell r="CG81">
            <v>0</v>
          </cell>
          <cell r="CH81">
            <v>0</v>
          </cell>
          <cell r="CI81">
            <v>0</v>
          </cell>
          <cell r="CJ81">
            <v>0</v>
          </cell>
          <cell r="CK81">
            <v>0</v>
          </cell>
          <cell r="CL81">
            <v>0</v>
          </cell>
          <cell r="CM81">
            <v>7.7</v>
          </cell>
          <cell r="CN81">
            <v>8.1</v>
          </cell>
          <cell r="CO81">
            <v>8.4</v>
          </cell>
          <cell r="CP81">
            <v>7.9</v>
          </cell>
          <cell r="CQ81">
            <v>8.1</v>
          </cell>
          <cell r="CR81">
            <v>8.5</v>
          </cell>
          <cell r="CS81">
            <v>6.9</v>
          </cell>
          <cell r="CT81">
            <v>6.5</v>
          </cell>
          <cell r="CU81">
            <v>0</v>
          </cell>
          <cell r="CV81">
            <v>0</v>
          </cell>
          <cell r="CW81">
            <v>8.9</v>
          </cell>
          <cell r="CX81">
            <v>0</v>
          </cell>
          <cell r="CY81">
            <v>0</v>
          </cell>
          <cell r="CZ81">
            <v>0</v>
          </cell>
          <cell r="DA81">
            <v>0</v>
          </cell>
          <cell r="DB81">
            <v>0</v>
          </cell>
          <cell r="DC81">
            <v>0</v>
          </cell>
          <cell r="DD81">
            <v>0</v>
          </cell>
          <cell r="DE81">
            <v>0</v>
          </cell>
          <cell r="DF81">
            <v>0</v>
          </cell>
          <cell r="DG81">
            <v>0</v>
          </cell>
          <cell r="DH81">
            <v>9</v>
          </cell>
          <cell r="DI81">
            <v>7.5</v>
          </cell>
          <cell r="DJ81">
            <v>8.6</v>
          </cell>
          <cell r="DK81">
            <v>9.5</v>
          </cell>
          <cell r="DL81">
            <v>7.7</v>
          </cell>
          <cell r="DM81">
            <v>0</v>
          </cell>
          <cell r="DN81">
            <v>9.3000000000000007</v>
          </cell>
          <cell r="DO81">
            <v>8.1</v>
          </cell>
          <cell r="DP81">
            <v>0</v>
          </cell>
          <cell r="DQ81">
            <v>0</v>
          </cell>
          <cell r="DR81">
            <v>8.3000000000000007</v>
          </cell>
          <cell r="DS81">
            <v>0</v>
          </cell>
          <cell r="DT81">
            <v>0</v>
          </cell>
          <cell r="DU81">
            <v>0</v>
          </cell>
          <cell r="DV81">
            <v>0</v>
          </cell>
          <cell r="DW81">
            <v>0</v>
          </cell>
          <cell r="DX81">
            <v>0</v>
          </cell>
          <cell r="DY81">
            <v>0</v>
          </cell>
          <cell r="DZ81">
            <v>0</v>
          </cell>
          <cell r="EA81">
            <v>0</v>
          </cell>
          <cell r="EB81">
            <v>0</v>
          </cell>
          <cell r="EC81">
            <v>4</v>
          </cell>
          <cell r="ED81">
            <v>6.75</v>
          </cell>
          <cell r="EE81">
            <v>4.25</v>
          </cell>
          <cell r="EG81">
            <v>8.25</v>
          </cell>
        </row>
        <row r="82">
          <cell r="A82">
            <v>398191463</v>
          </cell>
          <cell r="D82" t="str">
            <v>TRẦN HUỲNH NGỌC DIỆP</v>
          </cell>
          <cell r="E82" t="str">
            <v>1</v>
          </cell>
          <cell r="F82" t="str">
            <v>08/02/2008</v>
          </cell>
          <cell r="G82" t="str">
            <v>tranhuynhngocdiepbt@gmail.com</v>
          </cell>
          <cell r="H82" t="str">
            <v>0398191463</v>
          </cell>
          <cell r="I82" t="str">
            <v>083308005001</v>
          </cell>
          <cell r="J82" t="str">
            <v>280, ấp Phú Đông 1</v>
          </cell>
          <cell r="K82" t="str">
            <v>KV2-NT</v>
          </cell>
          <cell r="M82" t="str">
            <v>Không có</v>
          </cell>
          <cell r="N82" t="str">
            <v>Kinh</v>
          </cell>
          <cell r="P82" t="str">
            <v>2026</v>
          </cell>
          <cell r="Q82" t="str">
            <v>86005971</v>
          </cell>
          <cell r="R82" t="str">
            <v>Không có</v>
          </cell>
          <cell r="S82" t="str">
            <v>Không có</v>
          </cell>
          <cell r="T82" t="str">
            <v>Không có</v>
          </cell>
          <cell r="AA82" t="str">
            <v>Không có</v>
          </cell>
          <cell r="AF82" t="str">
            <v>86N</v>
          </cell>
          <cell r="AG82" t="str">
            <v>179</v>
          </cell>
          <cell r="AH82" t="str">
            <v>THPT Ca Văn Thỉnh (Trước 2025)</v>
          </cell>
          <cell r="AI82" t="str">
            <v>86N</v>
          </cell>
          <cell r="AJ82" t="str">
            <v>179</v>
          </cell>
          <cell r="AK82" t="str">
            <v>THPT Ca Văn Thỉnh (Trước 2025)</v>
          </cell>
          <cell r="AL82" t="str">
            <v>86N</v>
          </cell>
          <cell r="AM82" t="str">
            <v>127</v>
          </cell>
          <cell r="AN82" t="str">
            <v>THPT Ca Văn Thỉnh</v>
          </cell>
          <cell r="AO82" t="str">
            <v>GDPT2018</v>
          </cell>
          <cell r="AP82" t="str">
            <v>Tốt</v>
          </cell>
          <cell r="AQ82" t="str">
            <v>6.75</v>
          </cell>
          <cell r="AR82" t="str">
            <v>8.50</v>
          </cell>
          <cell r="AS82" t="str">
            <v>8.87</v>
          </cell>
          <cell r="AT82" t="str">
            <v>8.90</v>
          </cell>
          <cell r="AU82" t="str">
            <v>False</v>
          </cell>
          <cell r="AW82" t="str">
            <v>7340201_1</v>
          </cell>
          <cell r="AX82" t="str">
            <v>Ngân hàng</v>
          </cell>
          <cell r="BD82" t="str">
            <v>Chưa hoàn thành</v>
          </cell>
          <cell r="BF82" t="str">
            <v>3</v>
          </cell>
          <cell r="BM82" t="str">
            <v>True</v>
          </cell>
          <cell r="BN82" t="str">
            <v>True</v>
          </cell>
          <cell r="BR82">
            <v>9</v>
          </cell>
          <cell r="BS82">
            <v>8</v>
          </cell>
          <cell r="BT82">
            <v>8.5</v>
          </cell>
          <cell r="BU82">
            <v>9.1999999999999993</v>
          </cell>
          <cell r="BV82">
            <v>8.3000000000000007</v>
          </cell>
          <cell r="BW82">
            <v>0</v>
          </cell>
          <cell r="BX82">
            <v>0</v>
          </cell>
          <cell r="BY82">
            <v>9.4</v>
          </cell>
          <cell r="BZ82">
            <v>7.6</v>
          </cell>
          <cell r="CA82">
            <v>8.6999999999999993</v>
          </cell>
          <cell r="CB82">
            <v>0</v>
          </cell>
          <cell r="CC82">
            <v>7.8</v>
          </cell>
          <cell r="CD82">
            <v>0</v>
          </cell>
          <cell r="CE82">
            <v>0</v>
          </cell>
          <cell r="CF82">
            <v>0</v>
          </cell>
          <cell r="CG82">
            <v>0</v>
          </cell>
          <cell r="CH82">
            <v>0</v>
          </cell>
          <cell r="CI82">
            <v>0</v>
          </cell>
          <cell r="CJ82">
            <v>0</v>
          </cell>
          <cell r="CK82">
            <v>0</v>
          </cell>
          <cell r="CL82">
            <v>0</v>
          </cell>
          <cell r="CM82">
            <v>8.8000000000000007</v>
          </cell>
          <cell r="CN82">
            <v>7.8</v>
          </cell>
          <cell r="CO82">
            <v>8.1999999999999993</v>
          </cell>
          <cell r="CP82">
            <v>9.5</v>
          </cell>
          <cell r="CQ82">
            <v>8.6</v>
          </cell>
          <cell r="CR82">
            <v>0</v>
          </cell>
          <cell r="CS82">
            <v>0</v>
          </cell>
          <cell r="CT82">
            <v>9.4</v>
          </cell>
          <cell r="CU82">
            <v>9.6</v>
          </cell>
          <cell r="CV82">
            <v>8.5</v>
          </cell>
          <cell r="CW82">
            <v>0</v>
          </cell>
          <cell r="CX82">
            <v>9.4</v>
          </cell>
          <cell r="CY82">
            <v>0</v>
          </cell>
          <cell r="CZ82">
            <v>0</v>
          </cell>
          <cell r="DA82">
            <v>0</v>
          </cell>
          <cell r="DB82">
            <v>0</v>
          </cell>
          <cell r="DC82">
            <v>0</v>
          </cell>
          <cell r="DD82">
            <v>0</v>
          </cell>
          <cell r="DE82">
            <v>0</v>
          </cell>
          <cell r="DF82">
            <v>0</v>
          </cell>
          <cell r="DG82">
            <v>0</v>
          </cell>
          <cell r="DH82">
            <v>8.5</v>
          </cell>
          <cell r="DI82">
            <v>8.6999999999999993</v>
          </cell>
          <cell r="DJ82">
            <v>7.9</v>
          </cell>
          <cell r="DK82">
            <v>9</v>
          </cell>
          <cell r="DL82">
            <v>9.1999999999999993</v>
          </cell>
          <cell r="DM82">
            <v>0</v>
          </cell>
          <cell r="DN82">
            <v>0</v>
          </cell>
          <cell r="DO82">
            <v>9.1999999999999993</v>
          </cell>
          <cell r="DP82">
            <v>9.4</v>
          </cell>
          <cell r="DQ82">
            <v>9.1</v>
          </cell>
          <cell r="DR82">
            <v>0</v>
          </cell>
          <cell r="DS82">
            <v>9.1</v>
          </cell>
          <cell r="DT82">
            <v>0</v>
          </cell>
          <cell r="DU82">
            <v>0</v>
          </cell>
          <cell r="DV82">
            <v>0</v>
          </cell>
          <cell r="DW82">
            <v>0</v>
          </cell>
          <cell r="DX82">
            <v>0</v>
          </cell>
          <cell r="DY82">
            <v>0</v>
          </cell>
          <cell r="DZ82">
            <v>0</v>
          </cell>
          <cell r="EA82">
            <v>0</v>
          </cell>
          <cell r="EB82">
            <v>0</v>
          </cell>
          <cell r="EC82">
            <v>5.5</v>
          </cell>
          <cell r="ED82">
            <v>4.5</v>
          </cell>
          <cell r="EE82">
            <v>2.75</v>
          </cell>
          <cell r="EJ82">
            <v>6</v>
          </cell>
          <cell r="EW82">
            <v>95</v>
          </cell>
          <cell r="EX82">
            <v>90.5</v>
          </cell>
          <cell r="EY82">
            <v>47</v>
          </cell>
          <cell r="FB82">
            <v>91</v>
          </cell>
        </row>
        <row r="83">
          <cell r="A83">
            <v>369562288</v>
          </cell>
          <cell r="B83" t="str">
            <v>KSVBS2605793</v>
          </cell>
          <cell r="C83" t="str">
            <v>50</v>
          </cell>
          <cell r="D83" t="str">
            <v>NGÔ THỊ ANH THƯ</v>
          </cell>
          <cell r="E83" t="str">
            <v>1</v>
          </cell>
          <cell r="F83" t="str">
            <v>25/06/2008</v>
          </cell>
          <cell r="G83" t="str">
            <v>panh07787@gmail.com</v>
          </cell>
          <cell r="H83" t="str">
            <v>0369562288</v>
          </cell>
          <cell r="I83" t="str">
            <v>086308007620</v>
          </cell>
          <cell r="J83" t="str">
            <v xml:space="preserve">Số Nhà 298, Khóm Mỹ Lợi </v>
          </cell>
          <cell r="K83" t="str">
            <v>KV2-NT</v>
          </cell>
          <cell r="M83" t="str">
            <v>Không có</v>
          </cell>
          <cell r="N83" t="str">
            <v>Kinh</v>
          </cell>
          <cell r="P83" t="str">
            <v>2026</v>
          </cell>
          <cell r="Q83" t="str">
            <v>86024812</v>
          </cell>
          <cell r="R83" t="str">
            <v>Không có</v>
          </cell>
          <cell r="S83" t="str">
            <v>Không có</v>
          </cell>
          <cell r="T83" t="str">
            <v>Không có</v>
          </cell>
          <cell r="AA83" t="str">
            <v>Không có</v>
          </cell>
          <cell r="AF83" t="str">
            <v>86N</v>
          </cell>
          <cell r="AG83" t="str">
            <v>413</v>
          </cell>
          <cell r="AH83" t="str">
            <v>THPT Lê Thanh Mừng</v>
          </cell>
          <cell r="AI83" t="str">
            <v>86N</v>
          </cell>
          <cell r="AJ83" t="str">
            <v>413</v>
          </cell>
          <cell r="AK83" t="str">
            <v>THPT Lê Thanh Mừng</v>
          </cell>
          <cell r="AL83" t="str">
            <v>86N</v>
          </cell>
          <cell r="AM83" t="str">
            <v>413</v>
          </cell>
          <cell r="AN83" t="str">
            <v>THPT Lê Thanh Mừng</v>
          </cell>
          <cell r="AO83" t="str">
            <v>GDPT2018</v>
          </cell>
          <cell r="AP83" t="str">
            <v>Tốt</v>
          </cell>
          <cell r="AQ83" t="str">
            <v>8.16</v>
          </cell>
          <cell r="AR83" t="str">
            <v>7.58</v>
          </cell>
          <cell r="AS83" t="str">
            <v>7.88</v>
          </cell>
          <cell r="AT83" t="str">
            <v>8.53</v>
          </cell>
          <cell r="AU83" t="str">
            <v>False</v>
          </cell>
          <cell r="AW83" t="str">
            <v>7220201</v>
          </cell>
          <cell r="AX83" t="str">
            <v>Tiếng Anh thương mại</v>
          </cell>
          <cell r="AY83" t="str">
            <v>7340120</v>
          </cell>
          <cell r="AZ83" t="str">
            <v>Kinh doanh quốc tế</v>
          </cell>
          <cell r="BA83" t="str">
            <v>7340115</v>
          </cell>
          <cell r="BB83" t="str">
            <v>Marketing</v>
          </cell>
          <cell r="BC83" t="str">
            <v>phamhuong</v>
          </cell>
          <cell r="BD83" t="str">
            <v>Đã được tiếp nhận</v>
          </cell>
          <cell r="BF83" t="str">
            <v>3</v>
          </cell>
          <cell r="BM83" t="str">
            <v>True</v>
          </cell>
          <cell r="BN83" t="str">
            <v>False</v>
          </cell>
          <cell r="BO83" t="str">
            <v>KQTHPT_81_086308007620.pdf</v>
          </cell>
          <cell r="BR83">
            <v>6.6</v>
          </cell>
          <cell r="BS83">
            <v>7.5</v>
          </cell>
          <cell r="BT83">
            <v>8</v>
          </cell>
          <cell r="BU83">
            <v>9.1</v>
          </cell>
          <cell r="BV83">
            <v>8.4</v>
          </cell>
          <cell r="BW83">
            <v>0</v>
          </cell>
          <cell r="BX83">
            <v>0</v>
          </cell>
          <cell r="BY83">
            <v>7.7</v>
          </cell>
          <cell r="BZ83">
            <v>5.6</v>
          </cell>
          <cell r="CA83">
            <v>6.5</v>
          </cell>
          <cell r="CB83">
            <v>0</v>
          </cell>
          <cell r="CC83">
            <v>8.8000000000000007</v>
          </cell>
          <cell r="CD83">
            <v>0</v>
          </cell>
          <cell r="CE83">
            <v>0</v>
          </cell>
          <cell r="CF83">
            <v>0</v>
          </cell>
          <cell r="CG83">
            <v>0</v>
          </cell>
          <cell r="CH83">
            <v>0</v>
          </cell>
          <cell r="CI83">
            <v>0</v>
          </cell>
          <cell r="CJ83">
            <v>0</v>
          </cell>
          <cell r="CK83">
            <v>0</v>
          </cell>
          <cell r="CL83">
            <v>0</v>
          </cell>
          <cell r="CM83">
            <v>7.2</v>
          </cell>
          <cell r="CN83">
            <v>6.6</v>
          </cell>
          <cell r="CO83">
            <v>8.6999999999999993</v>
          </cell>
          <cell r="CP83">
            <v>9.3000000000000007</v>
          </cell>
          <cell r="CQ83">
            <v>8.1</v>
          </cell>
          <cell r="CR83">
            <v>0</v>
          </cell>
          <cell r="CS83">
            <v>0</v>
          </cell>
          <cell r="CT83">
            <v>7.4</v>
          </cell>
          <cell r="CU83">
            <v>8</v>
          </cell>
          <cell r="CV83">
            <v>8.1</v>
          </cell>
          <cell r="CW83">
            <v>0</v>
          </cell>
          <cell r="CX83">
            <v>7.5</v>
          </cell>
          <cell r="CY83">
            <v>0</v>
          </cell>
          <cell r="CZ83">
            <v>0</v>
          </cell>
          <cell r="DA83">
            <v>0</v>
          </cell>
          <cell r="DB83">
            <v>0</v>
          </cell>
          <cell r="DC83">
            <v>0</v>
          </cell>
          <cell r="DD83">
            <v>0</v>
          </cell>
          <cell r="DE83">
            <v>0</v>
          </cell>
          <cell r="DF83">
            <v>0</v>
          </cell>
          <cell r="DG83">
            <v>0</v>
          </cell>
          <cell r="DH83">
            <v>8.1</v>
          </cell>
          <cell r="DI83">
            <v>7.4</v>
          </cell>
          <cell r="DJ83">
            <v>9.5</v>
          </cell>
          <cell r="DK83">
            <v>9.4</v>
          </cell>
          <cell r="DL83">
            <v>8</v>
          </cell>
          <cell r="DM83">
            <v>0</v>
          </cell>
          <cell r="DN83">
            <v>0</v>
          </cell>
          <cell r="DO83">
            <v>7.1</v>
          </cell>
          <cell r="DP83">
            <v>8.6</v>
          </cell>
          <cell r="DQ83">
            <v>9.3000000000000007</v>
          </cell>
          <cell r="DR83">
            <v>0</v>
          </cell>
          <cell r="DS83">
            <v>9.4</v>
          </cell>
          <cell r="DT83">
            <v>0</v>
          </cell>
          <cell r="DU83">
            <v>0</v>
          </cell>
          <cell r="DV83">
            <v>0</v>
          </cell>
          <cell r="DW83">
            <v>0</v>
          </cell>
          <cell r="DX83">
            <v>0</v>
          </cell>
          <cell r="DY83">
            <v>0</v>
          </cell>
          <cell r="DZ83">
            <v>0</v>
          </cell>
          <cell r="EA83">
            <v>0</v>
          </cell>
          <cell r="EB83">
            <v>0</v>
          </cell>
          <cell r="EC83">
            <v>2.75</v>
          </cell>
          <cell r="ED83">
            <v>5.75</v>
          </cell>
          <cell r="EE83">
            <v>3.75</v>
          </cell>
          <cell r="EG83">
            <v>6.6</v>
          </cell>
        </row>
        <row r="84">
          <cell r="A84">
            <v>0</v>
          </cell>
          <cell r="D84" t="str">
            <v>PHẠM YẾN NHI</v>
          </cell>
          <cell r="E84" t="str">
            <v>0</v>
          </cell>
          <cell r="F84" t="str">
            <v>08/11/2008</v>
          </cell>
          <cell r="G84" t="str">
            <v>nyen48753@gmail.com</v>
          </cell>
          <cell r="I84" t="str">
            <v>086308005315</v>
          </cell>
          <cell r="BD84" t="str">
            <v>Chưa hoàn thành</v>
          </cell>
          <cell r="BF84" t="str">
            <v>3</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v>0</v>
          </cell>
          <cell r="DU84">
            <v>0</v>
          </cell>
          <cell r="DV84">
            <v>0</v>
          </cell>
          <cell r="DW84">
            <v>0</v>
          </cell>
          <cell r="DX84">
            <v>0</v>
          </cell>
          <cell r="DY84">
            <v>0</v>
          </cell>
          <cell r="DZ84">
            <v>0</v>
          </cell>
          <cell r="EA84">
            <v>0</v>
          </cell>
          <cell r="EB84">
            <v>0</v>
          </cell>
        </row>
        <row r="85">
          <cell r="A85">
            <v>915946083</v>
          </cell>
          <cell r="B85" t="str">
            <v>KSVBS2612300</v>
          </cell>
          <cell r="C85" t="str">
            <v>87</v>
          </cell>
          <cell r="D85" t="str">
            <v>TRÀ NGUYỄN Ý VY</v>
          </cell>
          <cell r="E85" t="str">
            <v>1</v>
          </cell>
          <cell r="F85" t="str">
            <v>02/09/2007</v>
          </cell>
          <cell r="G85" t="str">
            <v>tranguyenyvy3434@gmail.com</v>
          </cell>
          <cell r="H85" t="str">
            <v>0915946083</v>
          </cell>
          <cell r="I85" t="str">
            <v>096307008480</v>
          </cell>
          <cell r="J85" t="str">
            <v xml:space="preserve">Ấp Lung Trường </v>
          </cell>
          <cell r="K85" t="str">
            <v>KV1</v>
          </cell>
          <cell r="M85" t="str">
            <v>Không có</v>
          </cell>
          <cell r="N85" t="str">
            <v>Kinh</v>
          </cell>
          <cell r="P85" t="str">
            <v>2025</v>
          </cell>
          <cell r="R85" t="str">
            <v>Không có</v>
          </cell>
          <cell r="S85" t="str">
            <v>Không có</v>
          </cell>
          <cell r="T85" t="str">
            <v>Không có</v>
          </cell>
          <cell r="AA85" t="str">
            <v>Không có</v>
          </cell>
          <cell r="AF85" t="str">
            <v>96N</v>
          </cell>
          <cell r="AG85" t="str">
            <v>028</v>
          </cell>
          <cell r="AH85" t="str">
            <v>THPT Quách Văn Phẩm</v>
          </cell>
          <cell r="AI85" t="str">
            <v>96N</v>
          </cell>
          <cell r="AJ85" t="str">
            <v>028</v>
          </cell>
          <cell r="AK85" t="str">
            <v>THPT Quách Văn Phẩm</v>
          </cell>
          <cell r="AL85" t="str">
            <v>96N</v>
          </cell>
          <cell r="AM85" t="str">
            <v>028</v>
          </cell>
          <cell r="AN85" t="str">
            <v>THPT Quách Văn Phẩm</v>
          </cell>
          <cell r="AO85" t="str">
            <v>GDPT2018</v>
          </cell>
          <cell r="AP85" t="str">
            <v>Giỏi</v>
          </cell>
          <cell r="AQ85" t="str">
            <v>7.77</v>
          </cell>
          <cell r="AR85" t="str">
            <v>8.24</v>
          </cell>
          <cell r="AS85" t="str">
            <v>8.38</v>
          </cell>
          <cell r="AT85" t="str">
            <v>8.69</v>
          </cell>
          <cell r="AU85" t="str">
            <v>False</v>
          </cell>
          <cell r="AW85" t="str">
            <v>7340120</v>
          </cell>
          <cell r="AX85" t="str">
            <v>Kinh doanh quốc tế</v>
          </cell>
          <cell r="AY85" t="str">
            <v>7340301</v>
          </cell>
          <cell r="AZ85" t="str">
            <v>Kế toán doanh nghiệp</v>
          </cell>
          <cell r="BC85" t="str">
            <v>phamhuong</v>
          </cell>
          <cell r="BD85" t="str">
            <v>Đã được tiếp nhận</v>
          </cell>
          <cell r="BE85" t="str">
            <v>Trường có điều chỉnh giới tính thành Nữ</v>
          </cell>
          <cell r="BF85" t="str">
            <v>3</v>
          </cell>
          <cell r="BM85" t="str">
            <v>False</v>
          </cell>
          <cell r="BN85" t="str">
            <v>True</v>
          </cell>
          <cell r="BQ85" t="str">
            <v>KQVSAT_83_096307008480.pdf</v>
          </cell>
          <cell r="BR85">
            <v>7.5</v>
          </cell>
          <cell r="BS85">
            <v>7.8</v>
          </cell>
          <cell r="BT85">
            <v>8.5</v>
          </cell>
          <cell r="BU85">
            <v>8.3000000000000007</v>
          </cell>
          <cell r="BV85">
            <v>8.4</v>
          </cell>
          <cell r="BW85">
            <v>8.8000000000000007</v>
          </cell>
          <cell r="BX85">
            <v>7.9</v>
          </cell>
          <cell r="BY85">
            <v>0</v>
          </cell>
          <cell r="BZ85">
            <v>0</v>
          </cell>
          <cell r="CA85">
            <v>8.8000000000000007</v>
          </cell>
          <cell r="CB85">
            <v>0</v>
          </cell>
          <cell r="CC85">
            <v>8.1999999999999993</v>
          </cell>
          <cell r="CD85">
            <v>0</v>
          </cell>
          <cell r="CE85">
            <v>0</v>
          </cell>
          <cell r="CF85">
            <v>0</v>
          </cell>
          <cell r="CG85">
            <v>0</v>
          </cell>
          <cell r="CH85">
            <v>0</v>
          </cell>
          <cell r="CI85">
            <v>0</v>
          </cell>
          <cell r="CJ85">
            <v>0</v>
          </cell>
          <cell r="CK85">
            <v>0</v>
          </cell>
          <cell r="CL85">
            <v>0</v>
          </cell>
          <cell r="CM85">
            <v>7.4</v>
          </cell>
          <cell r="CN85">
            <v>8.3000000000000007</v>
          </cell>
          <cell r="CO85">
            <v>8.3000000000000007</v>
          </cell>
          <cell r="CP85">
            <v>9</v>
          </cell>
          <cell r="CQ85">
            <v>8.6</v>
          </cell>
          <cell r="CR85">
            <v>8.1999999999999993</v>
          </cell>
          <cell r="CS85">
            <v>8.4</v>
          </cell>
          <cell r="CT85">
            <v>0</v>
          </cell>
          <cell r="CU85">
            <v>0</v>
          </cell>
          <cell r="CV85">
            <v>8.8000000000000007</v>
          </cell>
          <cell r="CW85">
            <v>0</v>
          </cell>
          <cell r="CX85">
            <v>8.4</v>
          </cell>
          <cell r="CY85">
            <v>0</v>
          </cell>
          <cell r="CZ85">
            <v>0</v>
          </cell>
          <cell r="DA85">
            <v>0</v>
          </cell>
          <cell r="DB85">
            <v>0</v>
          </cell>
          <cell r="DC85">
            <v>0</v>
          </cell>
          <cell r="DD85">
            <v>0</v>
          </cell>
          <cell r="DE85">
            <v>0</v>
          </cell>
          <cell r="DF85">
            <v>0</v>
          </cell>
          <cell r="DG85">
            <v>0</v>
          </cell>
          <cell r="DH85">
            <v>7.8</v>
          </cell>
          <cell r="DI85">
            <v>8</v>
          </cell>
          <cell r="DJ85">
            <v>8.9</v>
          </cell>
          <cell r="DK85">
            <v>9</v>
          </cell>
          <cell r="DL85">
            <v>8.6999999999999993</v>
          </cell>
          <cell r="DM85">
            <v>8.9</v>
          </cell>
          <cell r="DN85">
            <v>8.6999999999999993</v>
          </cell>
          <cell r="DO85">
            <v>0</v>
          </cell>
          <cell r="DP85">
            <v>0</v>
          </cell>
          <cell r="DQ85">
            <v>9</v>
          </cell>
          <cell r="DR85">
            <v>0</v>
          </cell>
          <cell r="DS85">
            <v>9.1999999999999993</v>
          </cell>
          <cell r="DT85">
            <v>0</v>
          </cell>
          <cell r="DU85">
            <v>0</v>
          </cell>
          <cell r="DV85">
            <v>0</v>
          </cell>
          <cell r="DW85">
            <v>0</v>
          </cell>
          <cell r="DX85">
            <v>0</v>
          </cell>
          <cell r="DY85">
            <v>0</v>
          </cell>
          <cell r="DZ85">
            <v>0</v>
          </cell>
          <cell r="EA85">
            <v>0</v>
          </cell>
          <cell r="EB85">
            <v>0</v>
          </cell>
          <cell r="EW85">
            <v>111</v>
          </cell>
          <cell r="EX85">
            <v>126</v>
          </cell>
          <cell r="EY85">
            <v>83.5</v>
          </cell>
          <cell r="FA85">
            <v>106</v>
          </cell>
        </row>
        <row r="86">
          <cell r="A86">
            <v>0</v>
          </cell>
          <cell r="D86" t="str">
            <v>NGUYỄN PHÚ MINH HIẾU</v>
          </cell>
          <cell r="E86" t="str">
            <v>0</v>
          </cell>
          <cell r="F86" t="str">
            <v>11/08/2008</v>
          </cell>
          <cell r="G86" t="str">
            <v>minhhieunguyenphu5@gmail.com</v>
          </cell>
          <cell r="I86" t="str">
            <v>068208003298</v>
          </cell>
          <cell r="AR86" t="str">
            <v>7.54</v>
          </cell>
          <cell r="AS86" t="str">
            <v>8.23</v>
          </cell>
          <cell r="AT86" t="str">
            <v>8.56</v>
          </cell>
          <cell r="BD86" t="str">
            <v>Chưa hoàn thành</v>
          </cell>
          <cell r="BF86" t="str">
            <v>3</v>
          </cell>
          <cell r="BR86">
            <v>6.8</v>
          </cell>
          <cell r="BS86">
            <v>7</v>
          </cell>
          <cell r="BT86">
            <v>7.9</v>
          </cell>
          <cell r="BU86">
            <v>8</v>
          </cell>
          <cell r="BV86">
            <v>7.5</v>
          </cell>
          <cell r="BW86">
            <v>0</v>
          </cell>
          <cell r="BX86">
            <v>7.4</v>
          </cell>
          <cell r="BY86">
            <v>6.8</v>
          </cell>
          <cell r="BZ86">
            <v>7.5</v>
          </cell>
          <cell r="CA86">
            <v>0</v>
          </cell>
          <cell r="CB86">
            <v>9</v>
          </cell>
          <cell r="CC86">
            <v>0</v>
          </cell>
          <cell r="CD86">
            <v>0</v>
          </cell>
          <cell r="CE86">
            <v>0</v>
          </cell>
          <cell r="CF86">
            <v>0</v>
          </cell>
          <cell r="CG86">
            <v>0</v>
          </cell>
          <cell r="CH86">
            <v>0</v>
          </cell>
          <cell r="CI86">
            <v>0</v>
          </cell>
          <cell r="CJ86">
            <v>0</v>
          </cell>
          <cell r="CK86">
            <v>0</v>
          </cell>
          <cell r="CL86">
            <v>0</v>
          </cell>
          <cell r="CM86">
            <v>7.3</v>
          </cell>
          <cell r="CN86">
            <v>7.6</v>
          </cell>
          <cell r="CO86">
            <v>7.5</v>
          </cell>
          <cell r="CP86">
            <v>9.5</v>
          </cell>
          <cell r="CQ86">
            <v>8.6999999999999993</v>
          </cell>
          <cell r="CR86">
            <v>0</v>
          </cell>
          <cell r="CS86">
            <v>8.4</v>
          </cell>
          <cell r="CT86">
            <v>8.1</v>
          </cell>
          <cell r="CU86">
            <v>8</v>
          </cell>
          <cell r="CV86">
            <v>0</v>
          </cell>
          <cell r="CW86">
            <v>9</v>
          </cell>
          <cell r="CX86">
            <v>0</v>
          </cell>
          <cell r="CY86">
            <v>0</v>
          </cell>
          <cell r="CZ86">
            <v>0</v>
          </cell>
          <cell r="DA86">
            <v>0</v>
          </cell>
          <cell r="DB86">
            <v>0</v>
          </cell>
          <cell r="DC86">
            <v>0</v>
          </cell>
          <cell r="DD86">
            <v>0</v>
          </cell>
          <cell r="DE86">
            <v>0</v>
          </cell>
          <cell r="DF86">
            <v>0</v>
          </cell>
          <cell r="DG86">
            <v>0</v>
          </cell>
          <cell r="DH86">
            <v>8.1999999999999993</v>
          </cell>
          <cell r="DI86">
            <v>8.3000000000000007</v>
          </cell>
          <cell r="DJ86">
            <v>8.6</v>
          </cell>
          <cell r="DK86">
            <v>8.8000000000000007</v>
          </cell>
          <cell r="DL86">
            <v>8.3000000000000007</v>
          </cell>
          <cell r="DM86">
            <v>0</v>
          </cell>
          <cell r="DN86">
            <v>8.3000000000000007</v>
          </cell>
          <cell r="DO86">
            <v>8.6</v>
          </cell>
          <cell r="DP86">
            <v>8.5</v>
          </cell>
          <cell r="DQ86">
            <v>0</v>
          </cell>
          <cell r="DR86">
            <v>9.4</v>
          </cell>
          <cell r="DS86">
            <v>0</v>
          </cell>
          <cell r="DT86">
            <v>0</v>
          </cell>
          <cell r="DU86">
            <v>0</v>
          </cell>
          <cell r="DV86">
            <v>0</v>
          </cell>
          <cell r="DW86">
            <v>0</v>
          </cell>
          <cell r="DX86">
            <v>0</v>
          </cell>
          <cell r="DY86">
            <v>0</v>
          </cell>
          <cell r="DZ86">
            <v>0</v>
          </cell>
          <cell r="EA86">
            <v>0</v>
          </cell>
          <cell r="EB86">
            <v>0</v>
          </cell>
        </row>
        <row r="87">
          <cell r="A87">
            <v>334405882</v>
          </cell>
          <cell r="B87" t="str">
            <v>KSVBS2643155</v>
          </cell>
          <cell r="C87" t="str">
            <v>52</v>
          </cell>
          <cell r="D87" t="str">
            <v>ĐỖ NGUYỄN THUÝ AN</v>
          </cell>
          <cell r="E87" t="str">
            <v>1</v>
          </cell>
          <cell r="F87" t="str">
            <v>28/01/2008</v>
          </cell>
          <cell r="G87" t="str">
            <v>and503295@gmail.com</v>
          </cell>
          <cell r="H87" t="str">
            <v>0334405882</v>
          </cell>
          <cell r="I87" t="str">
            <v>082308013726</v>
          </cell>
          <cell r="J87" t="str">
            <v>ấp mỹ phú</v>
          </cell>
          <cell r="K87" t="str">
            <v>KV2-NT</v>
          </cell>
          <cell r="M87" t="str">
            <v>Không có</v>
          </cell>
          <cell r="N87" t="str">
            <v>Kinh</v>
          </cell>
          <cell r="P87" t="str">
            <v>2026</v>
          </cell>
          <cell r="Q87" t="str">
            <v>82020884</v>
          </cell>
          <cell r="R87" t="str">
            <v>Không có</v>
          </cell>
          <cell r="S87" t="str">
            <v>Không có</v>
          </cell>
          <cell r="T87" t="str">
            <v>Không có</v>
          </cell>
          <cell r="AA87" t="str">
            <v>Không có</v>
          </cell>
          <cell r="AF87" t="str">
            <v>87N</v>
          </cell>
          <cell r="AG87" t="str">
            <v>611</v>
          </cell>
          <cell r="AH87" t="str">
            <v>THPT Huỳnh Văn Sâm</v>
          </cell>
          <cell r="AI87" t="str">
            <v>87N</v>
          </cell>
          <cell r="AJ87" t="str">
            <v>611</v>
          </cell>
          <cell r="AK87" t="str">
            <v>THPT Huỳnh Văn Sâm</v>
          </cell>
          <cell r="AL87" t="str">
            <v>87N</v>
          </cell>
          <cell r="AM87" t="str">
            <v>611</v>
          </cell>
          <cell r="AN87" t="str">
            <v>THPT Huỳnh Văn Sâm</v>
          </cell>
          <cell r="AO87" t="str">
            <v>GDPT2018</v>
          </cell>
          <cell r="AP87" t="str">
            <v>Giỏi</v>
          </cell>
          <cell r="AQ87" t="str">
            <v>5.50</v>
          </cell>
          <cell r="AR87" t="str">
            <v>7.90</v>
          </cell>
          <cell r="AS87" t="str">
            <v>8.57</v>
          </cell>
          <cell r="AT87" t="str">
            <v>8.98</v>
          </cell>
          <cell r="AU87" t="str">
            <v>False</v>
          </cell>
          <cell r="AW87" t="str">
            <v>7340201_1</v>
          </cell>
          <cell r="AX87" t="str">
            <v>Ngân hàng</v>
          </cell>
          <cell r="BC87" t="str">
            <v>phamhuong</v>
          </cell>
          <cell r="BD87" t="str">
            <v>Đã được tiếp nhận</v>
          </cell>
          <cell r="BE87" t="str">
            <v>Điểm tổ hợp môn thi tốt nghiệp THPT theo các tổ hợp xét tuyển UEH không thỏa điều kiện &lt;15</v>
          </cell>
          <cell r="BF87" t="str">
            <v>3</v>
          </cell>
          <cell r="BM87" t="str">
            <v>True</v>
          </cell>
          <cell r="BN87" t="str">
            <v>False</v>
          </cell>
          <cell r="BO87" t="str">
            <v>KQTHPT_85_082308013726.pdf</v>
          </cell>
          <cell r="BR87">
            <v>7.4</v>
          </cell>
          <cell r="BS87">
            <v>8.1</v>
          </cell>
          <cell r="BT87">
            <v>7.1</v>
          </cell>
          <cell r="BU87">
            <v>8.8000000000000007</v>
          </cell>
          <cell r="BV87">
            <v>8.3000000000000007</v>
          </cell>
          <cell r="BW87">
            <v>0</v>
          </cell>
          <cell r="BX87">
            <v>0</v>
          </cell>
          <cell r="BY87">
            <v>7.3</v>
          </cell>
          <cell r="BZ87">
            <v>6.6</v>
          </cell>
          <cell r="CA87">
            <v>0</v>
          </cell>
          <cell r="CB87">
            <v>8.6999999999999993</v>
          </cell>
          <cell r="CC87">
            <v>8.8000000000000007</v>
          </cell>
          <cell r="CD87">
            <v>0</v>
          </cell>
          <cell r="CE87">
            <v>0</v>
          </cell>
          <cell r="CF87">
            <v>0</v>
          </cell>
          <cell r="CG87">
            <v>0</v>
          </cell>
          <cell r="CH87">
            <v>0</v>
          </cell>
          <cell r="CI87">
            <v>0</v>
          </cell>
          <cell r="CJ87">
            <v>0</v>
          </cell>
          <cell r="CK87">
            <v>0</v>
          </cell>
          <cell r="CL87">
            <v>0</v>
          </cell>
          <cell r="CM87">
            <v>7.6</v>
          </cell>
          <cell r="CN87">
            <v>8.3000000000000007</v>
          </cell>
          <cell r="CO87">
            <v>8.1</v>
          </cell>
          <cell r="CP87">
            <v>9.1999999999999993</v>
          </cell>
          <cell r="CQ87">
            <v>8.8000000000000007</v>
          </cell>
          <cell r="CR87">
            <v>0</v>
          </cell>
          <cell r="CS87">
            <v>0</v>
          </cell>
          <cell r="CT87">
            <v>8.5</v>
          </cell>
          <cell r="CU87">
            <v>8.9</v>
          </cell>
          <cell r="CV87">
            <v>0</v>
          </cell>
          <cell r="CW87">
            <v>9</v>
          </cell>
          <cell r="CX87">
            <v>8.6999999999999993</v>
          </cell>
          <cell r="CY87">
            <v>0</v>
          </cell>
          <cell r="CZ87">
            <v>0</v>
          </cell>
          <cell r="DA87">
            <v>0</v>
          </cell>
          <cell r="DB87">
            <v>0</v>
          </cell>
          <cell r="DC87">
            <v>0</v>
          </cell>
          <cell r="DD87">
            <v>0</v>
          </cell>
          <cell r="DE87">
            <v>0</v>
          </cell>
          <cell r="DF87">
            <v>0</v>
          </cell>
          <cell r="DG87">
            <v>0</v>
          </cell>
          <cell r="DH87">
            <v>9.1999999999999993</v>
          </cell>
          <cell r="DI87">
            <v>8.4</v>
          </cell>
          <cell r="DJ87">
            <v>9</v>
          </cell>
          <cell r="DK87">
            <v>9.5</v>
          </cell>
          <cell r="DL87">
            <v>9.1999999999999993</v>
          </cell>
          <cell r="DM87">
            <v>0</v>
          </cell>
          <cell r="DN87">
            <v>0</v>
          </cell>
          <cell r="DO87">
            <v>8.5</v>
          </cell>
          <cell r="DP87">
            <v>8.6</v>
          </cell>
          <cell r="DQ87">
            <v>0</v>
          </cell>
          <cell r="DR87">
            <v>9.1</v>
          </cell>
          <cell r="DS87">
            <v>9.3000000000000007</v>
          </cell>
          <cell r="DT87">
            <v>0</v>
          </cell>
          <cell r="DU87">
            <v>0</v>
          </cell>
          <cell r="DV87">
            <v>0</v>
          </cell>
          <cell r="DW87">
            <v>0</v>
          </cell>
          <cell r="DX87">
            <v>0</v>
          </cell>
          <cell r="DY87">
            <v>0</v>
          </cell>
          <cell r="DZ87">
            <v>0</v>
          </cell>
          <cell r="EA87">
            <v>0</v>
          </cell>
          <cell r="EB87">
            <v>0</v>
          </cell>
          <cell r="EC87">
            <v>5.5</v>
          </cell>
          <cell r="ED87">
            <v>7.25</v>
          </cell>
          <cell r="EE87">
            <v>1.75</v>
          </cell>
          <cell r="EJ87">
            <v>3.25</v>
          </cell>
        </row>
        <row r="88">
          <cell r="A88">
            <v>0</v>
          </cell>
          <cell r="D88" t="str">
            <v>NGUYỄN MINH TRƯỜNG</v>
          </cell>
          <cell r="E88" t="str">
            <v>0</v>
          </cell>
          <cell r="F88" t="str">
            <v>18/11/2008</v>
          </cell>
          <cell r="G88" t="str">
            <v>truongnguyenminh3667@gmail.com</v>
          </cell>
          <cell r="I88" t="str">
            <v>087208001452</v>
          </cell>
          <cell r="AR88" t="str">
            <v>8.81</v>
          </cell>
          <cell r="AS88" t="str">
            <v>8.26</v>
          </cell>
          <cell r="AT88" t="str">
            <v>8.47</v>
          </cell>
          <cell r="BD88" t="str">
            <v>Chưa hoàn thành</v>
          </cell>
          <cell r="BF88" t="str">
            <v>3</v>
          </cell>
          <cell r="BR88">
            <v>8.5</v>
          </cell>
          <cell r="BS88">
            <v>8</v>
          </cell>
          <cell r="BT88">
            <v>8.5</v>
          </cell>
          <cell r="BU88">
            <v>9.6</v>
          </cell>
          <cell r="BV88">
            <v>9</v>
          </cell>
          <cell r="BW88">
            <v>0</v>
          </cell>
          <cell r="BX88">
            <v>0</v>
          </cell>
          <cell r="BY88">
            <v>0</v>
          </cell>
          <cell r="BZ88">
            <v>8.1999999999999993</v>
          </cell>
          <cell r="CA88">
            <v>8.8000000000000007</v>
          </cell>
          <cell r="CB88">
            <v>9.5</v>
          </cell>
          <cell r="CC88">
            <v>9.1999999999999993</v>
          </cell>
          <cell r="CD88">
            <v>0</v>
          </cell>
          <cell r="CE88">
            <v>0</v>
          </cell>
          <cell r="CF88">
            <v>0</v>
          </cell>
          <cell r="CG88">
            <v>0</v>
          </cell>
          <cell r="CH88">
            <v>0</v>
          </cell>
          <cell r="CI88">
            <v>0</v>
          </cell>
          <cell r="CJ88">
            <v>0</v>
          </cell>
          <cell r="CK88">
            <v>0</v>
          </cell>
          <cell r="CL88">
            <v>0</v>
          </cell>
          <cell r="CM88">
            <v>8.6</v>
          </cell>
          <cell r="CN88">
            <v>6.8</v>
          </cell>
          <cell r="CO88">
            <v>8.5</v>
          </cell>
          <cell r="CP88">
            <v>9</v>
          </cell>
          <cell r="CQ88">
            <v>8.5</v>
          </cell>
          <cell r="CR88">
            <v>0</v>
          </cell>
          <cell r="CS88">
            <v>0</v>
          </cell>
          <cell r="CT88">
            <v>0</v>
          </cell>
          <cell r="CU88">
            <v>7.3</v>
          </cell>
          <cell r="CV88">
            <v>8.1999999999999993</v>
          </cell>
          <cell r="CW88">
            <v>9</v>
          </cell>
          <cell r="CX88">
            <v>8.4</v>
          </cell>
          <cell r="CY88">
            <v>0</v>
          </cell>
          <cell r="CZ88">
            <v>0</v>
          </cell>
          <cell r="DA88">
            <v>0</v>
          </cell>
          <cell r="DB88">
            <v>0</v>
          </cell>
          <cell r="DC88">
            <v>0</v>
          </cell>
          <cell r="DD88">
            <v>0</v>
          </cell>
          <cell r="DE88">
            <v>0</v>
          </cell>
          <cell r="DF88">
            <v>0</v>
          </cell>
          <cell r="DG88">
            <v>0</v>
          </cell>
          <cell r="DH88">
            <v>8.6</v>
          </cell>
          <cell r="DI88">
            <v>8</v>
          </cell>
          <cell r="DJ88">
            <v>8</v>
          </cell>
          <cell r="DK88">
            <v>8.8000000000000007</v>
          </cell>
          <cell r="DL88">
            <v>8.8000000000000007</v>
          </cell>
          <cell r="DM88">
            <v>0</v>
          </cell>
          <cell r="DN88">
            <v>0</v>
          </cell>
          <cell r="DO88">
            <v>0</v>
          </cell>
          <cell r="DP88">
            <v>8.1</v>
          </cell>
          <cell r="DQ88">
            <v>8</v>
          </cell>
          <cell r="DR88">
            <v>9</v>
          </cell>
          <cell r="DS88">
            <v>8.9</v>
          </cell>
          <cell r="DT88">
            <v>0</v>
          </cell>
          <cell r="DU88">
            <v>0</v>
          </cell>
          <cell r="DV88">
            <v>0</v>
          </cell>
          <cell r="DW88">
            <v>0</v>
          </cell>
          <cell r="DX88">
            <v>0</v>
          </cell>
          <cell r="DY88">
            <v>0</v>
          </cell>
          <cell r="DZ88">
            <v>0</v>
          </cell>
          <cell r="EA88">
            <v>0</v>
          </cell>
          <cell r="EB88">
            <v>0</v>
          </cell>
        </row>
        <row r="89">
          <cell r="A89">
            <v>766963034</v>
          </cell>
          <cell r="B89" t="str">
            <v>KSVBS2649001</v>
          </cell>
          <cell r="C89" t="str">
            <v>102</v>
          </cell>
          <cell r="D89" t="str">
            <v>NGUYỄN NAM ANH</v>
          </cell>
          <cell r="E89" t="str">
            <v>0</v>
          </cell>
          <cell r="F89" t="str">
            <v>10/03/2008</v>
          </cell>
          <cell r="G89" t="str">
            <v>namanht028@gmail.com</v>
          </cell>
          <cell r="H89" t="str">
            <v>0766963034</v>
          </cell>
          <cell r="I89" t="str">
            <v>086208001876</v>
          </cell>
          <cell r="J89" t="str">
            <v xml:space="preserve">ấp chợ xã cái nhum tỉnh vĩnh long </v>
          </cell>
          <cell r="K89" t="str">
            <v>KV2-NT</v>
          </cell>
          <cell r="M89" t="str">
            <v>Không có</v>
          </cell>
          <cell r="N89" t="str">
            <v>Kinh</v>
          </cell>
          <cell r="P89" t="str">
            <v>2026</v>
          </cell>
          <cell r="Q89" t="str">
            <v>86018407</v>
          </cell>
          <cell r="R89" t="str">
            <v>Không có</v>
          </cell>
          <cell r="S89" t="str">
            <v>Không có</v>
          </cell>
          <cell r="T89" t="str">
            <v>Không có</v>
          </cell>
          <cell r="AA89" t="str">
            <v>Không có</v>
          </cell>
          <cell r="AF89" t="str">
            <v>86N</v>
          </cell>
          <cell r="AG89" t="str">
            <v>426</v>
          </cell>
          <cell r="AH89" t="str">
            <v>THPT Nguyễn Văn Thiệt</v>
          </cell>
          <cell r="AI89" t="str">
            <v>86N</v>
          </cell>
          <cell r="AJ89" t="str">
            <v>426</v>
          </cell>
          <cell r="AK89" t="str">
            <v>THPT Nguyễn Văn Thiệt</v>
          </cell>
          <cell r="AL89" t="str">
            <v>86N</v>
          </cell>
          <cell r="AM89" t="str">
            <v>426</v>
          </cell>
          <cell r="AN89" t="str">
            <v>THPT Nguyễn Văn Thiệt</v>
          </cell>
          <cell r="AO89" t="str">
            <v>GDPT2018</v>
          </cell>
          <cell r="AP89" t="str">
            <v>Giỏi</v>
          </cell>
          <cell r="AQ89" t="str">
            <v>6.61</v>
          </cell>
          <cell r="AR89" t="str">
            <v>7.93</v>
          </cell>
          <cell r="AS89" t="str">
            <v>7.99</v>
          </cell>
          <cell r="AT89" t="str">
            <v>8.33</v>
          </cell>
          <cell r="AU89" t="str">
            <v>False</v>
          </cell>
          <cell r="AW89" t="str">
            <v>7480201</v>
          </cell>
          <cell r="AX89" t="str">
            <v>Công nghệ và đổi mới sáng tạo</v>
          </cell>
          <cell r="BC89" t="str">
            <v>phamhuong</v>
          </cell>
          <cell r="BD89" t="str">
            <v>Đã được tiếp nhận</v>
          </cell>
          <cell r="BF89" t="str">
            <v>3</v>
          </cell>
          <cell r="BM89" t="str">
            <v>True</v>
          </cell>
          <cell r="BN89" t="str">
            <v>False</v>
          </cell>
          <cell r="BO89" t="str">
            <v>KQTHPT_87_086208001876.pdf</v>
          </cell>
          <cell r="BR89">
            <v>7.4</v>
          </cell>
          <cell r="BS89">
            <v>7.3</v>
          </cell>
          <cell r="BT89">
            <v>8</v>
          </cell>
          <cell r="BU89">
            <v>7.3</v>
          </cell>
          <cell r="BV89">
            <v>8.6999999999999993</v>
          </cell>
          <cell r="BW89">
            <v>0</v>
          </cell>
          <cell r="BX89">
            <v>0</v>
          </cell>
          <cell r="BY89">
            <v>8.4</v>
          </cell>
          <cell r="BZ89">
            <v>8.1999999999999993</v>
          </cell>
          <cell r="CA89">
            <v>8.1</v>
          </cell>
          <cell r="CB89">
            <v>0</v>
          </cell>
          <cell r="CC89">
            <v>8</v>
          </cell>
          <cell r="CD89">
            <v>0</v>
          </cell>
          <cell r="CE89">
            <v>0</v>
          </cell>
          <cell r="CF89">
            <v>0</v>
          </cell>
          <cell r="CG89">
            <v>0</v>
          </cell>
          <cell r="CH89">
            <v>0</v>
          </cell>
          <cell r="CI89">
            <v>0</v>
          </cell>
          <cell r="CJ89">
            <v>0</v>
          </cell>
          <cell r="CK89">
            <v>0</v>
          </cell>
          <cell r="CL89">
            <v>0</v>
          </cell>
          <cell r="CM89">
            <v>7.4</v>
          </cell>
          <cell r="CN89">
            <v>8.1</v>
          </cell>
          <cell r="CO89">
            <v>8.9</v>
          </cell>
          <cell r="CP89">
            <v>7.1</v>
          </cell>
          <cell r="CQ89">
            <v>8.5</v>
          </cell>
          <cell r="CR89">
            <v>0</v>
          </cell>
          <cell r="CS89">
            <v>0</v>
          </cell>
          <cell r="CT89">
            <v>8.3000000000000007</v>
          </cell>
          <cell r="CU89">
            <v>8</v>
          </cell>
          <cell r="CV89">
            <v>7.3</v>
          </cell>
          <cell r="CW89">
            <v>0</v>
          </cell>
          <cell r="CX89">
            <v>8.3000000000000007</v>
          </cell>
          <cell r="CY89">
            <v>0</v>
          </cell>
          <cell r="CZ89">
            <v>0</v>
          </cell>
          <cell r="DA89">
            <v>0</v>
          </cell>
          <cell r="DB89">
            <v>0</v>
          </cell>
          <cell r="DC89">
            <v>0</v>
          </cell>
          <cell r="DD89">
            <v>0</v>
          </cell>
          <cell r="DE89">
            <v>0</v>
          </cell>
          <cell r="DF89">
            <v>0</v>
          </cell>
          <cell r="DG89">
            <v>0</v>
          </cell>
          <cell r="DH89">
            <v>8.1</v>
          </cell>
          <cell r="DI89">
            <v>6.5</v>
          </cell>
          <cell r="DJ89">
            <v>8</v>
          </cell>
          <cell r="DK89">
            <v>8.4</v>
          </cell>
          <cell r="DL89">
            <v>8.6999999999999993</v>
          </cell>
          <cell r="DM89">
            <v>0</v>
          </cell>
          <cell r="DN89">
            <v>0</v>
          </cell>
          <cell r="DO89">
            <v>9.1999999999999993</v>
          </cell>
          <cell r="DP89">
            <v>9.1999999999999993</v>
          </cell>
          <cell r="DQ89">
            <v>8.3000000000000007</v>
          </cell>
          <cell r="DR89">
            <v>0</v>
          </cell>
          <cell r="DS89">
            <v>8.6</v>
          </cell>
          <cell r="DT89">
            <v>0</v>
          </cell>
          <cell r="DU89">
            <v>0</v>
          </cell>
          <cell r="DV89">
            <v>0</v>
          </cell>
          <cell r="DW89">
            <v>0</v>
          </cell>
          <cell r="DX89">
            <v>0</v>
          </cell>
          <cell r="DY89">
            <v>0</v>
          </cell>
          <cell r="DZ89">
            <v>0</v>
          </cell>
          <cell r="EA89">
            <v>0</v>
          </cell>
          <cell r="EB89">
            <v>0</v>
          </cell>
          <cell r="EC89">
            <v>6.75</v>
          </cell>
          <cell r="ED89">
            <v>4.5</v>
          </cell>
          <cell r="EJ89">
            <v>3.5</v>
          </cell>
          <cell r="EK89">
            <v>5.5</v>
          </cell>
        </row>
        <row r="90">
          <cell r="A90">
            <v>907819646</v>
          </cell>
          <cell r="B90" t="str">
            <v>KSVBS2600914</v>
          </cell>
          <cell r="C90" t="str">
            <v>59</v>
          </cell>
          <cell r="D90" t="str">
            <v>HUỲNH BẢO TRÂN</v>
          </cell>
          <cell r="E90" t="str">
            <v>1</v>
          </cell>
          <cell r="F90" t="str">
            <v>20/06/2008</v>
          </cell>
          <cell r="G90" t="str">
            <v>baotranhuynh2207@gmail.com</v>
          </cell>
          <cell r="H90" t="str">
            <v>0907819646</v>
          </cell>
          <cell r="I90" t="str">
            <v>092308000202</v>
          </cell>
          <cell r="J90" t="str">
            <v>số 89, ấp thới hoà C1</v>
          </cell>
          <cell r="K90" t="str">
            <v>KV1</v>
          </cell>
          <cell r="M90" t="str">
            <v>Không có</v>
          </cell>
          <cell r="N90" t="str">
            <v>Kinh</v>
          </cell>
          <cell r="P90" t="str">
            <v>2026</v>
          </cell>
          <cell r="Q90" t="str">
            <v>92005163</v>
          </cell>
          <cell r="R90" t="str">
            <v>Không có</v>
          </cell>
          <cell r="S90" t="str">
            <v>Không có</v>
          </cell>
          <cell r="T90" t="str">
            <v>Không có</v>
          </cell>
          <cell r="AA90" t="str">
            <v>Không có</v>
          </cell>
          <cell r="AF90" t="str">
            <v>92N</v>
          </cell>
          <cell r="AG90" t="str">
            <v>015</v>
          </cell>
          <cell r="AH90" t="str">
            <v>Trường THPT Lưu Hữu Phước</v>
          </cell>
          <cell r="AI90" t="str">
            <v>92N</v>
          </cell>
          <cell r="AJ90" t="str">
            <v>015</v>
          </cell>
          <cell r="AK90" t="str">
            <v>Trường THPT Lưu Hữu Phước</v>
          </cell>
          <cell r="AL90" t="str">
            <v>92N</v>
          </cell>
          <cell r="AM90" t="str">
            <v>015</v>
          </cell>
          <cell r="AN90" t="str">
            <v>Trường THPT Lưu Hữu Phước</v>
          </cell>
          <cell r="AO90" t="str">
            <v>GDPT2018</v>
          </cell>
          <cell r="AP90" t="str">
            <v>Tốt</v>
          </cell>
          <cell r="AQ90" t="str">
            <v>0.00</v>
          </cell>
          <cell r="AR90" t="str">
            <v>7.86</v>
          </cell>
          <cell r="AS90" t="str">
            <v>8.12</v>
          </cell>
          <cell r="AT90" t="str">
            <v>8.34</v>
          </cell>
          <cell r="AU90" t="str">
            <v>False</v>
          </cell>
          <cell r="AW90" t="str">
            <v>7340120</v>
          </cell>
          <cell r="AX90" t="str">
            <v>Kinh doanh quốc tế</v>
          </cell>
          <cell r="BC90" t="str">
            <v>phamhuong</v>
          </cell>
          <cell r="BD90" t="str">
            <v>Đã được tiếp nhận</v>
          </cell>
          <cell r="BF90" t="str">
            <v>3</v>
          </cell>
          <cell r="BM90" t="str">
            <v>True</v>
          </cell>
          <cell r="BN90" t="str">
            <v>True</v>
          </cell>
          <cell r="BO90" t="str">
            <v>KQTHPT_88_092308000202.pdf</v>
          </cell>
          <cell r="BQ90" t="str">
            <v>KQVSAT_88_092308000202.pdf</v>
          </cell>
          <cell r="BR90">
            <v>6.2</v>
          </cell>
          <cell r="BS90">
            <v>8</v>
          </cell>
          <cell r="BT90">
            <v>7.3</v>
          </cell>
          <cell r="BU90">
            <v>8.6999999999999993</v>
          </cell>
          <cell r="BV90">
            <v>8.3000000000000007</v>
          </cell>
          <cell r="BW90">
            <v>0</v>
          </cell>
          <cell r="BX90">
            <v>0</v>
          </cell>
          <cell r="BY90">
            <v>7.9</v>
          </cell>
          <cell r="BZ90">
            <v>7.7</v>
          </cell>
          <cell r="CA90">
            <v>7.9</v>
          </cell>
          <cell r="CB90">
            <v>0</v>
          </cell>
          <cell r="CC90">
            <v>8.6999999999999993</v>
          </cell>
          <cell r="CD90">
            <v>0</v>
          </cell>
          <cell r="CE90">
            <v>0</v>
          </cell>
          <cell r="CF90">
            <v>0</v>
          </cell>
          <cell r="CG90">
            <v>0</v>
          </cell>
          <cell r="CH90">
            <v>0</v>
          </cell>
          <cell r="CI90">
            <v>0</v>
          </cell>
          <cell r="CJ90">
            <v>0</v>
          </cell>
          <cell r="CK90">
            <v>0</v>
          </cell>
          <cell r="CL90">
            <v>0</v>
          </cell>
          <cell r="CM90">
            <v>7.9</v>
          </cell>
          <cell r="CN90">
            <v>7.6</v>
          </cell>
          <cell r="CO90">
            <v>7.6</v>
          </cell>
          <cell r="CP90">
            <v>8.8000000000000007</v>
          </cell>
          <cell r="CQ90">
            <v>8.3000000000000007</v>
          </cell>
          <cell r="CR90">
            <v>0</v>
          </cell>
          <cell r="CS90">
            <v>0</v>
          </cell>
          <cell r="CT90">
            <v>8.1999999999999993</v>
          </cell>
          <cell r="CU90">
            <v>8.1999999999999993</v>
          </cell>
          <cell r="CV90">
            <v>7.8</v>
          </cell>
          <cell r="CW90">
            <v>0</v>
          </cell>
          <cell r="CX90">
            <v>8.6999999999999993</v>
          </cell>
          <cell r="CY90">
            <v>0</v>
          </cell>
          <cell r="CZ90">
            <v>0</v>
          </cell>
          <cell r="DA90">
            <v>0</v>
          </cell>
          <cell r="DB90">
            <v>0</v>
          </cell>
          <cell r="DC90">
            <v>0</v>
          </cell>
          <cell r="DD90">
            <v>0</v>
          </cell>
          <cell r="DE90">
            <v>0</v>
          </cell>
          <cell r="DF90">
            <v>0</v>
          </cell>
          <cell r="DG90">
            <v>0</v>
          </cell>
          <cell r="DH90">
            <v>8.1999999999999993</v>
          </cell>
          <cell r="DI90">
            <v>9.1</v>
          </cell>
          <cell r="DJ90">
            <v>7.5</v>
          </cell>
          <cell r="DK90">
            <v>8.9</v>
          </cell>
          <cell r="DL90">
            <v>8.6</v>
          </cell>
          <cell r="DM90">
            <v>0</v>
          </cell>
          <cell r="DN90">
            <v>0</v>
          </cell>
          <cell r="DO90">
            <v>8.4</v>
          </cell>
          <cell r="DP90">
            <v>7.4</v>
          </cell>
          <cell r="DQ90">
            <v>8.3000000000000007</v>
          </cell>
          <cell r="DR90">
            <v>0</v>
          </cell>
          <cell r="DS90">
            <v>8.6999999999999993</v>
          </cell>
          <cell r="DT90">
            <v>0</v>
          </cell>
          <cell r="DU90">
            <v>0</v>
          </cell>
          <cell r="DV90">
            <v>0</v>
          </cell>
          <cell r="DW90">
            <v>0</v>
          </cell>
          <cell r="DX90">
            <v>0</v>
          </cell>
          <cell r="DY90">
            <v>0</v>
          </cell>
          <cell r="DZ90">
            <v>0</v>
          </cell>
          <cell r="EA90">
            <v>0</v>
          </cell>
          <cell r="EB90">
            <v>0</v>
          </cell>
          <cell r="EC90">
            <v>6.5</v>
          </cell>
          <cell r="ED90">
            <v>7</v>
          </cell>
          <cell r="EE90">
            <v>3</v>
          </cell>
          <cell r="EJ90">
            <v>4.25</v>
          </cell>
          <cell r="EW90">
            <v>110</v>
          </cell>
          <cell r="EX90">
            <v>111.5</v>
          </cell>
          <cell r="EY90">
            <v>86</v>
          </cell>
        </row>
        <row r="91">
          <cell r="A91">
            <v>907507776</v>
          </cell>
          <cell r="B91" t="str">
            <v>KSVBS2608906</v>
          </cell>
          <cell r="C91" t="str">
            <v>64</v>
          </cell>
          <cell r="D91" t="str">
            <v>CHÂU DIỆP NGỌC TƯƠI</v>
          </cell>
          <cell r="E91" t="str">
            <v>1</v>
          </cell>
          <cell r="F91" t="str">
            <v>04/10/2007</v>
          </cell>
          <cell r="G91" t="str">
            <v>chaudiepngoctuoi@gmail.com</v>
          </cell>
          <cell r="H91" t="str">
            <v>0907507776</v>
          </cell>
          <cell r="I91" t="str">
            <v>086307005884</v>
          </cell>
          <cell r="J91" t="str">
            <v>94 Nguyễn Văn Lâu Khóm 1</v>
          </cell>
          <cell r="K91" t="str">
            <v>KV2</v>
          </cell>
          <cell r="M91" t="str">
            <v>Không có</v>
          </cell>
          <cell r="N91" t="str">
            <v>Kinh</v>
          </cell>
          <cell r="P91" t="str">
            <v>2025</v>
          </cell>
          <cell r="R91" t="str">
            <v>Không có</v>
          </cell>
          <cell r="S91" t="str">
            <v>Không có</v>
          </cell>
          <cell r="T91" t="str">
            <v>Không có</v>
          </cell>
          <cell r="AA91" t="str">
            <v>Không có</v>
          </cell>
          <cell r="AF91" t="str">
            <v>86N</v>
          </cell>
          <cell r="AG91" t="str">
            <v>428</v>
          </cell>
          <cell r="AH91" t="str">
            <v>THPT Nguyễn Thông</v>
          </cell>
          <cell r="AI91" t="str">
            <v>86N</v>
          </cell>
          <cell r="AJ91" t="str">
            <v>428</v>
          </cell>
          <cell r="AK91" t="str">
            <v>THPT Nguyễn Thông</v>
          </cell>
          <cell r="AL91" t="str">
            <v>86N</v>
          </cell>
          <cell r="AM91" t="str">
            <v>428</v>
          </cell>
          <cell r="AN91" t="str">
            <v>THPT Nguyễn Thông</v>
          </cell>
          <cell r="AO91" t="str">
            <v>GDPT2018</v>
          </cell>
          <cell r="AP91" t="str">
            <v>Đạt</v>
          </cell>
          <cell r="AQ91" t="str">
            <v>6.87</v>
          </cell>
          <cell r="AR91" t="str">
            <v>8.43</v>
          </cell>
          <cell r="AS91" t="str">
            <v>8.46</v>
          </cell>
          <cell r="AT91" t="str">
            <v>8.03</v>
          </cell>
          <cell r="AU91" t="str">
            <v>False</v>
          </cell>
          <cell r="AW91" t="str">
            <v>7340201_1</v>
          </cell>
          <cell r="AX91" t="str">
            <v>Ngân hàng</v>
          </cell>
          <cell r="BC91" t="str">
            <v>phamhuong</v>
          </cell>
          <cell r="BD91" t="str">
            <v>Đã được tiếp nhận</v>
          </cell>
          <cell r="BF91" t="str">
            <v>3</v>
          </cell>
          <cell r="BM91" t="str">
            <v>False</v>
          </cell>
          <cell r="BN91" t="str">
            <v>True</v>
          </cell>
          <cell r="BQ91" t="str">
            <v>KQVSAT_89_086307005884.pdf</v>
          </cell>
          <cell r="BR91">
            <v>8.1999999999999993</v>
          </cell>
          <cell r="BS91">
            <v>8.1</v>
          </cell>
          <cell r="BT91">
            <v>8.1999999999999993</v>
          </cell>
          <cell r="BU91">
            <v>8.4</v>
          </cell>
          <cell r="BV91">
            <v>8.8000000000000007</v>
          </cell>
          <cell r="BW91">
            <v>0</v>
          </cell>
          <cell r="BX91">
            <v>0</v>
          </cell>
          <cell r="BY91">
            <v>7.8</v>
          </cell>
          <cell r="BZ91">
            <v>8.1</v>
          </cell>
          <cell r="CA91">
            <v>8.4</v>
          </cell>
          <cell r="CB91">
            <v>9.9</v>
          </cell>
          <cell r="CC91">
            <v>0</v>
          </cell>
          <cell r="CD91">
            <v>0</v>
          </cell>
          <cell r="CE91">
            <v>0</v>
          </cell>
          <cell r="CF91">
            <v>0</v>
          </cell>
          <cell r="CG91">
            <v>0</v>
          </cell>
          <cell r="CH91">
            <v>0</v>
          </cell>
          <cell r="CI91">
            <v>0</v>
          </cell>
          <cell r="CJ91">
            <v>0</v>
          </cell>
          <cell r="CK91">
            <v>0</v>
          </cell>
          <cell r="CL91">
            <v>0</v>
          </cell>
          <cell r="CM91">
            <v>8.1</v>
          </cell>
          <cell r="CN91">
            <v>7.5</v>
          </cell>
          <cell r="CO91">
            <v>8.6</v>
          </cell>
          <cell r="CP91">
            <v>9</v>
          </cell>
          <cell r="CQ91">
            <v>9.1</v>
          </cell>
          <cell r="CR91">
            <v>0</v>
          </cell>
          <cell r="CS91">
            <v>0</v>
          </cell>
          <cell r="CT91">
            <v>8.1</v>
          </cell>
          <cell r="CU91">
            <v>8</v>
          </cell>
          <cell r="CV91">
            <v>8.4</v>
          </cell>
          <cell r="CW91">
            <v>9.3000000000000007</v>
          </cell>
          <cell r="CX91">
            <v>0</v>
          </cell>
          <cell r="CY91">
            <v>0</v>
          </cell>
          <cell r="CZ91">
            <v>0</v>
          </cell>
          <cell r="DA91">
            <v>0</v>
          </cell>
          <cell r="DB91">
            <v>0</v>
          </cell>
          <cell r="DC91">
            <v>0</v>
          </cell>
          <cell r="DD91">
            <v>0</v>
          </cell>
          <cell r="DE91">
            <v>0</v>
          </cell>
          <cell r="DF91">
            <v>0</v>
          </cell>
          <cell r="DG91">
            <v>0</v>
          </cell>
          <cell r="DH91">
            <v>8.1</v>
          </cell>
          <cell r="DI91">
            <v>7.8</v>
          </cell>
          <cell r="DJ91">
            <v>8.1</v>
          </cell>
          <cell r="DK91">
            <v>9.1</v>
          </cell>
          <cell r="DL91">
            <v>8.4</v>
          </cell>
          <cell r="DM91">
            <v>0</v>
          </cell>
          <cell r="DN91">
            <v>0</v>
          </cell>
          <cell r="DO91">
            <v>7.5</v>
          </cell>
          <cell r="DP91">
            <v>6.5</v>
          </cell>
          <cell r="DQ91">
            <v>7.7</v>
          </cell>
          <cell r="DR91">
            <v>9.1</v>
          </cell>
          <cell r="DS91">
            <v>0</v>
          </cell>
          <cell r="DT91">
            <v>0</v>
          </cell>
          <cell r="DU91">
            <v>0</v>
          </cell>
          <cell r="DV91">
            <v>0</v>
          </cell>
          <cell r="DW91">
            <v>0</v>
          </cell>
          <cell r="DX91">
            <v>0</v>
          </cell>
          <cell r="DY91">
            <v>0</v>
          </cell>
          <cell r="DZ91">
            <v>0</v>
          </cell>
          <cell r="EA91">
            <v>0</v>
          </cell>
          <cell r="EB91">
            <v>0</v>
          </cell>
          <cell r="EW91">
            <v>48.5</v>
          </cell>
          <cell r="EX91">
            <v>109.5</v>
          </cell>
          <cell r="EY91">
            <v>95.5</v>
          </cell>
        </row>
        <row r="92">
          <cell r="A92">
            <v>948703245</v>
          </cell>
          <cell r="B92" t="str">
            <v>KSVBS2622500</v>
          </cell>
          <cell r="C92" t="str">
            <v>68</v>
          </cell>
          <cell r="D92" t="str">
            <v>HUỲNH PHƯƠNG THẢO</v>
          </cell>
          <cell r="E92" t="str">
            <v>1</v>
          </cell>
          <cell r="F92" t="str">
            <v>08/06/2008</v>
          </cell>
          <cell r="G92" t="str">
            <v>huynhthao08062008@gmail.com</v>
          </cell>
          <cell r="H92" t="str">
            <v>0948703245</v>
          </cell>
          <cell r="I92" t="str">
            <v>083308004568</v>
          </cell>
          <cell r="J92" t="str">
            <v>111A, Đường Phạm Thái Bường, Phường Phước Hậu, Tỉnh Vĩnh Long</v>
          </cell>
          <cell r="K92" t="str">
            <v>KV2</v>
          </cell>
          <cell r="M92" t="str">
            <v>Không có</v>
          </cell>
          <cell r="N92" t="str">
            <v>Kinh</v>
          </cell>
          <cell r="P92" t="str">
            <v>2026</v>
          </cell>
          <cell r="Q92" t="str">
            <v>86016363</v>
          </cell>
          <cell r="R92" t="str">
            <v>Không có</v>
          </cell>
          <cell r="S92" t="str">
            <v>Không có</v>
          </cell>
          <cell r="T92" t="str">
            <v>Không có</v>
          </cell>
          <cell r="U92" t="str">
            <v>510946</v>
          </cell>
          <cell r="V92" t="str">
            <v>D26731018</v>
          </cell>
          <cell r="W92" t="str">
            <v>678.00</v>
          </cell>
          <cell r="Z92" t="str">
            <v>0.00</v>
          </cell>
          <cell r="AA92" t="str">
            <v>Không có</v>
          </cell>
          <cell r="AF92" t="str">
            <v>86N</v>
          </cell>
          <cell r="AG92" t="str">
            <v>410</v>
          </cell>
          <cell r="AH92" t="str">
            <v>THPT Vĩnh Long</v>
          </cell>
          <cell r="AI92" t="str">
            <v>86N</v>
          </cell>
          <cell r="AJ92" t="str">
            <v>410</v>
          </cell>
          <cell r="AK92" t="str">
            <v>THPT Vĩnh Long</v>
          </cell>
          <cell r="AL92" t="str">
            <v>86N</v>
          </cell>
          <cell r="AM92" t="str">
            <v>410</v>
          </cell>
          <cell r="AN92" t="str">
            <v>THPT Vĩnh Long</v>
          </cell>
          <cell r="AO92" t="str">
            <v>GDPT2018</v>
          </cell>
          <cell r="AP92" t="str">
            <v>Tốt</v>
          </cell>
          <cell r="AQ92" t="str">
            <v>7.50</v>
          </cell>
          <cell r="AR92" t="str">
            <v>9.32</v>
          </cell>
          <cell r="AS92" t="str">
            <v>9.24</v>
          </cell>
          <cell r="AT92" t="str">
            <v>9.21</v>
          </cell>
          <cell r="AU92" t="str">
            <v>True</v>
          </cell>
          <cell r="AW92" t="str">
            <v>7340301</v>
          </cell>
          <cell r="AX92" t="str">
            <v>Kế toán doanh nghiệp</v>
          </cell>
          <cell r="BC92" t="str">
            <v>phamhuong</v>
          </cell>
          <cell r="BD92" t="str">
            <v>Đã được tiếp nhận</v>
          </cell>
          <cell r="BF92" t="str">
            <v>3</v>
          </cell>
          <cell r="BM92" t="str">
            <v>True</v>
          </cell>
          <cell r="BN92" t="str">
            <v>False</v>
          </cell>
          <cell r="BO92" t="str">
            <v>KQTHPT_90_083308004568.pdf</v>
          </cell>
          <cell r="BP92" t="str">
            <v>KQDGNL_90_083308004568.pdf</v>
          </cell>
          <cell r="BR92">
            <v>9.1</v>
          </cell>
          <cell r="BS92">
            <v>8.6999999999999993</v>
          </cell>
          <cell r="BT92">
            <v>8.8000000000000007</v>
          </cell>
          <cell r="BU92">
            <v>10</v>
          </cell>
          <cell r="BV92">
            <v>8.8000000000000007</v>
          </cell>
          <cell r="BW92">
            <v>9.5</v>
          </cell>
          <cell r="BX92">
            <v>0</v>
          </cell>
          <cell r="BY92">
            <v>9.9</v>
          </cell>
          <cell r="BZ92">
            <v>9.1999999999999993</v>
          </cell>
          <cell r="CA92">
            <v>0</v>
          </cell>
          <cell r="CB92">
            <v>0</v>
          </cell>
          <cell r="CC92">
            <v>9.9</v>
          </cell>
          <cell r="CD92">
            <v>0</v>
          </cell>
          <cell r="CE92">
            <v>0</v>
          </cell>
          <cell r="CF92">
            <v>0</v>
          </cell>
          <cell r="CG92">
            <v>0</v>
          </cell>
          <cell r="CH92">
            <v>0</v>
          </cell>
          <cell r="CI92">
            <v>0</v>
          </cell>
          <cell r="CJ92">
            <v>0</v>
          </cell>
          <cell r="CK92">
            <v>0</v>
          </cell>
          <cell r="CL92">
            <v>0</v>
          </cell>
          <cell r="CM92">
            <v>8.1</v>
          </cell>
          <cell r="CN92">
            <v>8.3000000000000007</v>
          </cell>
          <cell r="CO92">
            <v>9.6</v>
          </cell>
          <cell r="CP92">
            <v>9.9</v>
          </cell>
          <cell r="CQ92">
            <v>9.9</v>
          </cell>
          <cell r="CR92">
            <v>9.6</v>
          </cell>
          <cell r="CS92">
            <v>0</v>
          </cell>
          <cell r="CT92">
            <v>9.1999999999999993</v>
          </cell>
          <cell r="CU92">
            <v>9</v>
          </cell>
          <cell r="CV92">
            <v>0</v>
          </cell>
          <cell r="CW92">
            <v>0</v>
          </cell>
          <cell r="CX92">
            <v>9.6</v>
          </cell>
          <cell r="CY92">
            <v>0</v>
          </cell>
          <cell r="CZ92">
            <v>0</v>
          </cell>
          <cell r="DA92">
            <v>0</v>
          </cell>
          <cell r="DB92">
            <v>0</v>
          </cell>
          <cell r="DC92">
            <v>0</v>
          </cell>
          <cell r="DD92">
            <v>0</v>
          </cell>
          <cell r="DE92">
            <v>0</v>
          </cell>
          <cell r="DF92">
            <v>0</v>
          </cell>
          <cell r="DG92">
            <v>0</v>
          </cell>
          <cell r="DH92">
            <v>8.5</v>
          </cell>
          <cell r="DI92">
            <v>8.1999999999999993</v>
          </cell>
          <cell r="DJ92">
            <v>9.6999999999999993</v>
          </cell>
          <cell r="DK92">
            <v>10</v>
          </cell>
          <cell r="DL92">
            <v>9.1</v>
          </cell>
          <cell r="DM92">
            <v>9.8000000000000007</v>
          </cell>
          <cell r="DN92">
            <v>0</v>
          </cell>
          <cell r="DO92">
            <v>9</v>
          </cell>
          <cell r="DP92">
            <v>8.8000000000000007</v>
          </cell>
          <cell r="DQ92">
            <v>0</v>
          </cell>
          <cell r="DR92">
            <v>0</v>
          </cell>
          <cell r="DS92">
            <v>9.8000000000000007</v>
          </cell>
          <cell r="DT92">
            <v>0</v>
          </cell>
          <cell r="DU92">
            <v>0</v>
          </cell>
          <cell r="DV92">
            <v>0</v>
          </cell>
          <cell r="DW92">
            <v>0</v>
          </cell>
          <cell r="DX92">
            <v>0</v>
          </cell>
          <cell r="DY92">
            <v>0</v>
          </cell>
          <cell r="DZ92">
            <v>0</v>
          </cell>
          <cell r="EA92">
            <v>0</v>
          </cell>
          <cell r="EB92">
            <v>0</v>
          </cell>
          <cell r="EC92">
            <v>7</v>
          </cell>
          <cell r="ED92">
            <v>5.5</v>
          </cell>
          <cell r="EE92">
            <v>4</v>
          </cell>
          <cell r="EJ92">
            <v>6.5</v>
          </cell>
        </row>
        <row r="93">
          <cell r="A93">
            <v>792518575</v>
          </cell>
          <cell r="B93" t="str">
            <v>KSVBS2641380</v>
          </cell>
          <cell r="C93" t="str">
            <v>61</v>
          </cell>
          <cell r="D93" t="str">
            <v>HUỲNH LÊ HỒNG NGÂN</v>
          </cell>
          <cell r="E93" t="str">
            <v>1</v>
          </cell>
          <cell r="F93" t="str">
            <v>15/05/2008</v>
          </cell>
          <cell r="G93" t="str">
            <v>nganhuynh.951505@gmail.com</v>
          </cell>
          <cell r="H93" t="str">
            <v>0792518575</v>
          </cell>
          <cell r="I93" t="str">
            <v>087308009654</v>
          </cell>
          <cell r="J93" t="str">
            <v xml:space="preserve">518 Trần Hưng Đạo tổ 36 khóm 4 </v>
          </cell>
          <cell r="K93" t="str">
            <v>KV2</v>
          </cell>
          <cell r="M93" t="str">
            <v>Không có</v>
          </cell>
          <cell r="N93" t="str">
            <v>Kinh</v>
          </cell>
          <cell r="P93" t="str">
            <v>2026</v>
          </cell>
          <cell r="Q93" t="str">
            <v>82008371</v>
          </cell>
          <cell r="R93" t="str">
            <v>Không có</v>
          </cell>
          <cell r="S93" t="str">
            <v>Không có</v>
          </cell>
          <cell r="T93" t="str">
            <v>Không có</v>
          </cell>
          <cell r="W93" t="str">
            <v>0.00</v>
          </cell>
          <cell r="X93" t="str">
            <v>580638</v>
          </cell>
          <cell r="Y93" t="str">
            <v>D267KD7RB</v>
          </cell>
          <cell r="Z93" t="str">
            <v>635.00</v>
          </cell>
          <cell r="AA93" t="str">
            <v>Không có</v>
          </cell>
          <cell r="AF93" t="str">
            <v>87N</v>
          </cell>
          <cell r="AG93" t="str">
            <v>302</v>
          </cell>
          <cell r="AH93" t="str">
            <v>THPT Cao Lãnh</v>
          </cell>
          <cell r="AI93" t="str">
            <v>87N</v>
          </cell>
          <cell r="AJ93" t="str">
            <v>302</v>
          </cell>
          <cell r="AK93" t="str">
            <v>THPT Cao Lãnh</v>
          </cell>
          <cell r="AL93" t="str">
            <v>87N</v>
          </cell>
          <cell r="AM93" t="str">
            <v>302</v>
          </cell>
          <cell r="AN93" t="str">
            <v>THPT Cao Lãnh</v>
          </cell>
          <cell r="AO93" t="str">
            <v>GDPT2018</v>
          </cell>
          <cell r="AP93" t="str">
            <v>Giỏi</v>
          </cell>
          <cell r="AQ93" t="str">
            <v>7.00</v>
          </cell>
          <cell r="AR93" t="str">
            <v>8.23</v>
          </cell>
          <cell r="AS93" t="str">
            <v>8.51</v>
          </cell>
          <cell r="AT93" t="str">
            <v>8.61</v>
          </cell>
          <cell r="AU93" t="str">
            <v>True</v>
          </cell>
          <cell r="AW93" t="str">
            <v>7340115</v>
          </cell>
          <cell r="AX93" t="str">
            <v>Marketing</v>
          </cell>
          <cell r="AY93" t="str">
            <v>7380107</v>
          </cell>
          <cell r="AZ93" t="str">
            <v>Luật kinh tế</v>
          </cell>
          <cell r="BA93" t="str">
            <v>7620114</v>
          </cell>
          <cell r="BB93" t="str">
            <v>Kinh doanh nông nghiệp</v>
          </cell>
          <cell r="BC93" t="str">
            <v>phamhuong</v>
          </cell>
          <cell r="BD93" t="str">
            <v>Đã được tiếp nhận</v>
          </cell>
          <cell r="BE93" t="str">
            <v>Trường có điều chỉnh giới tính thành Nữ</v>
          </cell>
          <cell r="BF93" t="str">
            <v>3</v>
          </cell>
          <cell r="BM93" t="str">
            <v>True</v>
          </cell>
          <cell r="BN93" t="str">
            <v>False</v>
          </cell>
          <cell r="BO93" t="str">
            <v>KQTHPT_91_087308009654.pdf</v>
          </cell>
          <cell r="BP93" t="str">
            <v>KQDGNL_91_087308009654.pdf</v>
          </cell>
          <cell r="BR93">
            <v>7.7</v>
          </cell>
          <cell r="BS93">
            <v>7.4</v>
          </cell>
          <cell r="BT93">
            <v>7.3</v>
          </cell>
          <cell r="BU93">
            <v>9.6999999999999993</v>
          </cell>
          <cell r="BV93">
            <v>8.3000000000000007</v>
          </cell>
          <cell r="BW93">
            <v>8.8000000000000007</v>
          </cell>
          <cell r="BX93">
            <v>7.5</v>
          </cell>
          <cell r="BY93">
            <v>0</v>
          </cell>
          <cell r="BZ93">
            <v>0</v>
          </cell>
          <cell r="CA93">
            <v>0</v>
          </cell>
          <cell r="CB93">
            <v>9.5</v>
          </cell>
          <cell r="CC93">
            <v>7.9</v>
          </cell>
          <cell r="CD93">
            <v>0</v>
          </cell>
          <cell r="CE93">
            <v>0</v>
          </cell>
          <cell r="CF93">
            <v>0</v>
          </cell>
          <cell r="CG93">
            <v>0</v>
          </cell>
          <cell r="CH93">
            <v>0</v>
          </cell>
          <cell r="CI93">
            <v>0</v>
          </cell>
          <cell r="CJ93">
            <v>0</v>
          </cell>
          <cell r="CK93">
            <v>0</v>
          </cell>
          <cell r="CL93">
            <v>0</v>
          </cell>
          <cell r="CM93">
            <v>7.5</v>
          </cell>
          <cell r="CN93">
            <v>7.8</v>
          </cell>
          <cell r="CO93">
            <v>8.1</v>
          </cell>
          <cell r="CP93">
            <v>9.9</v>
          </cell>
          <cell r="CQ93">
            <v>8.3000000000000007</v>
          </cell>
          <cell r="CR93">
            <v>9.9</v>
          </cell>
          <cell r="CS93">
            <v>7.9</v>
          </cell>
          <cell r="CT93">
            <v>0</v>
          </cell>
          <cell r="CU93">
            <v>0</v>
          </cell>
          <cell r="CV93">
            <v>0</v>
          </cell>
          <cell r="CW93">
            <v>9.1999999999999993</v>
          </cell>
          <cell r="CX93">
            <v>8</v>
          </cell>
          <cell r="CY93">
            <v>0</v>
          </cell>
          <cell r="CZ93">
            <v>0</v>
          </cell>
          <cell r="DA93">
            <v>0</v>
          </cell>
          <cell r="DB93">
            <v>0</v>
          </cell>
          <cell r="DC93">
            <v>0</v>
          </cell>
          <cell r="DD93">
            <v>0</v>
          </cell>
          <cell r="DE93">
            <v>0</v>
          </cell>
          <cell r="DF93">
            <v>0</v>
          </cell>
          <cell r="DG93">
            <v>0</v>
          </cell>
          <cell r="DH93">
            <v>8.3000000000000007</v>
          </cell>
          <cell r="DI93">
            <v>7.9</v>
          </cell>
          <cell r="DJ93">
            <v>7.9</v>
          </cell>
          <cell r="DK93">
            <v>9.6</v>
          </cell>
          <cell r="DL93">
            <v>7.9</v>
          </cell>
          <cell r="DM93">
            <v>9.5</v>
          </cell>
          <cell r="DN93">
            <v>8.1999999999999993</v>
          </cell>
          <cell r="DO93">
            <v>0</v>
          </cell>
          <cell r="DP93">
            <v>0</v>
          </cell>
          <cell r="DQ93">
            <v>0</v>
          </cell>
          <cell r="DR93">
            <v>9.1</v>
          </cell>
          <cell r="DS93">
            <v>9.1</v>
          </cell>
          <cell r="DT93">
            <v>0</v>
          </cell>
          <cell r="DU93">
            <v>0</v>
          </cell>
          <cell r="DV93">
            <v>0</v>
          </cell>
          <cell r="DW93">
            <v>0</v>
          </cell>
          <cell r="DX93">
            <v>0</v>
          </cell>
          <cell r="DY93">
            <v>0</v>
          </cell>
          <cell r="DZ93">
            <v>0</v>
          </cell>
          <cell r="EA93">
            <v>0</v>
          </cell>
          <cell r="EB93">
            <v>0</v>
          </cell>
          <cell r="EC93">
            <v>5.75</v>
          </cell>
          <cell r="ED93">
            <v>6.75</v>
          </cell>
          <cell r="EE93">
            <v>4.5</v>
          </cell>
          <cell r="EH93">
            <v>4.8499999999999996</v>
          </cell>
        </row>
        <row r="94">
          <cell r="A94">
            <v>364456488</v>
          </cell>
          <cell r="B94" t="str">
            <v>KSVBS2603693</v>
          </cell>
          <cell r="C94" t="str">
            <v>62</v>
          </cell>
          <cell r="D94" t="str">
            <v>NGUYỄN THÀNH DANH LỢI</v>
          </cell>
          <cell r="E94" t="str">
            <v>0</v>
          </cell>
          <cell r="F94" t="str">
            <v>03/06/2008</v>
          </cell>
          <cell r="G94" t="str">
            <v>nguyenloi2k836@gmail.com</v>
          </cell>
          <cell r="H94" t="str">
            <v>0364456488</v>
          </cell>
          <cell r="I94" t="str">
            <v>072208011863</v>
          </cell>
          <cell r="J94" t="str">
            <v xml:space="preserve">Ấp Thuận Hoà </v>
          </cell>
          <cell r="K94" t="str">
            <v>KV2-NT</v>
          </cell>
          <cell r="M94" t="str">
            <v>Không có</v>
          </cell>
          <cell r="N94" t="str">
            <v>Kinh</v>
          </cell>
          <cell r="P94" t="str">
            <v>2026</v>
          </cell>
          <cell r="Q94" t="str">
            <v>80025565</v>
          </cell>
          <cell r="R94" t="str">
            <v>Không có</v>
          </cell>
          <cell r="S94" t="str">
            <v>Không có</v>
          </cell>
          <cell r="T94" t="str">
            <v>Không có</v>
          </cell>
          <cell r="AA94" t="str">
            <v>Không có</v>
          </cell>
          <cell r="AF94" t="str">
            <v>72N</v>
          </cell>
          <cell r="AG94" t="str">
            <v>034</v>
          </cell>
          <cell r="AH94" t="str">
            <v>THPT Nguyễn Huệ</v>
          </cell>
          <cell r="AI94" t="str">
            <v>72N</v>
          </cell>
          <cell r="AJ94" t="str">
            <v>034</v>
          </cell>
          <cell r="AK94" t="str">
            <v>THPT Nguyễn Huệ</v>
          </cell>
          <cell r="AL94" t="str">
            <v>72N</v>
          </cell>
          <cell r="AM94" t="str">
            <v>034</v>
          </cell>
          <cell r="AN94" t="str">
            <v>THPT Nguyễn Huệ</v>
          </cell>
          <cell r="AO94" t="str">
            <v>GDPT2018</v>
          </cell>
          <cell r="AP94" t="str">
            <v>Khá</v>
          </cell>
          <cell r="AQ94" t="str">
            <v>8.05</v>
          </cell>
          <cell r="AR94" t="str">
            <v>7.22</v>
          </cell>
          <cell r="AS94" t="str">
            <v>7.70</v>
          </cell>
          <cell r="AT94" t="str">
            <v>7.91</v>
          </cell>
          <cell r="AU94" t="str">
            <v>False</v>
          </cell>
          <cell r="AW94" t="str">
            <v>7340301</v>
          </cell>
          <cell r="AX94" t="str">
            <v>Kế toán doanh nghiệp</v>
          </cell>
          <cell r="AY94" t="str">
            <v>7340201_2</v>
          </cell>
          <cell r="AZ94" t="str">
            <v>Tài chính</v>
          </cell>
          <cell r="BC94" t="str">
            <v>phamhuong</v>
          </cell>
          <cell r="BD94" t="str">
            <v>Bổ sung minh chứng</v>
          </cell>
          <cell r="BE94" t="str">
            <v xml:space="preserve">- Bổ sung tệp Giấy chứng nhận kết quả thi tốt nghiệp THPT năm 2026 (định dạng PDF)
</v>
          </cell>
          <cell r="BF94" t="str">
            <v>3</v>
          </cell>
          <cell r="BM94" t="str">
            <v>True</v>
          </cell>
          <cell r="BN94" t="str">
            <v>False</v>
          </cell>
          <cell r="BO94" t="str">
            <v>KQTHPT_92_072208011863.pdf</v>
          </cell>
          <cell r="BR94">
            <v>8.4</v>
          </cell>
          <cell r="BS94">
            <v>6</v>
          </cell>
          <cell r="BT94">
            <v>4.7</v>
          </cell>
          <cell r="BU94">
            <v>8</v>
          </cell>
          <cell r="BV94">
            <v>7.2</v>
          </cell>
          <cell r="BW94">
            <v>0</v>
          </cell>
          <cell r="BX94">
            <v>0</v>
          </cell>
          <cell r="BY94">
            <v>6.5</v>
          </cell>
          <cell r="BZ94">
            <v>6.5</v>
          </cell>
          <cell r="CA94">
            <v>0</v>
          </cell>
          <cell r="CB94">
            <v>8.1</v>
          </cell>
          <cell r="CC94">
            <v>9.6</v>
          </cell>
          <cell r="CD94">
            <v>0</v>
          </cell>
          <cell r="CE94">
            <v>0</v>
          </cell>
          <cell r="CF94">
            <v>0</v>
          </cell>
          <cell r="CG94">
            <v>0</v>
          </cell>
          <cell r="CH94">
            <v>0</v>
          </cell>
          <cell r="CI94">
            <v>0</v>
          </cell>
          <cell r="CJ94">
            <v>0</v>
          </cell>
          <cell r="CK94">
            <v>0</v>
          </cell>
          <cell r="CL94">
            <v>0</v>
          </cell>
          <cell r="CM94">
            <v>8.1</v>
          </cell>
          <cell r="CN94">
            <v>6.5</v>
          </cell>
          <cell r="CO94">
            <v>5.5</v>
          </cell>
          <cell r="CP94">
            <v>9.1</v>
          </cell>
          <cell r="CQ94">
            <v>7.5</v>
          </cell>
          <cell r="CR94">
            <v>0</v>
          </cell>
          <cell r="CS94">
            <v>0</v>
          </cell>
          <cell r="CT94">
            <v>8.3000000000000007</v>
          </cell>
          <cell r="CU94">
            <v>6.5</v>
          </cell>
          <cell r="CV94">
            <v>0</v>
          </cell>
          <cell r="CW94">
            <v>8.4</v>
          </cell>
          <cell r="CX94">
            <v>9.4</v>
          </cell>
          <cell r="CY94">
            <v>0</v>
          </cell>
          <cell r="CZ94">
            <v>0</v>
          </cell>
          <cell r="DA94">
            <v>0</v>
          </cell>
          <cell r="DB94">
            <v>0</v>
          </cell>
          <cell r="DC94">
            <v>0</v>
          </cell>
          <cell r="DD94">
            <v>0</v>
          </cell>
          <cell r="DE94">
            <v>0</v>
          </cell>
          <cell r="DF94">
            <v>0</v>
          </cell>
          <cell r="DG94">
            <v>0</v>
          </cell>
          <cell r="DH94">
            <v>7.6</v>
          </cell>
          <cell r="DI94">
            <v>6.5</v>
          </cell>
          <cell r="DJ94">
            <v>6.7</v>
          </cell>
          <cell r="DK94">
            <v>8.3000000000000007</v>
          </cell>
          <cell r="DL94">
            <v>7.1</v>
          </cell>
          <cell r="DM94">
            <v>0</v>
          </cell>
          <cell r="DN94">
            <v>0</v>
          </cell>
          <cell r="DO94">
            <v>8.6</v>
          </cell>
          <cell r="DP94">
            <v>7.9</v>
          </cell>
          <cell r="DQ94">
            <v>0</v>
          </cell>
          <cell r="DR94">
            <v>9</v>
          </cell>
          <cell r="DS94">
            <v>9.5</v>
          </cell>
          <cell r="DT94">
            <v>0</v>
          </cell>
          <cell r="DU94">
            <v>0</v>
          </cell>
          <cell r="DV94">
            <v>0</v>
          </cell>
          <cell r="DW94">
            <v>0</v>
          </cell>
          <cell r="DX94">
            <v>0</v>
          </cell>
          <cell r="DY94">
            <v>0</v>
          </cell>
          <cell r="DZ94">
            <v>0</v>
          </cell>
          <cell r="EA94">
            <v>0</v>
          </cell>
          <cell r="EB94">
            <v>0</v>
          </cell>
          <cell r="EC94">
            <v>7</v>
          </cell>
          <cell r="ED94">
            <v>4.5</v>
          </cell>
          <cell r="EJ94">
            <v>5.75</v>
          </cell>
          <cell r="EK94">
            <v>5.5</v>
          </cell>
        </row>
        <row r="95">
          <cell r="A95">
            <v>0</v>
          </cell>
          <cell r="D95" t="str">
            <v>THANH THẢO</v>
          </cell>
          <cell r="E95" t="str">
            <v>0</v>
          </cell>
          <cell r="F95" t="str">
            <v>02/09/2007</v>
          </cell>
          <cell r="G95" t="str">
            <v>thanhthao292007@gmail.com</v>
          </cell>
          <cell r="I95" t="str">
            <v>040307008301</v>
          </cell>
          <cell r="BD95" t="str">
            <v>Chưa hoàn thành</v>
          </cell>
          <cell r="BF95" t="str">
            <v>3</v>
          </cell>
          <cell r="BR95">
            <v>0</v>
          </cell>
          <cell r="BS95">
            <v>0</v>
          </cell>
          <cell r="BT95">
            <v>0</v>
          </cell>
          <cell r="BU95">
            <v>0</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0</v>
          </cell>
          <cell r="DM95">
            <v>0</v>
          </cell>
          <cell r="DN95">
            <v>0</v>
          </cell>
          <cell r="DO95">
            <v>0</v>
          </cell>
          <cell r="DP95">
            <v>0</v>
          </cell>
          <cell r="DQ95">
            <v>0</v>
          </cell>
          <cell r="DR95">
            <v>0</v>
          </cell>
          <cell r="DS95">
            <v>0</v>
          </cell>
          <cell r="DT95">
            <v>0</v>
          </cell>
          <cell r="DU95">
            <v>0</v>
          </cell>
          <cell r="DV95">
            <v>0</v>
          </cell>
          <cell r="DW95">
            <v>0</v>
          </cell>
          <cell r="DX95">
            <v>0</v>
          </cell>
          <cell r="DY95">
            <v>0</v>
          </cell>
          <cell r="DZ95">
            <v>0</v>
          </cell>
          <cell r="EA95">
            <v>0</v>
          </cell>
          <cell r="EB95">
            <v>0</v>
          </cell>
        </row>
        <row r="96">
          <cell r="A96">
            <v>376435793</v>
          </cell>
          <cell r="B96" t="str">
            <v>KSVBS2600202</v>
          </cell>
          <cell r="C96" t="str">
            <v>65</v>
          </cell>
          <cell r="D96" t="str">
            <v>HUỲNH NGÂN GIAO</v>
          </cell>
          <cell r="E96" t="str">
            <v>1</v>
          </cell>
          <cell r="F96" t="str">
            <v>30/04/2008</v>
          </cell>
          <cell r="G96" t="str">
            <v>giaohg1234@gmail.com</v>
          </cell>
          <cell r="H96" t="str">
            <v>0376435793</v>
          </cell>
          <cell r="I96" t="str">
            <v>091308014159</v>
          </cell>
          <cell r="J96" t="str">
            <v>255, Ấp Hoà An B, xã Hoà Thuận, tỉnh An Giang</v>
          </cell>
          <cell r="K96" t="str">
            <v>KV2-NT</v>
          </cell>
          <cell r="M96" t="str">
            <v>Không có</v>
          </cell>
          <cell r="N96" t="str">
            <v>Kinh</v>
          </cell>
          <cell r="P96" t="str">
            <v>2026</v>
          </cell>
          <cell r="Q96" t="str">
            <v>91018048</v>
          </cell>
          <cell r="R96" t="str">
            <v>Không có</v>
          </cell>
          <cell r="S96" t="str">
            <v>Không có</v>
          </cell>
          <cell r="T96" t="str">
            <v>Không có</v>
          </cell>
          <cell r="AA96" t="str">
            <v>Không có</v>
          </cell>
          <cell r="AF96" t="str">
            <v>89N</v>
          </cell>
          <cell r="AG96" t="str">
            <v>009</v>
          </cell>
          <cell r="AH96" t="str">
            <v>Trường THPT Giồng Riềng</v>
          </cell>
          <cell r="AI96" t="str">
            <v>89N</v>
          </cell>
          <cell r="AJ96" t="str">
            <v>009</v>
          </cell>
          <cell r="AK96" t="str">
            <v>Trường THPT Giồng Riềng</v>
          </cell>
          <cell r="AL96" t="str">
            <v>89N</v>
          </cell>
          <cell r="AM96" t="str">
            <v>009</v>
          </cell>
          <cell r="AN96" t="str">
            <v>Trường THPT Giồng Riềng</v>
          </cell>
          <cell r="AO96" t="str">
            <v>GDPT2018</v>
          </cell>
          <cell r="AP96" t="str">
            <v>Giỏi</v>
          </cell>
          <cell r="AQ96" t="str">
            <v>8.14</v>
          </cell>
          <cell r="AR96" t="str">
            <v>7.51</v>
          </cell>
          <cell r="AS96" t="str">
            <v>7.71</v>
          </cell>
          <cell r="AT96" t="str">
            <v>8.64</v>
          </cell>
          <cell r="AU96" t="str">
            <v>False</v>
          </cell>
          <cell r="AW96" t="str">
            <v>7340201_1</v>
          </cell>
          <cell r="AX96" t="str">
            <v>Ngân hàng</v>
          </cell>
          <cell r="AY96" t="str">
            <v>7340201_2</v>
          </cell>
          <cell r="AZ96" t="str">
            <v>Tài chính</v>
          </cell>
          <cell r="BA96" t="str">
            <v>7340115</v>
          </cell>
          <cell r="BB96" t="str">
            <v>Marketing</v>
          </cell>
          <cell r="BC96" t="str">
            <v>phamhuong</v>
          </cell>
          <cell r="BD96" t="str">
            <v>Đã được tiếp nhận</v>
          </cell>
          <cell r="BF96" t="str">
            <v>3</v>
          </cell>
          <cell r="BM96" t="str">
            <v>True</v>
          </cell>
          <cell r="BN96" t="str">
            <v>True</v>
          </cell>
          <cell r="BO96" t="str">
            <v>KQTHPT_94_091308014159.pdf</v>
          </cell>
          <cell r="BQ96" t="str">
            <v>KQVSAT_94_091308014159.pdf</v>
          </cell>
          <cell r="BR96">
            <v>5</v>
          </cell>
          <cell r="BS96">
            <v>7.1</v>
          </cell>
          <cell r="BT96">
            <v>5.9</v>
          </cell>
          <cell r="BU96">
            <v>8.3000000000000007</v>
          </cell>
          <cell r="BV96">
            <v>8.6999999999999993</v>
          </cell>
          <cell r="BW96">
            <v>8.6</v>
          </cell>
          <cell r="BX96">
            <v>8</v>
          </cell>
          <cell r="BY96">
            <v>0</v>
          </cell>
          <cell r="BZ96">
            <v>0</v>
          </cell>
          <cell r="CA96">
            <v>0</v>
          </cell>
          <cell r="CB96">
            <v>0</v>
          </cell>
          <cell r="CC96">
            <v>8.5</v>
          </cell>
          <cell r="CD96">
            <v>0</v>
          </cell>
          <cell r="CE96">
            <v>0</v>
          </cell>
          <cell r="CF96">
            <v>0</v>
          </cell>
          <cell r="CG96">
            <v>0</v>
          </cell>
          <cell r="CH96">
            <v>0</v>
          </cell>
          <cell r="CI96">
            <v>0</v>
          </cell>
          <cell r="CJ96">
            <v>0</v>
          </cell>
          <cell r="CK96">
            <v>0</v>
          </cell>
          <cell r="CL96">
            <v>0</v>
          </cell>
          <cell r="CM96">
            <v>5.5</v>
          </cell>
          <cell r="CN96">
            <v>7.5</v>
          </cell>
          <cell r="CO96">
            <v>7.1</v>
          </cell>
          <cell r="CP96">
            <v>8.3000000000000007</v>
          </cell>
          <cell r="CQ96">
            <v>8.9</v>
          </cell>
          <cell r="CR96">
            <v>8.6999999999999993</v>
          </cell>
          <cell r="CS96">
            <v>7.4</v>
          </cell>
          <cell r="CT96">
            <v>0</v>
          </cell>
          <cell r="CU96">
            <v>0</v>
          </cell>
          <cell r="CV96">
            <v>0</v>
          </cell>
          <cell r="CW96">
            <v>0</v>
          </cell>
          <cell r="CX96">
            <v>8.3000000000000007</v>
          </cell>
          <cell r="CY96">
            <v>0</v>
          </cell>
          <cell r="CZ96">
            <v>0</v>
          </cell>
          <cell r="DA96">
            <v>0</v>
          </cell>
          <cell r="DB96">
            <v>0</v>
          </cell>
          <cell r="DC96">
            <v>0</v>
          </cell>
          <cell r="DD96">
            <v>0</v>
          </cell>
          <cell r="DE96">
            <v>0</v>
          </cell>
          <cell r="DF96">
            <v>0</v>
          </cell>
          <cell r="DG96">
            <v>0</v>
          </cell>
          <cell r="DH96">
            <v>8</v>
          </cell>
          <cell r="DI96">
            <v>8.4</v>
          </cell>
          <cell r="DJ96">
            <v>8.6</v>
          </cell>
          <cell r="DK96">
            <v>8.6</v>
          </cell>
          <cell r="DL96">
            <v>7.9</v>
          </cell>
          <cell r="DM96">
            <v>8.8000000000000007</v>
          </cell>
          <cell r="DN96">
            <v>9.4</v>
          </cell>
          <cell r="DO96">
            <v>0</v>
          </cell>
          <cell r="DP96">
            <v>0</v>
          </cell>
          <cell r="DQ96">
            <v>0</v>
          </cell>
          <cell r="DR96">
            <v>0</v>
          </cell>
          <cell r="DS96">
            <v>9.4</v>
          </cell>
          <cell r="DT96">
            <v>0</v>
          </cell>
          <cell r="DU96">
            <v>0</v>
          </cell>
          <cell r="DV96">
            <v>0</v>
          </cell>
          <cell r="DW96">
            <v>0</v>
          </cell>
          <cell r="DX96">
            <v>0</v>
          </cell>
          <cell r="DY96">
            <v>0</v>
          </cell>
          <cell r="DZ96">
            <v>0</v>
          </cell>
          <cell r="EA96">
            <v>0</v>
          </cell>
          <cell r="EB96">
            <v>0</v>
          </cell>
          <cell r="EC96">
            <v>5.5</v>
          </cell>
          <cell r="ED96">
            <v>7</v>
          </cell>
          <cell r="EE96">
            <v>4.5</v>
          </cell>
          <cell r="EG96">
            <v>6.45</v>
          </cell>
          <cell r="EI96">
            <v>0</v>
          </cell>
          <cell r="EJ96">
            <v>0</v>
          </cell>
          <cell r="EK96">
            <v>0</v>
          </cell>
          <cell r="EL96">
            <v>0</v>
          </cell>
          <cell r="EN96">
            <v>0</v>
          </cell>
          <cell r="EW96">
            <v>84.5</v>
          </cell>
          <cell r="EX96">
            <v>115</v>
          </cell>
          <cell r="EY96">
            <v>69</v>
          </cell>
          <cell r="EZ96">
            <v>0</v>
          </cell>
          <cell r="FA96">
            <v>0</v>
          </cell>
          <cell r="FB96">
            <v>0</v>
          </cell>
          <cell r="FC96">
            <v>0</v>
          </cell>
          <cell r="FD96">
            <v>0</v>
          </cell>
        </row>
        <row r="97">
          <cell r="A97">
            <v>0</v>
          </cell>
          <cell r="D97" t="str">
            <v>VÕ VĂN THỊNH</v>
          </cell>
          <cell r="E97" t="str">
            <v>0</v>
          </cell>
          <cell r="F97" t="str">
            <v>22/08/2004</v>
          </cell>
          <cell r="G97" t="str">
            <v>matthewvo228@gmail.com</v>
          </cell>
          <cell r="I97" t="str">
            <v>064204008957</v>
          </cell>
          <cell r="AR97" t="str">
            <v>7.14</v>
          </cell>
          <cell r="AS97" t="str">
            <v>7.89</v>
          </cell>
          <cell r="AT97" t="str">
            <v>8.33</v>
          </cell>
          <cell r="BD97" t="str">
            <v>Chưa hoàn thành</v>
          </cell>
          <cell r="BF97" t="str">
            <v>3</v>
          </cell>
          <cell r="BR97">
            <v>4.9000000000000004</v>
          </cell>
          <cell r="BS97">
            <v>5.5</v>
          </cell>
          <cell r="BT97">
            <v>6.5</v>
          </cell>
          <cell r="BU97">
            <v>8.3000000000000007</v>
          </cell>
          <cell r="BV97">
            <v>7.7</v>
          </cell>
          <cell r="BW97">
            <v>0</v>
          </cell>
          <cell r="BX97">
            <v>7.8</v>
          </cell>
          <cell r="BY97">
            <v>7.1</v>
          </cell>
          <cell r="BZ97">
            <v>0</v>
          </cell>
          <cell r="CA97">
            <v>0</v>
          </cell>
          <cell r="CB97">
            <v>9.3000000000000007</v>
          </cell>
          <cell r="CC97">
            <v>0</v>
          </cell>
          <cell r="CD97">
            <v>0</v>
          </cell>
          <cell r="CE97">
            <v>0</v>
          </cell>
          <cell r="CF97">
            <v>0</v>
          </cell>
          <cell r="CG97">
            <v>0</v>
          </cell>
          <cell r="CH97">
            <v>0</v>
          </cell>
          <cell r="CI97">
            <v>0</v>
          </cell>
          <cell r="CJ97">
            <v>0</v>
          </cell>
          <cell r="CK97">
            <v>0</v>
          </cell>
          <cell r="CL97">
            <v>0</v>
          </cell>
          <cell r="CM97">
            <v>7</v>
          </cell>
          <cell r="CN97">
            <v>6.1</v>
          </cell>
          <cell r="CO97">
            <v>8.1</v>
          </cell>
          <cell r="CP97">
            <v>8.4</v>
          </cell>
          <cell r="CQ97">
            <v>8.3000000000000007</v>
          </cell>
          <cell r="CR97">
            <v>0</v>
          </cell>
          <cell r="CS97">
            <v>8.9</v>
          </cell>
          <cell r="CT97">
            <v>7.7</v>
          </cell>
          <cell r="CU97">
            <v>0</v>
          </cell>
          <cell r="CV97">
            <v>0</v>
          </cell>
          <cell r="CW97">
            <v>8.6</v>
          </cell>
          <cell r="CX97">
            <v>0</v>
          </cell>
          <cell r="CY97">
            <v>0</v>
          </cell>
          <cell r="CZ97">
            <v>0</v>
          </cell>
          <cell r="DA97">
            <v>0</v>
          </cell>
          <cell r="DB97">
            <v>0</v>
          </cell>
          <cell r="DC97">
            <v>0</v>
          </cell>
          <cell r="DD97">
            <v>0</v>
          </cell>
          <cell r="DE97">
            <v>0</v>
          </cell>
          <cell r="DF97">
            <v>0</v>
          </cell>
          <cell r="DG97">
            <v>0</v>
          </cell>
          <cell r="DH97">
            <v>8.1</v>
          </cell>
          <cell r="DI97">
            <v>8.1</v>
          </cell>
          <cell r="DJ97">
            <v>8</v>
          </cell>
          <cell r="DK97">
            <v>9.3000000000000007</v>
          </cell>
          <cell r="DL97">
            <v>9.3000000000000007</v>
          </cell>
          <cell r="DM97">
            <v>0</v>
          </cell>
          <cell r="DN97">
            <v>7.5</v>
          </cell>
          <cell r="DO97">
            <v>7.7</v>
          </cell>
          <cell r="DP97">
            <v>0</v>
          </cell>
          <cell r="DQ97">
            <v>0</v>
          </cell>
          <cell r="DR97">
            <v>8.6</v>
          </cell>
          <cell r="DS97">
            <v>0</v>
          </cell>
          <cell r="DT97">
            <v>0</v>
          </cell>
          <cell r="DU97">
            <v>0</v>
          </cell>
          <cell r="DV97">
            <v>0</v>
          </cell>
          <cell r="DW97">
            <v>0</v>
          </cell>
          <cell r="DX97">
            <v>0</v>
          </cell>
          <cell r="DY97">
            <v>0</v>
          </cell>
          <cell r="DZ97">
            <v>0</v>
          </cell>
          <cell r="EA97">
            <v>0</v>
          </cell>
          <cell r="EB97">
            <v>0</v>
          </cell>
        </row>
        <row r="98">
          <cell r="A98">
            <v>846578578</v>
          </cell>
          <cell r="B98" t="str">
            <v>KSVBS2631682</v>
          </cell>
          <cell r="C98" t="str">
            <v>74</v>
          </cell>
          <cell r="D98" t="str">
            <v>NGUYỄN QUỐC MINH NGUYỆT</v>
          </cell>
          <cell r="E98" t="str">
            <v>1</v>
          </cell>
          <cell r="F98" t="str">
            <v>23/10/2008</v>
          </cell>
          <cell r="G98" t="str">
            <v>minhnguyetnguyenquoc@gmail.com</v>
          </cell>
          <cell r="H98" t="str">
            <v>0846578578</v>
          </cell>
          <cell r="I98" t="str">
            <v>086308006995</v>
          </cell>
          <cell r="J98" t="str">
            <v>Số 50B, Đường Trưng Nữ Vương, Phường Long Châu, Tỉnh Vĩnh Long</v>
          </cell>
          <cell r="K98" t="str">
            <v>KV3</v>
          </cell>
          <cell r="M98" t="str">
            <v>Không có</v>
          </cell>
          <cell r="N98" t="str">
            <v>Kinh</v>
          </cell>
          <cell r="P98" t="str">
            <v>2026</v>
          </cell>
          <cell r="Q98" t="str">
            <v>92014084</v>
          </cell>
          <cell r="R98" t="str">
            <v>Không có</v>
          </cell>
          <cell r="S98" t="str">
            <v>Không có</v>
          </cell>
          <cell r="T98" t="str">
            <v>Không có</v>
          </cell>
          <cell r="AA98" t="str">
            <v>Không có</v>
          </cell>
          <cell r="AF98" t="str">
            <v>92N</v>
          </cell>
          <cell r="AG98" t="str">
            <v>077</v>
          </cell>
          <cell r="AH98" t="str">
            <v>Trường THPT FPT Cần Thơ</v>
          </cell>
          <cell r="AI98" t="str">
            <v>92N</v>
          </cell>
          <cell r="AJ98" t="str">
            <v>077</v>
          </cell>
          <cell r="AK98" t="str">
            <v>Trường THPT FPT Cần Thơ</v>
          </cell>
          <cell r="AL98" t="str">
            <v>92N</v>
          </cell>
          <cell r="AM98" t="str">
            <v>077</v>
          </cell>
          <cell r="AN98" t="str">
            <v>Trường THPT FPT Cần Thơ</v>
          </cell>
          <cell r="AO98" t="str">
            <v>GDPT2018</v>
          </cell>
          <cell r="AP98" t="str">
            <v>Đạt</v>
          </cell>
          <cell r="AQ98" t="str">
            <v>0.00</v>
          </cell>
          <cell r="AR98" t="str">
            <v>8.38</v>
          </cell>
          <cell r="AS98" t="str">
            <v>8.67</v>
          </cell>
          <cell r="AT98" t="str">
            <v>8.52</v>
          </cell>
          <cell r="AU98" t="str">
            <v>False</v>
          </cell>
          <cell r="AW98" t="str">
            <v>7340120</v>
          </cell>
          <cell r="AX98" t="str">
            <v>Kinh doanh quốc tế</v>
          </cell>
          <cell r="BC98" t="str">
            <v>phamhuong</v>
          </cell>
          <cell r="BD98" t="str">
            <v>Đã được tiếp nhận</v>
          </cell>
          <cell r="BF98" t="str">
            <v>3</v>
          </cell>
          <cell r="BM98" t="str">
            <v>True</v>
          </cell>
          <cell r="BN98" t="str">
            <v>False</v>
          </cell>
          <cell r="BO98" t="str">
            <v>KQTHPT_96_086308006995.pdf</v>
          </cell>
          <cell r="BR98">
            <v>7.7</v>
          </cell>
          <cell r="BS98">
            <v>8.4</v>
          </cell>
          <cell r="BT98">
            <v>8.3000000000000007</v>
          </cell>
          <cell r="BU98">
            <v>9.3000000000000007</v>
          </cell>
          <cell r="BV98">
            <v>8.6</v>
          </cell>
          <cell r="BW98">
            <v>8.9</v>
          </cell>
          <cell r="BX98">
            <v>8.6999999999999993</v>
          </cell>
          <cell r="BY98">
            <v>8.1</v>
          </cell>
          <cell r="BZ98">
            <v>0</v>
          </cell>
          <cell r="CA98">
            <v>0</v>
          </cell>
          <cell r="CB98">
            <v>0</v>
          </cell>
          <cell r="CC98">
            <v>7.4</v>
          </cell>
          <cell r="CD98">
            <v>0</v>
          </cell>
          <cell r="CE98">
            <v>0</v>
          </cell>
          <cell r="CF98">
            <v>0</v>
          </cell>
          <cell r="CG98">
            <v>0</v>
          </cell>
          <cell r="CH98">
            <v>0</v>
          </cell>
          <cell r="CI98">
            <v>0</v>
          </cell>
          <cell r="CJ98">
            <v>0</v>
          </cell>
          <cell r="CK98">
            <v>0</v>
          </cell>
          <cell r="CL98">
            <v>0</v>
          </cell>
          <cell r="CM98">
            <v>7.9</v>
          </cell>
          <cell r="CN98">
            <v>8.4</v>
          </cell>
          <cell r="CO98">
            <v>8.5</v>
          </cell>
          <cell r="CP98">
            <v>9.1</v>
          </cell>
          <cell r="CQ98">
            <v>8.5</v>
          </cell>
          <cell r="CR98">
            <v>9.9</v>
          </cell>
          <cell r="CS98">
            <v>9.5</v>
          </cell>
          <cell r="CT98">
            <v>7.7</v>
          </cell>
          <cell r="CU98">
            <v>0</v>
          </cell>
          <cell r="CV98">
            <v>0</v>
          </cell>
          <cell r="CW98">
            <v>0</v>
          </cell>
          <cell r="CX98">
            <v>8.5</v>
          </cell>
          <cell r="CY98">
            <v>0</v>
          </cell>
          <cell r="CZ98">
            <v>0</v>
          </cell>
          <cell r="DA98">
            <v>0</v>
          </cell>
          <cell r="DB98">
            <v>0</v>
          </cell>
          <cell r="DC98">
            <v>0</v>
          </cell>
          <cell r="DD98">
            <v>0</v>
          </cell>
          <cell r="DE98">
            <v>0</v>
          </cell>
          <cell r="DF98">
            <v>0</v>
          </cell>
          <cell r="DG98">
            <v>0</v>
          </cell>
          <cell r="DH98">
            <v>8</v>
          </cell>
          <cell r="DI98">
            <v>8.4</v>
          </cell>
          <cell r="DJ98">
            <v>7.7</v>
          </cell>
          <cell r="DK98">
            <v>10</v>
          </cell>
          <cell r="DL98">
            <v>8.4</v>
          </cell>
          <cell r="DM98">
            <v>8.8000000000000007</v>
          </cell>
          <cell r="DN98">
            <v>8.6</v>
          </cell>
          <cell r="DO98">
            <v>8</v>
          </cell>
          <cell r="DP98">
            <v>0</v>
          </cell>
          <cell r="DQ98">
            <v>0</v>
          </cell>
          <cell r="DR98">
            <v>0</v>
          </cell>
          <cell r="DS98">
            <v>8.8000000000000007</v>
          </cell>
          <cell r="DT98">
            <v>0</v>
          </cell>
          <cell r="DU98">
            <v>0</v>
          </cell>
          <cell r="DV98">
            <v>0</v>
          </cell>
          <cell r="DW98">
            <v>0</v>
          </cell>
          <cell r="DX98">
            <v>0</v>
          </cell>
          <cell r="DY98">
            <v>0</v>
          </cell>
          <cell r="DZ98">
            <v>0</v>
          </cell>
          <cell r="EA98">
            <v>0</v>
          </cell>
          <cell r="EB98">
            <v>0</v>
          </cell>
          <cell r="EC98">
            <v>5</v>
          </cell>
          <cell r="ED98">
            <v>7</v>
          </cell>
          <cell r="EE98">
            <v>3.25</v>
          </cell>
          <cell r="EH98">
            <v>4.5999999999999996</v>
          </cell>
        </row>
        <row r="99">
          <cell r="A99">
            <v>0</v>
          </cell>
          <cell r="D99" t="str">
            <v>NGUYỄN THỊ TRÚC LINH</v>
          </cell>
          <cell r="E99" t="str">
            <v>0</v>
          </cell>
          <cell r="F99" t="str">
            <v>06/05/2008</v>
          </cell>
          <cell r="G99" t="str">
            <v>ln408479@gmail.com</v>
          </cell>
          <cell r="I99" t="str">
            <v>086308001129</v>
          </cell>
          <cell r="BD99" t="str">
            <v>Chưa hoàn thành</v>
          </cell>
          <cell r="BF99" t="str">
            <v>3</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0</v>
          </cell>
          <cell r="DE99">
            <v>0</v>
          </cell>
          <cell r="DF99">
            <v>0</v>
          </cell>
          <cell r="DG99">
            <v>0</v>
          </cell>
          <cell r="DH99">
            <v>0</v>
          </cell>
          <cell r="DI99">
            <v>0</v>
          </cell>
          <cell r="DJ99">
            <v>0</v>
          </cell>
          <cell r="DK99">
            <v>0</v>
          </cell>
          <cell r="DL99">
            <v>0</v>
          </cell>
          <cell r="DM99">
            <v>0</v>
          </cell>
          <cell r="DN99">
            <v>0</v>
          </cell>
          <cell r="DO99">
            <v>0</v>
          </cell>
          <cell r="DP99">
            <v>0</v>
          </cell>
          <cell r="DQ99">
            <v>0</v>
          </cell>
          <cell r="DR99">
            <v>0</v>
          </cell>
          <cell r="DS99">
            <v>0</v>
          </cell>
          <cell r="DT99">
            <v>0</v>
          </cell>
          <cell r="DU99">
            <v>0</v>
          </cell>
          <cell r="DV99">
            <v>0</v>
          </cell>
          <cell r="DW99">
            <v>0</v>
          </cell>
          <cell r="DX99">
            <v>0</v>
          </cell>
          <cell r="DY99">
            <v>0</v>
          </cell>
          <cell r="DZ99">
            <v>0</v>
          </cell>
          <cell r="EA99">
            <v>0</v>
          </cell>
          <cell r="EB99">
            <v>0</v>
          </cell>
        </row>
        <row r="100">
          <cell r="A100">
            <v>792573639</v>
          </cell>
          <cell r="B100" t="str">
            <v>KSVBS2610787</v>
          </cell>
          <cell r="C100" t="str">
            <v>77</v>
          </cell>
          <cell r="D100" t="str">
            <v>NGUYỄN THÀNH TÂM</v>
          </cell>
          <cell r="E100" t="str">
            <v>0</v>
          </cell>
          <cell r="F100" t="str">
            <v>27/06/2008</v>
          </cell>
          <cell r="G100" t="str">
            <v>nguyenthanhtam2021vl@gmail.com</v>
          </cell>
          <cell r="H100" t="str">
            <v>0792573639</v>
          </cell>
          <cell r="I100" t="str">
            <v>086208011850</v>
          </cell>
          <cell r="J100" t="str">
            <v>ấp thiềng long 2</v>
          </cell>
          <cell r="K100" t="str">
            <v>KV2-NT</v>
          </cell>
          <cell r="M100" t="str">
            <v>Không có</v>
          </cell>
          <cell r="N100" t="str">
            <v>Kinh</v>
          </cell>
          <cell r="P100" t="str">
            <v>2026</v>
          </cell>
          <cell r="Q100" t="str">
            <v>86017079</v>
          </cell>
          <cell r="R100" t="str">
            <v>Không có</v>
          </cell>
          <cell r="S100" t="str">
            <v>Không có</v>
          </cell>
          <cell r="T100" t="str">
            <v>Không có</v>
          </cell>
          <cell r="AA100" t="str">
            <v>Không có</v>
          </cell>
          <cell r="AF100" t="str">
            <v>86N</v>
          </cell>
          <cell r="AG100" t="str">
            <v>406</v>
          </cell>
          <cell r="AH100" t="str">
            <v>THPT Phạm Hùng</v>
          </cell>
          <cell r="AI100" t="str">
            <v>86N</v>
          </cell>
          <cell r="AJ100" t="str">
            <v>406</v>
          </cell>
          <cell r="AK100" t="str">
            <v>THPT Phạm Hùng</v>
          </cell>
          <cell r="AL100" t="str">
            <v>86N</v>
          </cell>
          <cell r="AM100" t="str">
            <v>406</v>
          </cell>
          <cell r="AN100" t="str">
            <v>THPT Phạm Hùng</v>
          </cell>
          <cell r="AO100" t="str">
            <v>GDPT2018</v>
          </cell>
          <cell r="AP100" t="str">
            <v>Khá</v>
          </cell>
          <cell r="AQ100" t="str">
            <v>7.90</v>
          </cell>
          <cell r="AR100" t="str">
            <v>7.32</v>
          </cell>
          <cell r="AS100" t="str">
            <v>7.53</v>
          </cell>
          <cell r="AT100" t="str">
            <v>7.90</v>
          </cell>
          <cell r="AU100" t="str">
            <v>False</v>
          </cell>
          <cell r="AW100" t="str">
            <v>7340115</v>
          </cell>
          <cell r="AX100" t="str">
            <v>Marketing</v>
          </cell>
          <cell r="AY100" t="str">
            <v>7340122</v>
          </cell>
          <cell r="AZ100" t="str">
            <v>Thương mại điện tử</v>
          </cell>
          <cell r="BA100" t="str">
            <v>7480201</v>
          </cell>
          <cell r="BB100" t="str">
            <v>Công nghệ và đổi mới sáng tạo</v>
          </cell>
          <cell r="BC100" t="str">
            <v>phamhuong</v>
          </cell>
          <cell r="BD100" t="str">
            <v>Đã được tiếp nhận</v>
          </cell>
          <cell r="BE100" t="str">
            <v xml:space="preserve">Bổ sung Giấy chứng nhận kết quả thi THPT 2026 </v>
          </cell>
          <cell r="BF100" t="str">
            <v>3</v>
          </cell>
          <cell r="BM100" t="str">
            <v>True</v>
          </cell>
          <cell r="BN100" t="str">
            <v>False</v>
          </cell>
          <cell r="BO100" t="str">
            <v>KQTHPT_98_086208011850.pdf</v>
          </cell>
          <cell r="BR100">
            <v>5.2</v>
          </cell>
          <cell r="BS100">
            <v>6.2</v>
          </cell>
          <cell r="BT100">
            <v>6.2</v>
          </cell>
          <cell r="BU100">
            <v>8.1999999999999993</v>
          </cell>
          <cell r="BV100">
            <v>7.7</v>
          </cell>
          <cell r="BW100">
            <v>9</v>
          </cell>
          <cell r="BX100">
            <v>7.7</v>
          </cell>
          <cell r="BY100">
            <v>0</v>
          </cell>
          <cell r="BZ100">
            <v>0</v>
          </cell>
          <cell r="CA100">
            <v>7.6</v>
          </cell>
          <cell r="CB100">
            <v>0</v>
          </cell>
          <cell r="CC100">
            <v>8.1</v>
          </cell>
          <cell r="CD100">
            <v>0</v>
          </cell>
          <cell r="CE100">
            <v>0</v>
          </cell>
          <cell r="CF100">
            <v>0</v>
          </cell>
          <cell r="CG100">
            <v>0</v>
          </cell>
          <cell r="CH100">
            <v>0</v>
          </cell>
          <cell r="CI100">
            <v>0</v>
          </cell>
          <cell r="CJ100">
            <v>0</v>
          </cell>
          <cell r="CK100">
            <v>0</v>
          </cell>
          <cell r="CL100">
            <v>0</v>
          </cell>
          <cell r="CM100">
            <v>5.7</v>
          </cell>
          <cell r="CN100">
            <v>6.7</v>
          </cell>
          <cell r="CO100">
            <v>7.1</v>
          </cell>
          <cell r="CP100">
            <v>8.6</v>
          </cell>
          <cell r="CQ100">
            <v>7.7</v>
          </cell>
          <cell r="CR100">
            <v>7.7</v>
          </cell>
          <cell r="CS100">
            <v>8.6999999999999993</v>
          </cell>
          <cell r="CT100">
            <v>0</v>
          </cell>
          <cell r="CU100">
            <v>0</v>
          </cell>
          <cell r="CV100">
            <v>7.8</v>
          </cell>
          <cell r="CW100">
            <v>0</v>
          </cell>
          <cell r="CX100">
            <v>7.8</v>
          </cell>
          <cell r="CY100">
            <v>0</v>
          </cell>
          <cell r="CZ100">
            <v>0</v>
          </cell>
          <cell r="DA100">
            <v>0</v>
          </cell>
          <cell r="DB100">
            <v>0</v>
          </cell>
          <cell r="DC100">
            <v>0</v>
          </cell>
          <cell r="DD100">
            <v>0</v>
          </cell>
          <cell r="DE100">
            <v>0</v>
          </cell>
          <cell r="DF100">
            <v>0</v>
          </cell>
          <cell r="DG100">
            <v>0</v>
          </cell>
          <cell r="DH100">
            <v>6.4</v>
          </cell>
          <cell r="DI100">
            <v>6.9</v>
          </cell>
          <cell r="DJ100">
            <v>7.1</v>
          </cell>
          <cell r="DK100">
            <v>9.1999999999999993</v>
          </cell>
          <cell r="DL100">
            <v>8.4</v>
          </cell>
          <cell r="DM100">
            <v>8.1</v>
          </cell>
          <cell r="DN100">
            <v>9.3000000000000007</v>
          </cell>
          <cell r="DO100">
            <v>0</v>
          </cell>
          <cell r="DP100">
            <v>0</v>
          </cell>
          <cell r="DQ100">
            <v>7.4</v>
          </cell>
          <cell r="DR100">
            <v>0</v>
          </cell>
          <cell r="DS100">
            <v>8.3000000000000007</v>
          </cell>
          <cell r="DT100">
            <v>0</v>
          </cell>
          <cell r="DU100">
            <v>0</v>
          </cell>
          <cell r="DV100">
            <v>0</v>
          </cell>
          <cell r="DW100">
            <v>0</v>
          </cell>
          <cell r="DX100">
            <v>0</v>
          </cell>
          <cell r="DY100">
            <v>0</v>
          </cell>
          <cell r="DZ100">
            <v>0</v>
          </cell>
          <cell r="EA100">
            <v>0</v>
          </cell>
          <cell r="EB100">
            <v>0</v>
          </cell>
          <cell r="EC100">
            <v>4.0999999999999996</v>
          </cell>
          <cell r="ED100">
            <v>5</v>
          </cell>
          <cell r="EH100">
            <v>6.1</v>
          </cell>
          <cell r="EI100">
            <v>5</v>
          </cell>
        </row>
        <row r="101">
          <cell r="A101">
            <v>706325895</v>
          </cell>
          <cell r="B101" t="str">
            <v>KSVBS2646594</v>
          </cell>
          <cell r="C101" t="str">
            <v>85</v>
          </cell>
          <cell r="D101" t="str">
            <v>NGUYỄN ĐAN THANH</v>
          </cell>
          <cell r="E101" t="str">
            <v>1</v>
          </cell>
          <cell r="F101" t="str">
            <v>18/12/2008</v>
          </cell>
          <cell r="G101" t="str">
            <v>nguyendanthanh1218@gmail.com</v>
          </cell>
          <cell r="H101" t="str">
            <v>0706325895</v>
          </cell>
          <cell r="I101" t="str">
            <v>086308005178</v>
          </cell>
          <cell r="J101" t="str">
            <v>115/A/12 đường 14 tháng 9</v>
          </cell>
          <cell r="K101" t="str">
            <v>KV2</v>
          </cell>
          <cell r="M101" t="str">
            <v>Không có</v>
          </cell>
          <cell r="N101" t="str">
            <v>Kinh</v>
          </cell>
          <cell r="P101" t="str">
            <v>2026</v>
          </cell>
          <cell r="Q101" t="str">
            <v>86016354</v>
          </cell>
          <cell r="R101" t="str">
            <v>Không có</v>
          </cell>
          <cell r="S101" t="str">
            <v>Không có</v>
          </cell>
          <cell r="T101" t="str">
            <v>Không có</v>
          </cell>
          <cell r="AA101" t="str">
            <v>Không có</v>
          </cell>
          <cell r="AF101" t="str">
            <v>86N</v>
          </cell>
          <cell r="AG101" t="str">
            <v>410</v>
          </cell>
          <cell r="AH101" t="str">
            <v>THPT Vĩnh Long</v>
          </cell>
          <cell r="AI101" t="str">
            <v>86N</v>
          </cell>
          <cell r="AJ101" t="str">
            <v>410</v>
          </cell>
          <cell r="AK101" t="str">
            <v>THPT Vĩnh Long</v>
          </cell>
          <cell r="AL101" t="str">
            <v>86N</v>
          </cell>
          <cell r="AM101" t="str">
            <v>410</v>
          </cell>
          <cell r="AN101" t="str">
            <v>THPT Vĩnh Long</v>
          </cell>
          <cell r="AO101" t="str">
            <v>GDPT2018</v>
          </cell>
          <cell r="AP101" t="str">
            <v>Tốt</v>
          </cell>
          <cell r="AQ101" t="str">
            <v>8.63</v>
          </cell>
          <cell r="AR101" t="str">
            <v>8.04</v>
          </cell>
          <cell r="AS101" t="str">
            <v>8.17</v>
          </cell>
          <cell r="AT101" t="str">
            <v>8.63</v>
          </cell>
          <cell r="AU101" t="str">
            <v>False</v>
          </cell>
          <cell r="AW101" t="str">
            <v>7340115</v>
          </cell>
          <cell r="AX101" t="str">
            <v>Marketing</v>
          </cell>
          <cell r="BC101" t="str">
            <v>phamhuong</v>
          </cell>
          <cell r="BD101" t="str">
            <v>Đã được tiếp nhận</v>
          </cell>
          <cell r="BF101" t="str">
            <v>3</v>
          </cell>
          <cell r="BM101" t="str">
            <v>True</v>
          </cell>
          <cell r="BN101" t="str">
            <v>False</v>
          </cell>
          <cell r="BO101" t="str">
            <v>KQTHPT_99_086308005178.pdf</v>
          </cell>
          <cell r="BR101">
            <v>7.1</v>
          </cell>
          <cell r="BS101">
            <v>7.1</v>
          </cell>
          <cell r="BT101">
            <v>7.6</v>
          </cell>
          <cell r="BU101">
            <v>9</v>
          </cell>
          <cell r="BV101">
            <v>7.7</v>
          </cell>
          <cell r="BW101">
            <v>9</v>
          </cell>
          <cell r="BX101">
            <v>0</v>
          </cell>
          <cell r="BY101">
            <v>0</v>
          </cell>
          <cell r="BZ101">
            <v>8.5</v>
          </cell>
          <cell r="CA101">
            <v>7.7</v>
          </cell>
          <cell r="CB101">
            <v>8.6999999999999993</v>
          </cell>
          <cell r="CC101">
            <v>0</v>
          </cell>
          <cell r="CD101">
            <v>0</v>
          </cell>
          <cell r="CE101">
            <v>0</v>
          </cell>
          <cell r="CF101">
            <v>0</v>
          </cell>
          <cell r="CG101">
            <v>0</v>
          </cell>
          <cell r="CH101">
            <v>0</v>
          </cell>
          <cell r="CI101">
            <v>0</v>
          </cell>
          <cell r="CJ101">
            <v>0</v>
          </cell>
          <cell r="CK101">
            <v>0</v>
          </cell>
          <cell r="CL101">
            <v>0</v>
          </cell>
          <cell r="CM101">
            <v>7.1</v>
          </cell>
          <cell r="CN101">
            <v>6.6</v>
          </cell>
          <cell r="CO101">
            <v>7.7</v>
          </cell>
          <cell r="CP101">
            <v>9.5</v>
          </cell>
          <cell r="CQ101">
            <v>9</v>
          </cell>
          <cell r="CR101">
            <v>9.1</v>
          </cell>
          <cell r="CS101">
            <v>0</v>
          </cell>
          <cell r="CT101">
            <v>0</v>
          </cell>
          <cell r="CU101">
            <v>7.1</v>
          </cell>
          <cell r="CV101">
            <v>8</v>
          </cell>
          <cell r="CW101">
            <v>9.4</v>
          </cell>
          <cell r="CX101">
            <v>0</v>
          </cell>
          <cell r="CY101">
            <v>0</v>
          </cell>
          <cell r="CZ101">
            <v>0</v>
          </cell>
          <cell r="DA101">
            <v>0</v>
          </cell>
          <cell r="DB101">
            <v>0</v>
          </cell>
          <cell r="DC101">
            <v>0</v>
          </cell>
          <cell r="DD101">
            <v>0</v>
          </cell>
          <cell r="DE101">
            <v>0</v>
          </cell>
          <cell r="DF101">
            <v>0</v>
          </cell>
          <cell r="DG101">
            <v>0</v>
          </cell>
          <cell r="DH101">
            <v>8.6999999999999993</v>
          </cell>
          <cell r="DI101">
            <v>7.5</v>
          </cell>
          <cell r="DJ101">
            <v>7.5</v>
          </cell>
          <cell r="DK101">
            <v>9.8000000000000007</v>
          </cell>
          <cell r="DL101">
            <v>8.8000000000000007</v>
          </cell>
          <cell r="DM101">
            <v>8.8000000000000007</v>
          </cell>
          <cell r="DN101">
            <v>0</v>
          </cell>
          <cell r="DO101">
            <v>0</v>
          </cell>
          <cell r="DP101">
            <v>8.8000000000000007</v>
          </cell>
          <cell r="DQ101">
            <v>8.6999999999999993</v>
          </cell>
          <cell r="DR101">
            <v>9.1</v>
          </cell>
          <cell r="DS101">
            <v>0</v>
          </cell>
          <cell r="DT101">
            <v>0</v>
          </cell>
          <cell r="DU101">
            <v>0</v>
          </cell>
          <cell r="DV101">
            <v>0</v>
          </cell>
          <cell r="DW101">
            <v>0</v>
          </cell>
          <cell r="DX101">
            <v>0</v>
          </cell>
          <cell r="DY101">
            <v>0</v>
          </cell>
          <cell r="DZ101">
            <v>0</v>
          </cell>
          <cell r="EA101">
            <v>0</v>
          </cell>
          <cell r="EB101">
            <v>0</v>
          </cell>
          <cell r="EC101">
            <v>5.75</v>
          </cell>
          <cell r="ED101">
            <v>4.25</v>
          </cell>
          <cell r="EK101">
            <v>5.5</v>
          </cell>
          <cell r="EL101">
            <v>7</v>
          </cell>
        </row>
        <row r="102">
          <cell r="A102">
            <v>0</v>
          </cell>
          <cell r="D102" t="str">
            <v>HỒ HUỲNH NHƯ</v>
          </cell>
          <cell r="E102" t="str">
            <v>0</v>
          </cell>
          <cell r="F102" t="str">
            <v>11/10/2007</v>
          </cell>
          <cell r="G102" t="str">
            <v>nhuhuynh3080@gmail.com</v>
          </cell>
          <cell r="I102" t="str">
            <v>089307021142</v>
          </cell>
          <cell r="BD102" t="str">
            <v>Chưa hoàn thành</v>
          </cell>
          <cell r="BF102" t="str">
            <v>3</v>
          </cell>
          <cell r="BR102">
            <v>0</v>
          </cell>
          <cell r="BS102">
            <v>0</v>
          </cell>
          <cell r="BT102">
            <v>0</v>
          </cell>
          <cell r="BU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v>0</v>
          </cell>
          <cell r="CM102">
            <v>0</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0</v>
          </cell>
          <cell r="DM102">
            <v>0</v>
          </cell>
          <cell r="DN102">
            <v>0</v>
          </cell>
          <cell r="DO102">
            <v>0</v>
          </cell>
          <cell r="DP102">
            <v>0</v>
          </cell>
          <cell r="DQ102">
            <v>0</v>
          </cell>
          <cell r="DR102">
            <v>0</v>
          </cell>
          <cell r="DS102">
            <v>0</v>
          </cell>
          <cell r="DT102">
            <v>0</v>
          </cell>
          <cell r="DU102">
            <v>0</v>
          </cell>
          <cell r="DV102">
            <v>0</v>
          </cell>
          <cell r="DW102">
            <v>0</v>
          </cell>
          <cell r="DX102">
            <v>0</v>
          </cell>
          <cell r="DY102">
            <v>0</v>
          </cell>
          <cell r="DZ102">
            <v>0</v>
          </cell>
          <cell r="EA102">
            <v>0</v>
          </cell>
          <cell r="EB102">
            <v>0</v>
          </cell>
        </row>
        <row r="103">
          <cell r="A103">
            <v>0</v>
          </cell>
          <cell r="D103" t="str">
            <v>DƯƠNG THỊ TRÚC MAI</v>
          </cell>
          <cell r="E103" t="str">
            <v>0</v>
          </cell>
          <cell r="F103" t="str">
            <v>23/05/2007</v>
          </cell>
          <cell r="G103" t="str">
            <v>trucmai5364@gmail.com</v>
          </cell>
          <cell r="I103" t="str">
            <v>075307007359</v>
          </cell>
          <cell r="BD103" t="str">
            <v>Chưa hoàn thành</v>
          </cell>
          <cell r="BF103" t="str">
            <v>3</v>
          </cell>
          <cell r="BR103">
            <v>0</v>
          </cell>
          <cell r="BS103">
            <v>0</v>
          </cell>
          <cell r="BT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0</v>
          </cell>
          <cell r="CW103">
            <v>0</v>
          </cell>
          <cell r="CX103">
            <v>0</v>
          </cell>
          <cell r="CY103">
            <v>0</v>
          </cell>
          <cell r="CZ103">
            <v>0</v>
          </cell>
          <cell r="DA103">
            <v>0</v>
          </cell>
          <cell r="DB103">
            <v>0</v>
          </cell>
          <cell r="DC103">
            <v>0</v>
          </cell>
          <cell r="DD103">
            <v>0</v>
          </cell>
          <cell r="DE103">
            <v>0</v>
          </cell>
          <cell r="DF103">
            <v>0</v>
          </cell>
          <cell r="DG103">
            <v>0</v>
          </cell>
          <cell r="DH103">
            <v>0</v>
          </cell>
          <cell r="DI103">
            <v>0</v>
          </cell>
          <cell r="DJ103">
            <v>0</v>
          </cell>
          <cell r="DK103">
            <v>0</v>
          </cell>
          <cell r="DL103">
            <v>0</v>
          </cell>
          <cell r="DM103">
            <v>0</v>
          </cell>
          <cell r="DN103">
            <v>0</v>
          </cell>
          <cell r="DO103">
            <v>0</v>
          </cell>
          <cell r="DP103">
            <v>0</v>
          </cell>
          <cell r="DQ103">
            <v>0</v>
          </cell>
          <cell r="DR103">
            <v>0</v>
          </cell>
          <cell r="DS103">
            <v>0</v>
          </cell>
          <cell r="DT103">
            <v>0</v>
          </cell>
          <cell r="DU103">
            <v>0</v>
          </cell>
          <cell r="DV103">
            <v>0</v>
          </cell>
          <cell r="DW103">
            <v>0</v>
          </cell>
          <cell r="DX103">
            <v>0</v>
          </cell>
          <cell r="DY103">
            <v>0</v>
          </cell>
          <cell r="DZ103">
            <v>0</v>
          </cell>
          <cell r="EA103">
            <v>0</v>
          </cell>
          <cell r="EB103">
            <v>0</v>
          </cell>
        </row>
        <row r="104">
          <cell r="A104">
            <v>0</v>
          </cell>
          <cell r="D104" t="str">
            <v>BÙI NGỌC ANH THƯ</v>
          </cell>
          <cell r="E104" t="str">
            <v>0</v>
          </cell>
          <cell r="F104" t="str">
            <v>28/01/2008</v>
          </cell>
          <cell r="G104" t="str">
            <v>chunhy28@gmail.com</v>
          </cell>
          <cell r="I104" t="str">
            <v>086308011221</v>
          </cell>
          <cell r="BD104" t="str">
            <v>Chưa hoàn thành</v>
          </cell>
          <cell r="BF104" t="str">
            <v>3</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v>0</v>
          </cell>
          <cell r="DU104">
            <v>0</v>
          </cell>
          <cell r="DV104">
            <v>0</v>
          </cell>
          <cell r="DW104">
            <v>0</v>
          </cell>
          <cell r="DX104">
            <v>0</v>
          </cell>
          <cell r="DY104">
            <v>0</v>
          </cell>
          <cell r="DZ104">
            <v>0</v>
          </cell>
          <cell r="EA104">
            <v>0</v>
          </cell>
          <cell r="EB104">
            <v>0</v>
          </cell>
        </row>
        <row r="105">
          <cell r="A105">
            <v>0</v>
          </cell>
          <cell r="D105" t="str">
            <v>NGUYỄN KIM NGÂN</v>
          </cell>
          <cell r="E105" t="str">
            <v>0</v>
          </cell>
          <cell r="F105" t="str">
            <v>07/03/2007</v>
          </cell>
          <cell r="G105" t="str">
            <v>Nguyenkimngantvtvi@gmail.com</v>
          </cell>
          <cell r="I105" t="str">
            <v>084307006606</v>
          </cell>
          <cell r="AR105" t="str">
            <v>8.36</v>
          </cell>
          <cell r="AS105" t="str">
            <v>8.49</v>
          </cell>
          <cell r="AT105" t="str">
            <v>8.61</v>
          </cell>
          <cell r="BD105" t="str">
            <v>Chưa hoàn thành</v>
          </cell>
          <cell r="BF105" t="str">
            <v>3</v>
          </cell>
          <cell r="BR105">
            <v>7.3</v>
          </cell>
          <cell r="BS105">
            <v>8.3000000000000007</v>
          </cell>
          <cell r="BT105">
            <v>7.6</v>
          </cell>
          <cell r="BU105">
            <v>9.4</v>
          </cell>
          <cell r="BV105">
            <v>9.6</v>
          </cell>
          <cell r="BW105">
            <v>0</v>
          </cell>
          <cell r="BX105">
            <v>0</v>
          </cell>
          <cell r="BY105">
            <v>7.3</v>
          </cell>
          <cell r="BZ105">
            <v>8.1999999999999993</v>
          </cell>
          <cell r="CA105">
            <v>8.6</v>
          </cell>
          <cell r="CB105">
            <v>0</v>
          </cell>
          <cell r="CC105">
            <v>8.9</v>
          </cell>
          <cell r="CD105">
            <v>0</v>
          </cell>
          <cell r="CE105">
            <v>0</v>
          </cell>
          <cell r="CF105">
            <v>0</v>
          </cell>
          <cell r="CG105">
            <v>0</v>
          </cell>
          <cell r="CH105">
            <v>0</v>
          </cell>
          <cell r="CI105">
            <v>0</v>
          </cell>
          <cell r="CJ105">
            <v>0</v>
          </cell>
          <cell r="CK105">
            <v>0</v>
          </cell>
          <cell r="CL105">
            <v>0</v>
          </cell>
          <cell r="CM105">
            <v>8.6999999999999993</v>
          </cell>
          <cell r="CN105">
            <v>8.8000000000000007</v>
          </cell>
          <cell r="CO105">
            <v>8</v>
          </cell>
          <cell r="CP105">
            <v>8.1</v>
          </cell>
          <cell r="CQ105">
            <v>8.3000000000000007</v>
          </cell>
          <cell r="CR105">
            <v>0</v>
          </cell>
          <cell r="CS105">
            <v>0</v>
          </cell>
          <cell r="CT105">
            <v>8.1</v>
          </cell>
          <cell r="CU105">
            <v>8</v>
          </cell>
          <cell r="CV105">
            <v>9.1999999999999993</v>
          </cell>
          <cell r="CW105">
            <v>0</v>
          </cell>
          <cell r="CX105">
            <v>9.1999999999999993</v>
          </cell>
          <cell r="CY105">
            <v>0</v>
          </cell>
          <cell r="CZ105">
            <v>0</v>
          </cell>
          <cell r="DA105">
            <v>0</v>
          </cell>
          <cell r="DB105">
            <v>0</v>
          </cell>
          <cell r="DC105">
            <v>0</v>
          </cell>
          <cell r="DD105">
            <v>0</v>
          </cell>
          <cell r="DE105">
            <v>0</v>
          </cell>
          <cell r="DF105">
            <v>0</v>
          </cell>
          <cell r="DG105">
            <v>0</v>
          </cell>
          <cell r="DH105">
            <v>8.8000000000000007</v>
          </cell>
          <cell r="DI105">
            <v>8.1999999999999993</v>
          </cell>
          <cell r="DJ105">
            <v>8.1999999999999993</v>
          </cell>
          <cell r="DK105">
            <v>9</v>
          </cell>
          <cell r="DL105">
            <v>9.1</v>
          </cell>
          <cell r="DM105">
            <v>0</v>
          </cell>
          <cell r="DN105">
            <v>0</v>
          </cell>
          <cell r="DO105">
            <v>8.3000000000000007</v>
          </cell>
          <cell r="DP105">
            <v>8.6</v>
          </cell>
          <cell r="DQ105">
            <v>8.1</v>
          </cell>
          <cell r="DR105">
            <v>0</v>
          </cell>
          <cell r="DS105">
            <v>9.1999999999999993</v>
          </cell>
          <cell r="DT105">
            <v>0</v>
          </cell>
          <cell r="DU105">
            <v>0</v>
          </cell>
          <cell r="DV105">
            <v>0</v>
          </cell>
          <cell r="DW105">
            <v>0</v>
          </cell>
          <cell r="DX105">
            <v>0</v>
          </cell>
          <cell r="DY105">
            <v>0</v>
          </cell>
          <cell r="DZ105">
            <v>0</v>
          </cell>
          <cell r="EA105">
            <v>0</v>
          </cell>
          <cell r="EB105">
            <v>0</v>
          </cell>
        </row>
        <row r="106">
          <cell r="A106">
            <v>797280837</v>
          </cell>
          <cell r="B106" t="str">
            <v>KSVBS2649203</v>
          </cell>
          <cell r="C106" t="str">
            <v>69</v>
          </cell>
          <cell r="D106" t="str">
            <v>PHẠM THỤY TRÂM ANH</v>
          </cell>
          <cell r="E106" t="str">
            <v>1</v>
          </cell>
          <cell r="F106" t="str">
            <v>03/01/2008</v>
          </cell>
          <cell r="G106" t="str">
            <v>manhyangho0301@gmail.com</v>
          </cell>
          <cell r="H106" t="str">
            <v>0797280837</v>
          </cell>
          <cell r="I106" t="str">
            <v>087308004435</v>
          </cell>
          <cell r="J106" t="str">
            <v>625, tổ 13, ấp An Thạnh, xã Phú Hựu, tỉnh Đồng Tháp</v>
          </cell>
          <cell r="K106" t="str">
            <v>KV2-NT</v>
          </cell>
          <cell r="M106" t="str">
            <v>Không có</v>
          </cell>
          <cell r="N106" t="str">
            <v>Kinh</v>
          </cell>
          <cell r="P106" t="str">
            <v>2026</v>
          </cell>
          <cell r="Q106" t="str">
            <v>82017938</v>
          </cell>
          <cell r="R106" t="str">
            <v>Không có</v>
          </cell>
          <cell r="S106" t="str">
            <v>Không có</v>
          </cell>
          <cell r="T106" t="str">
            <v>Không có</v>
          </cell>
          <cell r="AA106" t="str">
            <v>Không có</v>
          </cell>
          <cell r="AF106" t="str">
            <v>87N</v>
          </cell>
          <cell r="AG106" t="str">
            <v>305</v>
          </cell>
          <cell r="AH106" t="str">
            <v>THPT Châu Thành 1</v>
          </cell>
          <cell r="AI106" t="str">
            <v>87N</v>
          </cell>
          <cell r="AJ106" t="str">
            <v>305</v>
          </cell>
          <cell r="AK106" t="str">
            <v>THPT Châu Thành 1</v>
          </cell>
          <cell r="AL106" t="str">
            <v>87N</v>
          </cell>
          <cell r="AM106" t="str">
            <v>305</v>
          </cell>
          <cell r="AN106" t="str">
            <v>THPT Châu Thành 1</v>
          </cell>
          <cell r="AO106" t="str">
            <v>GDPT2018</v>
          </cell>
          <cell r="AP106" t="str">
            <v>Tốt</v>
          </cell>
          <cell r="AQ106" t="str">
            <v>6.75</v>
          </cell>
          <cell r="AR106" t="str">
            <v>8.57</v>
          </cell>
          <cell r="AS106" t="str">
            <v>8.79</v>
          </cell>
          <cell r="AT106" t="str">
            <v>8.81</v>
          </cell>
          <cell r="AU106" t="str">
            <v>False</v>
          </cell>
          <cell r="AW106" t="str">
            <v>7220201</v>
          </cell>
          <cell r="AX106" t="str">
            <v>Tiếng Anh thương mại</v>
          </cell>
          <cell r="AY106" t="str">
            <v>7340120</v>
          </cell>
          <cell r="AZ106" t="str">
            <v>Kinh doanh quốc tế</v>
          </cell>
          <cell r="BA106" t="str">
            <v>7810201</v>
          </cell>
          <cell r="BB106" t="str">
            <v>Quản trị khách sạn</v>
          </cell>
          <cell r="BC106" t="str">
            <v>phamhuong</v>
          </cell>
          <cell r="BD106" t="str">
            <v>Đã được tiếp nhận</v>
          </cell>
          <cell r="BF106" t="str">
            <v>3</v>
          </cell>
          <cell r="BM106" t="str">
            <v>True</v>
          </cell>
          <cell r="BN106" t="str">
            <v>False</v>
          </cell>
          <cell r="BO106" t="str">
            <v>KQTHPT_104_087308004435.pdf</v>
          </cell>
          <cell r="BR106">
            <v>8.5</v>
          </cell>
          <cell r="BS106">
            <v>7.7</v>
          </cell>
          <cell r="BT106">
            <v>8.6</v>
          </cell>
          <cell r="BU106">
            <v>10</v>
          </cell>
          <cell r="BV106">
            <v>9.1</v>
          </cell>
          <cell r="BW106">
            <v>0</v>
          </cell>
          <cell r="BX106">
            <v>0</v>
          </cell>
          <cell r="BY106">
            <v>9.3000000000000007</v>
          </cell>
          <cell r="BZ106">
            <v>7.7</v>
          </cell>
          <cell r="CA106">
            <v>7</v>
          </cell>
          <cell r="CB106">
            <v>0</v>
          </cell>
          <cell r="CC106">
            <v>9.1999999999999993</v>
          </cell>
          <cell r="CD106">
            <v>0</v>
          </cell>
          <cell r="CE106">
            <v>0</v>
          </cell>
          <cell r="CF106">
            <v>0</v>
          </cell>
          <cell r="CG106">
            <v>0</v>
          </cell>
          <cell r="CH106">
            <v>0</v>
          </cell>
          <cell r="CI106">
            <v>0</v>
          </cell>
          <cell r="CJ106">
            <v>0</v>
          </cell>
          <cell r="CK106">
            <v>0</v>
          </cell>
          <cell r="CL106">
            <v>0</v>
          </cell>
          <cell r="CM106">
            <v>8.3000000000000007</v>
          </cell>
          <cell r="CN106">
            <v>8</v>
          </cell>
          <cell r="CO106">
            <v>8.6999999999999993</v>
          </cell>
          <cell r="CP106">
            <v>9.5</v>
          </cell>
          <cell r="CQ106">
            <v>9.6</v>
          </cell>
          <cell r="CR106">
            <v>0</v>
          </cell>
          <cell r="CS106">
            <v>0</v>
          </cell>
          <cell r="CT106">
            <v>9.3000000000000007</v>
          </cell>
          <cell r="CU106">
            <v>7.9</v>
          </cell>
          <cell r="CV106">
            <v>8.3000000000000007</v>
          </cell>
          <cell r="CW106">
            <v>0</v>
          </cell>
          <cell r="CX106">
            <v>9.5</v>
          </cell>
          <cell r="CY106">
            <v>0</v>
          </cell>
          <cell r="CZ106">
            <v>0</v>
          </cell>
          <cell r="DA106">
            <v>0</v>
          </cell>
          <cell r="DB106">
            <v>0</v>
          </cell>
          <cell r="DC106">
            <v>0</v>
          </cell>
          <cell r="DD106">
            <v>0</v>
          </cell>
          <cell r="DE106">
            <v>0</v>
          </cell>
          <cell r="DF106">
            <v>0</v>
          </cell>
          <cell r="DG106">
            <v>0</v>
          </cell>
          <cell r="DH106">
            <v>7.5</v>
          </cell>
          <cell r="DI106">
            <v>8.5</v>
          </cell>
          <cell r="DJ106">
            <v>9.4</v>
          </cell>
          <cell r="DK106">
            <v>9.5</v>
          </cell>
          <cell r="DL106">
            <v>9.4</v>
          </cell>
          <cell r="DM106">
            <v>0</v>
          </cell>
          <cell r="DN106">
            <v>0</v>
          </cell>
          <cell r="DO106">
            <v>8.6999999999999993</v>
          </cell>
          <cell r="DP106">
            <v>8.3000000000000007</v>
          </cell>
          <cell r="DQ106">
            <v>8.5</v>
          </cell>
          <cell r="DR106">
            <v>0</v>
          </cell>
          <cell r="DS106">
            <v>9.5</v>
          </cell>
          <cell r="DT106">
            <v>0</v>
          </cell>
          <cell r="DU106">
            <v>0</v>
          </cell>
          <cell r="DV106">
            <v>0</v>
          </cell>
          <cell r="DW106">
            <v>0</v>
          </cell>
          <cell r="DX106">
            <v>0</v>
          </cell>
          <cell r="DY106">
            <v>0</v>
          </cell>
          <cell r="DZ106">
            <v>0</v>
          </cell>
          <cell r="EA106">
            <v>0</v>
          </cell>
          <cell r="EB106">
            <v>0</v>
          </cell>
          <cell r="EC106">
            <v>5.75</v>
          </cell>
          <cell r="ED106">
            <v>6</v>
          </cell>
          <cell r="EE106">
            <v>3.25</v>
          </cell>
          <cell r="EJ106">
            <v>3.85</v>
          </cell>
        </row>
        <row r="107">
          <cell r="A107">
            <v>395944701</v>
          </cell>
          <cell r="B107" t="str">
            <v>KSVBS2607253</v>
          </cell>
          <cell r="C107" t="str">
            <v>76</v>
          </cell>
          <cell r="D107" t="str">
            <v>LÊ THỊ KIỀU OANH</v>
          </cell>
          <cell r="E107" t="str">
            <v>1</v>
          </cell>
          <cell r="F107" t="str">
            <v>10/05/2008</v>
          </cell>
          <cell r="G107" t="str">
            <v>lethkieuoannh@gmail.com</v>
          </cell>
          <cell r="H107" t="str">
            <v>0395944701</v>
          </cell>
          <cell r="I107" t="str">
            <v>082308006662</v>
          </cell>
          <cell r="J107" t="str">
            <v xml:space="preserve">Ấp Tân Tây 3 </v>
          </cell>
          <cell r="K107" t="str">
            <v>KV2-NT</v>
          </cell>
          <cell r="M107" t="str">
            <v>Không có</v>
          </cell>
          <cell r="N107" t="str">
            <v>Kinh</v>
          </cell>
          <cell r="P107" t="str">
            <v>2026</v>
          </cell>
          <cell r="Q107" t="str">
            <v>82036403</v>
          </cell>
          <cell r="R107" t="str">
            <v>Không có</v>
          </cell>
          <cell r="S107" t="str">
            <v>Không có</v>
          </cell>
          <cell r="T107" t="str">
            <v>Không có</v>
          </cell>
          <cell r="W107" t="str">
            <v>0.00</v>
          </cell>
          <cell r="X107" t="str">
            <v>572350</v>
          </cell>
          <cell r="Y107" t="str">
            <v>D26VQ32XP</v>
          </cell>
          <cell r="Z107" t="str">
            <v>502.00</v>
          </cell>
          <cell r="AA107" t="str">
            <v>Không có</v>
          </cell>
          <cell r="AF107" t="str">
            <v>87N</v>
          </cell>
          <cell r="AG107" t="str">
            <v>609</v>
          </cell>
          <cell r="AH107" t="str">
            <v>THPT Gò Công Đông</v>
          </cell>
          <cell r="AI107" t="str">
            <v>87N</v>
          </cell>
          <cell r="AJ107" t="str">
            <v>609</v>
          </cell>
          <cell r="AK107" t="str">
            <v>THPT Gò Công Đông</v>
          </cell>
          <cell r="AL107" t="str">
            <v>87N</v>
          </cell>
          <cell r="AM107" t="str">
            <v>609</v>
          </cell>
          <cell r="AN107" t="str">
            <v>THPT Gò Công Đông</v>
          </cell>
          <cell r="AO107" t="str">
            <v>GDPT2018</v>
          </cell>
          <cell r="AP107" t="str">
            <v>Giỏi</v>
          </cell>
          <cell r="AQ107" t="str">
            <v>7.13</v>
          </cell>
          <cell r="AR107" t="str">
            <v>8.18</v>
          </cell>
          <cell r="AS107" t="str">
            <v>8.09</v>
          </cell>
          <cell r="AT107" t="str">
            <v>8.53</v>
          </cell>
          <cell r="AU107" t="str">
            <v>True</v>
          </cell>
          <cell r="AW107" t="str">
            <v>7340301</v>
          </cell>
          <cell r="AX107" t="str">
            <v>Kế toán doanh nghiệp</v>
          </cell>
          <cell r="AY107" t="str">
            <v>7340122</v>
          </cell>
          <cell r="AZ107" t="str">
            <v>Thương mại điện tử</v>
          </cell>
          <cell r="BA107" t="str">
            <v>7340201_3</v>
          </cell>
          <cell r="BB107" t="str">
            <v>Thuế</v>
          </cell>
          <cell r="BC107" t="str">
            <v>phamhuong</v>
          </cell>
          <cell r="BD107" t="str">
            <v>Đã được tiếp nhận</v>
          </cell>
          <cell r="BE107" t="str">
            <v xml:space="preserve">- Bổ sung tệp Giấy chứng nhận kết quả thi Đánh giá năng lực (ĐGNL) năm 2026 (định dạng PDF)
</v>
          </cell>
          <cell r="BF107" t="str">
            <v>3</v>
          </cell>
          <cell r="BM107" t="str">
            <v>True</v>
          </cell>
          <cell r="BN107" t="str">
            <v>False</v>
          </cell>
          <cell r="BO107" t="str">
            <v>KQTHPT_105_082308006662.pdf</v>
          </cell>
          <cell r="BP107" t="str">
            <v>KQDGNL_105_082308006662.pdf</v>
          </cell>
          <cell r="BR107">
            <v>7.7</v>
          </cell>
          <cell r="BS107">
            <v>8</v>
          </cell>
          <cell r="BT107">
            <v>8.1</v>
          </cell>
          <cell r="BU107">
            <v>8</v>
          </cell>
          <cell r="BV107">
            <v>8.1999999999999993</v>
          </cell>
          <cell r="BW107">
            <v>8.5</v>
          </cell>
          <cell r="BX107">
            <v>0</v>
          </cell>
          <cell r="BY107">
            <v>8.1</v>
          </cell>
          <cell r="BZ107">
            <v>0</v>
          </cell>
          <cell r="CA107">
            <v>8.1</v>
          </cell>
          <cell r="CB107">
            <v>0</v>
          </cell>
          <cell r="CC107">
            <v>8.9</v>
          </cell>
          <cell r="CD107">
            <v>0</v>
          </cell>
          <cell r="CE107">
            <v>0</v>
          </cell>
          <cell r="CF107">
            <v>0</v>
          </cell>
          <cell r="CG107">
            <v>0</v>
          </cell>
          <cell r="CH107">
            <v>0</v>
          </cell>
          <cell r="CI107">
            <v>0</v>
          </cell>
          <cell r="CJ107">
            <v>0</v>
          </cell>
          <cell r="CK107">
            <v>0</v>
          </cell>
          <cell r="CL107">
            <v>0</v>
          </cell>
          <cell r="CM107">
            <v>7.4</v>
          </cell>
          <cell r="CN107">
            <v>7.8</v>
          </cell>
          <cell r="CO107">
            <v>7.3</v>
          </cell>
          <cell r="CP107">
            <v>8.5</v>
          </cell>
          <cell r="CQ107">
            <v>8.1</v>
          </cell>
          <cell r="CR107">
            <v>9.1</v>
          </cell>
          <cell r="CS107">
            <v>0</v>
          </cell>
          <cell r="CT107">
            <v>7.2</v>
          </cell>
          <cell r="CU107">
            <v>0</v>
          </cell>
          <cell r="CV107">
            <v>8.9</v>
          </cell>
          <cell r="CW107">
            <v>0</v>
          </cell>
          <cell r="CX107">
            <v>8.5</v>
          </cell>
          <cell r="CY107">
            <v>0</v>
          </cell>
          <cell r="CZ107">
            <v>0</v>
          </cell>
          <cell r="DA107">
            <v>0</v>
          </cell>
          <cell r="DB107">
            <v>0</v>
          </cell>
          <cell r="DC107">
            <v>0</v>
          </cell>
          <cell r="DD107">
            <v>0</v>
          </cell>
          <cell r="DE107">
            <v>0</v>
          </cell>
          <cell r="DF107">
            <v>0</v>
          </cell>
          <cell r="DG107">
            <v>0</v>
          </cell>
          <cell r="DH107">
            <v>7.7</v>
          </cell>
          <cell r="DI107">
            <v>8.6</v>
          </cell>
          <cell r="DJ107">
            <v>8.1</v>
          </cell>
          <cell r="DK107">
            <v>9</v>
          </cell>
          <cell r="DL107">
            <v>8.9</v>
          </cell>
          <cell r="DM107">
            <v>9</v>
          </cell>
          <cell r="DN107">
            <v>0</v>
          </cell>
          <cell r="DO107">
            <v>7.5</v>
          </cell>
          <cell r="DP107">
            <v>0</v>
          </cell>
          <cell r="DQ107">
            <v>8.6999999999999993</v>
          </cell>
          <cell r="DR107">
            <v>0</v>
          </cell>
          <cell r="DS107">
            <v>9.3000000000000007</v>
          </cell>
          <cell r="DT107">
            <v>0</v>
          </cell>
          <cell r="DU107">
            <v>0</v>
          </cell>
          <cell r="DV107">
            <v>0</v>
          </cell>
          <cell r="DW107">
            <v>0</v>
          </cell>
          <cell r="DX107">
            <v>0</v>
          </cell>
          <cell r="DY107">
            <v>0</v>
          </cell>
          <cell r="DZ107">
            <v>0</v>
          </cell>
          <cell r="EA107">
            <v>0</v>
          </cell>
          <cell r="EB107">
            <v>0</v>
          </cell>
          <cell r="EC107">
            <v>5</v>
          </cell>
          <cell r="ED107">
            <v>5.75</v>
          </cell>
          <cell r="EG107">
            <v>7</v>
          </cell>
          <cell r="EH107">
            <v>6</v>
          </cell>
        </row>
        <row r="108">
          <cell r="A108">
            <v>904550831</v>
          </cell>
          <cell r="B108" t="str">
            <v>KSVBS2605978</v>
          </cell>
          <cell r="C108" t="str">
            <v>115</v>
          </cell>
          <cell r="D108" t="str">
            <v>NGUYỄN HOÀNG KHANG</v>
          </cell>
          <cell r="E108" t="str">
            <v>0</v>
          </cell>
          <cell r="F108" t="str">
            <v>30/04/2008</v>
          </cell>
          <cell r="G108" t="str">
            <v>khanglinh098@gmail.com</v>
          </cell>
          <cell r="H108" t="str">
            <v>0904550831</v>
          </cell>
          <cell r="I108" t="str">
            <v>086208008791</v>
          </cell>
          <cell r="J108" t="str">
            <v>nhà số 27, đường số 12, khu nhà ở Hoàng Hảo, Thanh Đức, Vĩnh Long</v>
          </cell>
          <cell r="K108" t="str">
            <v>KV2</v>
          </cell>
          <cell r="M108" t="str">
            <v>Không có</v>
          </cell>
          <cell r="N108" t="str">
            <v>Kinh</v>
          </cell>
          <cell r="P108" t="str">
            <v>2026</v>
          </cell>
          <cell r="Q108" t="str">
            <v>86013569</v>
          </cell>
          <cell r="R108" t="str">
            <v>Không có</v>
          </cell>
          <cell r="S108" t="str">
            <v>Không có</v>
          </cell>
          <cell r="T108" t="str">
            <v>Không có</v>
          </cell>
          <cell r="AA108" t="str">
            <v>Không có</v>
          </cell>
          <cell r="AF108" t="str">
            <v>86N</v>
          </cell>
          <cell r="AG108" t="str">
            <v>409</v>
          </cell>
          <cell r="AH108" t="str">
            <v>THPT Lưu Văn Liệt</v>
          </cell>
          <cell r="AI108" t="str">
            <v>86N</v>
          </cell>
          <cell r="AJ108" t="str">
            <v>409</v>
          </cell>
          <cell r="AK108" t="str">
            <v>THPT Lưu Văn Liệt</v>
          </cell>
          <cell r="AL108" t="str">
            <v>86N</v>
          </cell>
          <cell r="AM108" t="str">
            <v>409</v>
          </cell>
          <cell r="AN108" t="str">
            <v>THPT Lưu Văn Liệt</v>
          </cell>
          <cell r="AO108" t="str">
            <v>GDPT2018</v>
          </cell>
          <cell r="AP108" t="str">
            <v>Tốt</v>
          </cell>
          <cell r="AQ108" t="str">
            <v>0.00</v>
          </cell>
          <cell r="AR108" t="str">
            <v>7.87</v>
          </cell>
          <cell r="AS108" t="str">
            <v>8.01</v>
          </cell>
          <cell r="AT108" t="str">
            <v>8.30</v>
          </cell>
          <cell r="AU108" t="str">
            <v>False</v>
          </cell>
          <cell r="AW108" t="str">
            <v>7340122</v>
          </cell>
          <cell r="AX108" t="str">
            <v>Thương mại điện tử</v>
          </cell>
          <cell r="AY108" t="str">
            <v>7340201_2</v>
          </cell>
          <cell r="AZ108" t="str">
            <v>Tài chính</v>
          </cell>
          <cell r="BA108" t="str">
            <v>7340120</v>
          </cell>
          <cell r="BB108" t="str">
            <v>Kinh doanh quốc tế</v>
          </cell>
          <cell r="BC108" t="str">
            <v>phamhuong</v>
          </cell>
          <cell r="BD108" t="str">
            <v>Đã được tiếp nhận</v>
          </cell>
          <cell r="BF108" t="str">
            <v>3</v>
          </cell>
          <cell r="BM108" t="str">
            <v>True</v>
          </cell>
          <cell r="BN108" t="str">
            <v>False</v>
          </cell>
          <cell r="BO108" t="str">
            <v>KQTHPT_106_086208008791.pdf</v>
          </cell>
          <cell r="BR108">
            <v>7.5</v>
          </cell>
          <cell r="BS108">
            <v>6</v>
          </cell>
          <cell r="BT108">
            <v>6.3</v>
          </cell>
          <cell r="BU108">
            <v>9.6999999999999993</v>
          </cell>
          <cell r="BV108">
            <v>8</v>
          </cell>
          <cell r="BW108">
            <v>0</v>
          </cell>
          <cell r="BX108">
            <v>0</v>
          </cell>
          <cell r="BY108">
            <v>8.1</v>
          </cell>
          <cell r="BZ108">
            <v>6.8</v>
          </cell>
          <cell r="CA108">
            <v>0</v>
          </cell>
          <cell r="CB108">
            <v>9.5</v>
          </cell>
          <cell r="CC108">
            <v>8.9</v>
          </cell>
          <cell r="CD108">
            <v>0</v>
          </cell>
          <cell r="CE108">
            <v>0</v>
          </cell>
          <cell r="CF108">
            <v>0</v>
          </cell>
          <cell r="CG108">
            <v>0</v>
          </cell>
          <cell r="CH108">
            <v>0</v>
          </cell>
          <cell r="CI108">
            <v>0</v>
          </cell>
          <cell r="CJ108">
            <v>0</v>
          </cell>
          <cell r="CK108">
            <v>0</v>
          </cell>
          <cell r="CL108">
            <v>0</v>
          </cell>
          <cell r="CM108">
            <v>8.6999999999999993</v>
          </cell>
          <cell r="CN108">
            <v>6.5</v>
          </cell>
          <cell r="CO108">
            <v>7.4</v>
          </cell>
          <cell r="CP108">
            <v>8.9</v>
          </cell>
          <cell r="CQ108">
            <v>8.8000000000000007</v>
          </cell>
          <cell r="CR108">
            <v>0</v>
          </cell>
          <cell r="CS108">
            <v>0</v>
          </cell>
          <cell r="CT108">
            <v>8</v>
          </cell>
          <cell r="CU108">
            <v>6.6</v>
          </cell>
          <cell r="CV108">
            <v>0</v>
          </cell>
          <cell r="CW108">
            <v>8.3000000000000007</v>
          </cell>
          <cell r="CX108">
            <v>8.9</v>
          </cell>
          <cell r="CY108">
            <v>0</v>
          </cell>
          <cell r="CZ108">
            <v>0</v>
          </cell>
          <cell r="DA108">
            <v>0</v>
          </cell>
          <cell r="DB108">
            <v>0</v>
          </cell>
          <cell r="DC108">
            <v>0</v>
          </cell>
          <cell r="DD108">
            <v>0</v>
          </cell>
          <cell r="DE108">
            <v>0</v>
          </cell>
          <cell r="DF108">
            <v>0</v>
          </cell>
          <cell r="DG108">
            <v>0</v>
          </cell>
          <cell r="DH108">
            <v>8.3000000000000007</v>
          </cell>
          <cell r="DI108">
            <v>7.3</v>
          </cell>
          <cell r="DJ108">
            <v>6.7</v>
          </cell>
          <cell r="DK108">
            <v>9</v>
          </cell>
          <cell r="DL108">
            <v>8.6</v>
          </cell>
          <cell r="DM108">
            <v>0</v>
          </cell>
          <cell r="DN108">
            <v>0</v>
          </cell>
          <cell r="DO108">
            <v>8.6999999999999993</v>
          </cell>
          <cell r="DP108">
            <v>7.2</v>
          </cell>
          <cell r="DQ108">
            <v>0</v>
          </cell>
          <cell r="DR108">
            <v>9.6999999999999993</v>
          </cell>
          <cell r="DS108">
            <v>9.1999999999999993</v>
          </cell>
          <cell r="DT108">
            <v>0</v>
          </cell>
          <cell r="DU108">
            <v>0</v>
          </cell>
          <cell r="DV108">
            <v>0</v>
          </cell>
          <cell r="DW108">
            <v>0</v>
          </cell>
          <cell r="DX108">
            <v>0</v>
          </cell>
          <cell r="DY108">
            <v>0</v>
          </cell>
          <cell r="DZ108">
            <v>0</v>
          </cell>
          <cell r="EA108">
            <v>0</v>
          </cell>
          <cell r="EB108">
            <v>0</v>
          </cell>
          <cell r="EC108">
            <v>6.25</v>
          </cell>
          <cell r="ED108">
            <v>6.25</v>
          </cell>
          <cell r="EG108">
            <v>7.5</v>
          </cell>
          <cell r="EJ108">
            <v>4.3499999999999996</v>
          </cell>
        </row>
        <row r="109">
          <cell r="A109">
            <v>829639129</v>
          </cell>
          <cell r="B109" t="str">
            <v>KSVBS2639007</v>
          </cell>
          <cell r="C109" t="str">
            <v>79</v>
          </cell>
          <cell r="D109" t="str">
            <v>NGUYỄN HỮU CHUẨN KHOA</v>
          </cell>
          <cell r="E109" t="str">
            <v>0</v>
          </cell>
          <cell r="F109" t="str">
            <v>07/12/2008</v>
          </cell>
          <cell r="G109" t="str">
            <v>chuankhoa08@gmail.com</v>
          </cell>
          <cell r="H109" t="str">
            <v>0829639129</v>
          </cell>
          <cell r="I109" t="str">
            <v>087208010723</v>
          </cell>
          <cell r="J109" t="str">
            <v>tổ 11 , ấp Tân Phú, xã Phú Hựu, tỉnh Đồng Tháp</v>
          </cell>
          <cell r="K109" t="str">
            <v>KV2-NT</v>
          </cell>
          <cell r="M109" t="str">
            <v>Không có</v>
          </cell>
          <cell r="N109" t="str">
            <v>Kinh</v>
          </cell>
          <cell r="P109" t="str">
            <v>2026</v>
          </cell>
          <cell r="Q109" t="str">
            <v>82018666</v>
          </cell>
          <cell r="R109" t="str">
            <v>Không có</v>
          </cell>
          <cell r="S109" t="str">
            <v>Không có</v>
          </cell>
          <cell r="T109" t="str">
            <v>Không có</v>
          </cell>
          <cell r="W109" t="str">
            <v>0.00</v>
          </cell>
          <cell r="X109" t="str">
            <v>581079</v>
          </cell>
          <cell r="Y109" t="str">
            <v>D263493GC</v>
          </cell>
          <cell r="Z109" t="str">
            <v>576.00</v>
          </cell>
          <cell r="AA109" t="str">
            <v>Không có</v>
          </cell>
          <cell r="AF109" t="str">
            <v>87N</v>
          </cell>
          <cell r="AG109" t="str">
            <v>306</v>
          </cell>
          <cell r="AH109" t="str">
            <v>THPT Châu Thành 2</v>
          </cell>
          <cell r="AI109" t="str">
            <v>87N</v>
          </cell>
          <cell r="AJ109" t="str">
            <v>306</v>
          </cell>
          <cell r="AK109" t="str">
            <v>THPT Châu Thành 2</v>
          </cell>
          <cell r="AL109" t="str">
            <v>87N</v>
          </cell>
          <cell r="AM109" t="str">
            <v>306</v>
          </cell>
          <cell r="AN109" t="str">
            <v>THPT Châu Thành 2</v>
          </cell>
          <cell r="AO109" t="str">
            <v>GDPT2018</v>
          </cell>
          <cell r="AP109" t="str">
            <v>Khá</v>
          </cell>
          <cell r="AQ109" t="str">
            <v>7.82</v>
          </cell>
          <cell r="AR109" t="str">
            <v>8.03</v>
          </cell>
          <cell r="AS109" t="str">
            <v>7.67</v>
          </cell>
          <cell r="AT109" t="str">
            <v>7.82</v>
          </cell>
          <cell r="AU109" t="str">
            <v>True</v>
          </cell>
          <cell r="AW109" t="str">
            <v>7480107</v>
          </cell>
          <cell r="AX109" t="str">
            <v>Robot và Trí tuệ nhân tạo (hệ kỹ sư)</v>
          </cell>
          <cell r="BC109" t="str">
            <v>phamhuong</v>
          </cell>
          <cell r="BD109" t="str">
            <v>Đã được tiếp nhận</v>
          </cell>
          <cell r="BE109" t="str">
            <v xml:space="preserve">- Bổ sung tệp Giấy chứng nhận kết quả thi V-SAT năm 2026 (định dạng PDF)
</v>
          </cell>
          <cell r="BF109" t="str">
            <v>3</v>
          </cell>
          <cell r="BM109" t="str">
            <v>True</v>
          </cell>
          <cell r="BN109" t="str">
            <v>True</v>
          </cell>
          <cell r="BO109" t="str">
            <v>KQTHPT_107_087208010723.pdf</v>
          </cell>
          <cell r="BP109" t="str">
            <v>KQDGNL_107_087208010723.pdf</v>
          </cell>
          <cell r="BQ109" t="str">
            <v>KQVSAT_107_087208010723.pdf</v>
          </cell>
          <cell r="BR109">
            <v>7.6</v>
          </cell>
          <cell r="BS109">
            <v>8.1</v>
          </cell>
          <cell r="BT109">
            <v>8.1</v>
          </cell>
          <cell r="BU109">
            <v>8.5</v>
          </cell>
          <cell r="BV109">
            <v>8</v>
          </cell>
          <cell r="BW109">
            <v>0</v>
          </cell>
          <cell r="BX109">
            <v>0</v>
          </cell>
          <cell r="BY109">
            <v>7.7</v>
          </cell>
          <cell r="BZ109">
            <v>8.4</v>
          </cell>
          <cell r="CA109">
            <v>7.2</v>
          </cell>
          <cell r="CB109">
            <v>0</v>
          </cell>
          <cell r="CC109">
            <v>8.6999999999999993</v>
          </cell>
          <cell r="CD109">
            <v>0</v>
          </cell>
          <cell r="CE109">
            <v>0</v>
          </cell>
          <cell r="CF109">
            <v>0</v>
          </cell>
          <cell r="CG109">
            <v>0</v>
          </cell>
          <cell r="CH109">
            <v>0</v>
          </cell>
          <cell r="CI109">
            <v>0</v>
          </cell>
          <cell r="CJ109">
            <v>0</v>
          </cell>
          <cell r="CK109">
            <v>0</v>
          </cell>
          <cell r="CL109">
            <v>0</v>
          </cell>
          <cell r="CM109">
            <v>6.3</v>
          </cell>
          <cell r="CN109">
            <v>7.5</v>
          </cell>
          <cell r="CO109">
            <v>7.4</v>
          </cell>
          <cell r="CP109">
            <v>9.4</v>
          </cell>
          <cell r="CQ109">
            <v>8.1</v>
          </cell>
          <cell r="CR109">
            <v>0</v>
          </cell>
          <cell r="CS109">
            <v>0</v>
          </cell>
          <cell r="CT109">
            <v>6.5</v>
          </cell>
          <cell r="CU109">
            <v>7.1</v>
          </cell>
          <cell r="CV109">
            <v>7.9</v>
          </cell>
          <cell r="CW109">
            <v>0</v>
          </cell>
          <cell r="CX109">
            <v>8.8000000000000007</v>
          </cell>
          <cell r="CY109">
            <v>0</v>
          </cell>
          <cell r="CZ109">
            <v>0</v>
          </cell>
          <cell r="DA109">
            <v>0</v>
          </cell>
          <cell r="DB109">
            <v>0</v>
          </cell>
          <cell r="DC109">
            <v>0</v>
          </cell>
          <cell r="DD109">
            <v>0</v>
          </cell>
          <cell r="DE109">
            <v>0</v>
          </cell>
          <cell r="DF109">
            <v>0</v>
          </cell>
          <cell r="DG109">
            <v>0</v>
          </cell>
          <cell r="DH109">
            <v>7.5</v>
          </cell>
          <cell r="DI109">
            <v>7.9</v>
          </cell>
          <cell r="DJ109">
            <v>7.8</v>
          </cell>
          <cell r="DK109">
            <v>9</v>
          </cell>
          <cell r="DL109">
            <v>8.6</v>
          </cell>
          <cell r="DM109">
            <v>0</v>
          </cell>
          <cell r="DN109">
            <v>0</v>
          </cell>
          <cell r="DO109">
            <v>6.8</v>
          </cell>
          <cell r="DP109">
            <v>7.1</v>
          </cell>
          <cell r="DQ109">
            <v>7.1</v>
          </cell>
          <cell r="DR109">
            <v>0</v>
          </cell>
          <cell r="DS109">
            <v>8.6</v>
          </cell>
          <cell r="DT109">
            <v>0</v>
          </cell>
          <cell r="DU109">
            <v>0</v>
          </cell>
          <cell r="DV109">
            <v>0</v>
          </cell>
          <cell r="DW109">
            <v>0</v>
          </cell>
          <cell r="DX109">
            <v>0</v>
          </cell>
          <cell r="DY109">
            <v>0</v>
          </cell>
          <cell r="DZ109">
            <v>0</v>
          </cell>
          <cell r="EA109">
            <v>0</v>
          </cell>
          <cell r="EB109">
            <v>0</v>
          </cell>
          <cell r="EC109">
            <v>4.5</v>
          </cell>
          <cell r="ED109">
            <v>7.75</v>
          </cell>
          <cell r="EE109">
            <v>3.5</v>
          </cell>
          <cell r="EG109">
            <v>8</v>
          </cell>
          <cell r="EX109">
            <v>108</v>
          </cell>
          <cell r="EY109">
            <v>92.5</v>
          </cell>
          <cell r="EZ109">
            <v>97</v>
          </cell>
        </row>
        <row r="110">
          <cell r="A110">
            <v>0</v>
          </cell>
          <cell r="D110" t="str">
            <v>PHAN SỸ MẠNH</v>
          </cell>
          <cell r="E110" t="str">
            <v>0</v>
          </cell>
          <cell r="F110" t="str">
            <v>13/05/2008</v>
          </cell>
          <cell r="G110" t="str">
            <v>phansymanh539@gmail.com</v>
          </cell>
          <cell r="I110" t="str">
            <v>040208024667</v>
          </cell>
          <cell r="AR110" t="str">
            <v>7.94</v>
          </cell>
          <cell r="AS110" t="str">
            <v>7.16</v>
          </cell>
          <cell r="AT110" t="str">
            <v>8.19</v>
          </cell>
          <cell r="BD110" t="str">
            <v>Chưa hoàn thành</v>
          </cell>
          <cell r="BF110" t="str">
            <v>3</v>
          </cell>
          <cell r="BR110">
            <v>7.2</v>
          </cell>
          <cell r="BS110">
            <v>7.7</v>
          </cell>
          <cell r="BT110">
            <v>6.5</v>
          </cell>
          <cell r="BU110">
            <v>9.3000000000000007</v>
          </cell>
          <cell r="BV110">
            <v>8.4</v>
          </cell>
          <cell r="BW110">
            <v>7.9</v>
          </cell>
          <cell r="BX110">
            <v>0</v>
          </cell>
          <cell r="BY110">
            <v>7.9</v>
          </cell>
          <cell r="BZ110">
            <v>7.7</v>
          </cell>
          <cell r="CA110">
            <v>0</v>
          </cell>
          <cell r="CB110">
            <v>0</v>
          </cell>
          <cell r="CC110">
            <v>8.9</v>
          </cell>
          <cell r="CD110">
            <v>0</v>
          </cell>
          <cell r="CE110">
            <v>0</v>
          </cell>
          <cell r="CF110">
            <v>0</v>
          </cell>
          <cell r="CG110">
            <v>0</v>
          </cell>
          <cell r="CH110">
            <v>0</v>
          </cell>
          <cell r="CI110">
            <v>0</v>
          </cell>
          <cell r="CJ110">
            <v>0</v>
          </cell>
          <cell r="CK110">
            <v>0</v>
          </cell>
          <cell r="CL110">
            <v>0</v>
          </cell>
          <cell r="CM110">
            <v>6.1</v>
          </cell>
          <cell r="CN110">
            <v>6.3</v>
          </cell>
          <cell r="CO110">
            <v>5.9</v>
          </cell>
          <cell r="CP110">
            <v>9.1</v>
          </cell>
          <cell r="CQ110">
            <v>7.3</v>
          </cell>
          <cell r="CR110">
            <v>7.7</v>
          </cell>
          <cell r="CS110">
            <v>0</v>
          </cell>
          <cell r="CT110">
            <v>5.8</v>
          </cell>
          <cell r="CU110">
            <v>6.8</v>
          </cell>
          <cell r="CV110">
            <v>0</v>
          </cell>
          <cell r="CW110">
            <v>0</v>
          </cell>
          <cell r="CX110">
            <v>9.4</v>
          </cell>
          <cell r="CY110">
            <v>0</v>
          </cell>
          <cell r="CZ110">
            <v>0</v>
          </cell>
          <cell r="DA110">
            <v>0</v>
          </cell>
          <cell r="DB110">
            <v>0</v>
          </cell>
          <cell r="DC110">
            <v>0</v>
          </cell>
          <cell r="DD110">
            <v>0</v>
          </cell>
          <cell r="DE110">
            <v>0</v>
          </cell>
          <cell r="DF110">
            <v>0</v>
          </cell>
          <cell r="DG110">
            <v>0</v>
          </cell>
          <cell r="DH110">
            <v>8</v>
          </cell>
          <cell r="DI110">
            <v>6</v>
          </cell>
          <cell r="DJ110">
            <v>7.7</v>
          </cell>
          <cell r="DK110">
            <v>9</v>
          </cell>
          <cell r="DL110">
            <v>8</v>
          </cell>
          <cell r="DM110">
            <v>9</v>
          </cell>
          <cell r="DN110">
            <v>0</v>
          </cell>
          <cell r="DO110">
            <v>9</v>
          </cell>
          <cell r="DP110">
            <v>8</v>
          </cell>
          <cell r="DQ110">
            <v>0</v>
          </cell>
          <cell r="DR110">
            <v>0</v>
          </cell>
          <cell r="DS110">
            <v>9</v>
          </cell>
          <cell r="DT110">
            <v>0</v>
          </cell>
          <cell r="DU110">
            <v>0</v>
          </cell>
          <cell r="DV110">
            <v>0</v>
          </cell>
          <cell r="DW110">
            <v>0</v>
          </cell>
          <cell r="DX110">
            <v>0</v>
          </cell>
          <cell r="DY110">
            <v>0</v>
          </cell>
          <cell r="DZ110">
            <v>0</v>
          </cell>
          <cell r="EA110">
            <v>0</v>
          </cell>
          <cell r="EB110">
            <v>0</v>
          </cell>
        </row>
        <row r="111">
          <cell r="A111">
            <v>974510157</v>
          </cell>
          <cell r="B111" t="str">
            <v>KSVBS2611886</v>
          </cell>
          <cell r="C111" t="str">
            <v>73</v>
          </cell>
          <cell r="D111" t="str">
            <v>ĐỖ PHƯƠNG VY</v>
          </cell>
          <cell r="E111" t="str">
            <v>1</v>
          </cell>
          <cell r="F111" t="str">
            <v>01/01/2008</v>
          </cell>
          <cell r="G111" t="str">
            <v>dophuongvyag2008@gmail.com</v>
          </cell>
          <cell r="H111" t="str">
            <v>0974510157</v>
          </cell>
          <cell r="I111" t="str">
            <v>086308000630</v>
          </cell>
          <cell r="J111" t="str">
            <v>22/8z, Thánh Thiên</v>
          </cell>
          <cell r="K111" t="str">
            <v>KV2</v>
          </cell>
          <cell r="M111" t="str">
            <v>Không có</v>
          </cell>
          <cell r="N111" t="str">
            <v>Kinh</v>
          </cell>
          <cell r="P111" t="str">
            <v>2026</v>
          </cell>
          <cell r="Q111" t="str">
            <v>91022174</v>
          </cell>
          <cell r="R111" t="str">
            <v>Không có</v>
          </cell>
          <cell r="S111" t="str">
            <v>Không có</v>
          </cell>
          <cell r="T111" t="str">
            <v>Không có</v>
          </cell>
          <cell r="U111" t="str">
            <v>540117</v>
          </cell>
          <cell r="V111" t="str">
            <v>D26419307</v>
          </cell>
          <cell r="W111" t="str">
            <v>775.00</v>
          </cell>
          <cell r="X111" t="str">
            <v>610190</v>
          </cell>
          <cell r="Y111" t="str">
            <v>D265P5F2Q</v>
          </cell>
          <cell r="Z111" t="str">
            <v>770.00</v>
          </cell>
          <cell r="AA111" t="str">
            <v>Không có</v>
          </cell>
          <cell r="AF111" t="str">
            <v>89N</v>
          </cell>
          <cell r="AG111" t="str">
            <v>115</v>
          </cell>
          <cell r="AH111" t="str">
            <v>Trường THPT Long Xuyên</v>
          </cell>
          <cell r="AI111" t="str">
            <v>89N</v>
          </cell>
          <cell r="AJ111" t="str">
            <v>115</v>
          </cell>
          <cell r="AK111" t="str">
            <v>Trường THPT Long Xuyên</v>
          </cell>
          <cell r="AL111" t="str">
            <v>89N</v>
          </cell>
          <cell r="AM111" t="str">
            <v>115</v>
          </cell>
          <cell r="AN111" t="str">
            <v>Trường THPT Long Xuyên</v>
          </cell>
          <cell r="AO111" t="str">
            <v>GDPT2018</v>
          </cell>
          <cell r="AP111" t="str">
            <v>Khá</v>
          </cell>
          <cell r="AQ111" t="str">
            <v>6.61</v>
          </cell>
          <cell r="AR111" t="str">
            <v>7.81</v>
          </cell>
          <cell r="AS111" t="str">
            <v>7.57</v>
          </cell>
          <cell r="AT111" t="str">
            <v>7.16</v>
          </cell>
          <cell r="AU111" t="str">
            <v>True</v>
          </cell>
          <cell r="AW111" t="str">
            <v>7340120</v>
          </cell>
          <cell r="AX111" t="str">
            <v>Kinh doanh quốc tế</v>
          </cell>
          <cell r="AY111" t="str">
            <v>7340122</v>
          </cell>
          <cell r="AZ111" t="str">
            <v>Thương mại điện tử</v>
          </cell>
          <cell r="BA111" t="str">
            <v>7340201_2</v>
          </cell>
          <cell r="BB111" t="str">
            <v>Tài chính</v>
          </cell>
          <cell r="BC111" t="str">
            <v>phamhuong</v>
          </cell>
          <cell r="BD111" t="str">
            <v>Đã được tiếp nhận</v>
          </cell>
          <cell r="BF111" t="str">
            <v>3</v>
          </cell>
          <cell r="BM111" t="str">
            <v>True</v>
          </cell>
          <cell r="BN111" t="str">
            <v>False</v>
          </cell>
          <cell r="BO111" t="str">
            <v>KQTHPT_109_086308000630.pdf</v>
          </cell>
          <cell r="BP111" t="str">
            <v>KQDGNL_109_086308000630.pdf</v>
          </cell>
          <cell r="BR111">
            <v>7.1</v>
          </cell>
          <cell r="BS111">
            <v>5.9</v>
          </cell>
          <cell r="BT111">
            <v>7.5</v>
          </cell>
          <cell r="BU111">
            <v>9.6</v>
          </cell>
          <cell r="BV111">
            <v>8.5</v>
          </cell>
          <cell r="BW111">
            <v>0</v>
          </cell>
          <cell r="BX111">
            <v>0</v>
          </cell>
          <cell r="BY111">
            <v>8.1999999999999993</v>
          </cell>
          <cell r="BZ111">
            <v>6.1</v>
          </cell>
          <cell r="CA111">
            <v>0</v>
          </cell>
          <cell r="CB111">
            <v>8.1999999999999993</v>
          </cell>
          <cell r="CC111">
            <v>9.1999999999999993</v>
          </cell>
          <cell r="CD111">
            <v>0</v>
          </cell>
          <cell r="CE111">
            <v>0</v>
          </cell>
          <cell r="CF111">
            <v>0</v>
          </cell>
          <cell r="CG111">
            <v>0</v>
          </cell>
          <cell r="CH111">
            <v>0</v>
          </cell>
          <cell r="CI111">
            <v>0</v>
          </cell>
          <cell r="CJ111">
            <v>0</v>
          </cell>
          <cell r="CK111">
            <v>0</v>
          </cell>
          <cell r="CL111">
            <v>0</v>
          </cell>
          <cell r="CM111">
            <v>6.6</v>
          </cell>
          <cell r="CN111">
            <v>6.7</v>
          </cell>
          <cell r="CO111">
            <v>7.6</v>
          </cell>
          <cell r="CP111">
            <v>9.1</v>
          </cell>
          <cell r="CQ111">
            <v>7.8</v>
          </cell>
          <cell r="CR111">
            <v>0</v>
          </cell>
          <cell r="CS111">
            <v>0</v>
          </cell>
          <cell r="CT111">
            <v>7.9</v>
          </cell>
          <cell r="CU111">
            <v>6.2</v>
          </cell>
          <cell r="CV111">
            <v>0</v>
          </cell>
          <cell r="CW111">
            <v>7.7</v>
          </cell>
          <cell r="CX111">
            <v>8.5</v>
          </cell>
          <cell r="CY111">
            <v>0</v>
          </cell>
          <cell r="CZ111">
            <v>0</v>
          </cell>
          <cell r="DA111">
            <v>0</v>
          </cell>
          <cell r="DB111">
            <v>0</v>
          </cell>
          <cell r="DC111">
            <v>0</v>
          </cell>
          <cell r="DD111">
            <v>0</v>
          </cell>
          <cell r="DE111">
            <v>0</v>
          </cell>
          <cell r="DF111">
            <v>0</v>
          </cell>
          <cell r="DG111">
            <v>0</v>
          </cell>
          <cell r="DH111">
            <v>6.2</v>
          </cell>
          <cell r="DI111">
            <v>6.2</v>
          </cell>
          <cell r="DJ111">
            <v>6.8</v>
          </cell>
          <cell r="DK111">
            <v>9.6</v>
          </cell>
          <cell r="DL111">
            <v>6.9</v>
          </cell>
          <cell r="DM111">
            <v>0</v>
          </cell>
          <cell r="DN111">
            <v>0</v>
          </cell>
          <cell r="DO111">
            <v>7.3</v>
          </cell>
          <cell r="DP111">
            <v>6.6</v>
          </cell>
          <cell r="DQ111">
            <v>0</v>
          </cell>
          <cell r="DR111">
            <v>6.4</v>
          </cell>
          <cell r="DS111">
            <v>8.4</v>
          </cell>
          <cell r="DT111">
            <v>0</v>
          </cell>
          <cell r="DU111">
            <v>0</v>
          </cell>
          <cell r="DV111">
            <v>0</v>
          </cell>
          <cell r="DW111">
            <v>0</v>
          </cell>
          <cell r="DX111">
            <v>0</v>
          </cell>
          <cell r="DY111">
            <v>0</v>
          </cell>
          <cell r="DZ111">
            <v>0</v>
          </cell>
          <cell r="EA111">
            <v>0</v>
          </cell>
          <cell r="EB111">
            <v>0</v>
          </cell>
          <cell r="EC111">
            <v>6</v>
          </cell>
          <cell r="ED111">
            <v>6.75</v>
          </cell>
          <cell r="EE111">
            <v>5</v>
          </cell>
          <cell r="EJ111">
            <v>3.5</v>
          </cell>
        </row>
        <row r="112">
          <cell r="A112">
            <v>333690063</v>
          </cell>
          <cell r="B112" t="str">
            <v>KSVBS2624777</v>
          </cell>
          <cell r="C112" t="str">
            <v>93</v>
          </cell>
          <cell r="D112" t="str">
            <v>NGUYỄN PHÚ HÀO</v>
          </cell>
          <cell r="E112" t="str">
            <v>0</v>
          </cell>
          <cell r="F112" t="str">
            <v>26/10/2008</v>
          </cell>
          <cell r="G112" t="str">
            <v>nguyenphuhao.official@gmail.com</v>
          </cell>
          <cell r="H112" t="str">
            <v>0333690063</v>
          </cell>
          <cell r="I112" t="str">
            <v>082208015752</v>
          </cell>
          <cell r="J112" t="str">
            <v>Tổ 10, Ấp 3</v>
          </cell>
          <cell r="K112" t="str">
            <v>KV2-NT</v>
          </cell>
          <cell r="M112" t="str">
            <v>Không có</v>
          </cell>
          <cell r="N112" t="str">
            <v>Kinh</v>
          </cell>
          <cell r="P112" t="str">
            <v>2026</v>
          </cell>
          <cell r="Q112" t="str">
            <v>82019636</v>
          </cell>
          <cell r="R112" t="str">
            <v>Không có</v>
          </cell>
          <cell r="S112" t="str">
            <v>Không có</v>
          </cell>
          <cell r="T112" t="str">
            <v>Không có</v>
          </cell>
          <cell r="AA112" t="str">
            <v>Không có</v>
          </cell>
          <cell r="AF112" t="str">
            <v>87N</v>
          </cell>
          <cell r="AG112" t="str">
            <v>622</v>
          </cell>
          <cell r="AH112" t="str">
            <v>THPT Phạm Thành Trung</v>
          </cell>
          <cell r="AI112" t="str">
            <v>87N</v>
          </cell>
          <cell r="AJ112" t="str">
            <v>622</v>
          </cell>
          <cell r="AK112" t="str">
            <v>THPT Phạm Thành Trung</v>
          </cell>
          <cell r="AL112" t="str">
            <v>87N</v>
          </cell>
          <cell r="AM112" t="str">
            <v>622</v>
          </cell>
          <cell r="AN112" t="str">
            <v>THPT Phạm Thành Trung</v>
          </cell>
          <cell r="AO112" t="str">
            <v>GDPT2018</v>
          </cell>
          <cell r="AP112" t="str">
            <v>Khá</v>
          </cell>
          <cell r="AQ112" t="str">
            <v>8.01</v>
          </cell>
          <cell r="AR112" t="str">
            <v>8.51</v>
          </cell>
          <cell r="AS112" t="str">
            <v>7.99</v>
          </cell>
          <cell r="AT112" t="str">
            <v>7.86</v>
          </cell>
          <cell r="AU112" t="str">
            <v>False</v>
          </cell>
          <cell r="AW112" t="str">
            <v>7340120</v>
          </cell>
          <cell r="AX112" t="str">
            <v>Kinh doanh quốc tế</v>
          </cell>
          <cell r="AY112" t="str">
            <v>7380107</v>
          </cell>
          <cell r="AZ112" t="str">
            <v>Luật kinh tế</v>
          </cell>
          <cell r="BA112" t="str">
            <v>7340101</v>
          </cell>
          <cell r="BB112" t="str">
            <v>Quản trị</v>
          </cell>
          <cell r="BC112" t="str">
            <v>phamhuong</v>
          </cell>
          <cell r="BD112" t="str">
            <v>Bổ sung minh chứng</v>
          </cell>
          <cell r="BE112" t="str">
            <v>em bổ sung giấy chứng nhận kết quả thi tốt nghiệp THPT 2026 nhé</v>
          </cell>
          <cell r="BF112" t="str">
            <v>3</v>
          </cell>
          <cell r="BM112" t="str">
            <v>False</v>
          </cell>
          <cell r="BN112" t="str">
            <v>False</v>
          </cell>
          <cell r="BR112">
            <v>8</v>
          </cell>
          <cell r="BS112">
            <v>8.3000000000000007</v>
          </cell>
          <cell r="BT112">
            <v>6.9</v>
          </cell>
          <cell r="BU112">
            <v>8.8000000000000007</v>
          </cell>
          <cell r="BV112">
            <v>8.9</v>
          </cell>
          <cell r="BW112">
            <v>0</v>
          </cell>
          <cell r="BX112">
            <v>0</v>
          </cell>
          <cell r="BY112">
            <v>8.6999999999999993</v>
          </cell>
          <cell r="BZ112">
            <v>9</v>
          </cell>
          <cell r="CA112">
            <v>0</v>
          </cell>
          <cell r="CB112">
            <v>8.5</v>
          </cell>
          <cell r="CC112">
            <v>9.5</v>
          </cell>
          <cell r="CD112">
            <v>0</v>
          </cell>
          <cell r="CE112">
            <v>0</v>
          </cell>
          <cell r="CF112">
            <v>0</v>
          </cell>
          <cell r="CG112">
            <v>0</v>
          </cell>
          <cell r="CH112">
            <v>0</v>
          </cell>
          <cell r="CI112">
            <v>0</v>
          </cell>
          <cell r="CJ112">
            <v>0</v>
          </cell>
          <cell r="CK112">
            <v>0</v>
          </cell>
          <cell r="CL112">
            <v>0</v>
          </cell>
          <cell r="CM112">
            <v>7.4</v>
          </cell>
          <cell r="CN112">
            <v>7.9</v>
          </cell>
          <cell r="CO112">
            <v>7.3</v>
          </cell>
          <cell r="CP112">
            <v>8.8000000000000007</v>
          </cell>
          <cell r="CQ112">
            <v>9.1999999999999993</v>
          </cell>
          <cell r="CR112">
            <v>0</v>
          </cell>
          <cell r="CS112">
            <v>0</v>
          </cell>
          <cell r="CT112">
            <v>7</v>
          </cell>
          <cell r="CU112">
            <v>7.6</v>
          </cell>
          <cell r="CV112">
            <v>0</v>
          </cell>
          <cell r="CW112">
            <v>8.6999999999999993</v>
          </cell>
          <cell r="CX112">
            <v>8</v>
          </cell>
          <cell r="CY112">
            <v>0</v>
          </cell>
          <cell r="CZ112">
            <v>0</v>
          </cell>
          <cell r="DA112">
            <v>0</v>
          </cell>
          <cell r="DB112">
            <v>0</v>
          </cell>
          <cell r="DC112">
            <v>0</v>
          </cell>
          <cell r="DD112">
            <v>0</v>
          </cell>
          <cell r="DE112">
            <v>0</v>
          </cell>
          <cell r="DF112">
            <v>0</v>
          </cell>
          <cell r="DG112">
            <v>0</v>
          </cell>
          <cell r="DH112">
            <v>6.4</v>
          </cell>
          <cell r="DI112">
            <v>8.1999999999999993</v>
          </cell>
          <cell r="DJ112">
            <v>6.5</v>
          </cell>
          <cell r="DK112">
            <v>9.6</v>
          </cell>
          <cell r="DL112">
            <v>9.1999999999999993</v>
          </cell>
          <cell r="DM112">
            <v>0</v>
          </cell>
          <cell r="DN112">
            <v>0</v>
          </cell>
          <cell r="DO112">
            <v>7.4</v>
          </cell>
          <cell r="DP112">
            <v>6.6</v>
          </cell>
          <cell r="DQ112">
            <v>0</v>
          </cell>
          <cell r="DR112">
            <v>7.7</v>
          </cell>
          <cell r="DS112">
            <v>9.1</v>
          </cell>
          <cell r="DT112">
            <v>0</v>
          </cell>
          <cell r="DU112">
            <v>0</v>
          </cell>
          <cell r="DV112">
            <v>0</v>
          </cell>
          <cell r="DW112">
            <v>0</v>
          </cell>
          <cell r="DX112">
            <v>0</v>
          </cell>
          <cell r="DY112">
            <v>0</v>
          </cell>
          <cell r="DZ112">
            <v>0</v>
          </cell>
          <cell r="EA112">
            <v>0</v>
          </cell>
          <cell r="EB112">
            <v>0</v>
          </cell>
        </row>
        <row r="113">
          <cell r="A113">
            <v>901242703</v>
          </cell>
          <cell r="B113" t="str">
            <v>KSVBS2624948</v>
          </cell>
          <cell r="C113" t="str">
            <v>71</v>
          </cell>
          <cell r="D113" t="str">
            <v>DƯƠNG THỊ DIỆU THI</v>
          </cell>
          <cell r="E113" t="str">
            <v>1</v>
          </cell>
          <cell r="F113" t="str">
            <v>29/06/2008</v>
          </cell>
          <cell r="G113" t="str">
            <v>duongthidieuthi110220@gmail.com</v>
          </cell>
          <cell r="H113" t="str">
            <v>0901242703</v>
          </cell>
          <cell r="I113" t="str">
            <v>089308002325</v>
          </cell>
          <cell r="J113" t="str">
            <v xml:space="preserve">311/19, ấp Đông An xã Vĩnh Chánh huyện Thoại Sơn tỉnh An Giang </v>
          </cell>
          <cell r="K113" t="str">
            <v>KV2-NT</v>
          </cell>
          <cell r="M113" t="str">
            <v>Không có</v>
          </cell>
          <cell r="N113" t="str">
            <v>Kinh</v>
          </cell>
          <cell r="P113" t="str">
            <v>2026</v>
          </cell>
          <cell r="Q113" t="str">
            <v>91027079</v>
          </cell>
          <cell r="R113" t="str">
            <v>Không có</v>
          </cell>
          <cell r="S113" t="str">
            <v>Không có</v>
          </cell>
          <cell r="T113" t="str">
            <v>Không có</v>
          </cell>
          <cell r="U113" t="str">
            <v>544005</v>
          </cell>
          <cell r="V113" t="str">
            <v>D26356087</v>
          </cell>
          <cell r="W113" t="str">
            <v>514.00</v>
          </cell>
          <cell r="X113" t="str">
            <v>615044</v>
          </cell>
          <cell r="Y113" t="str">
            <v>D26750879</v>
          </cell>
          <cell r="Z113" t="str">
            <v>554.00</v>
          </cell>
          <cell r="AA113" t="str">
            <v>Không có</v>
          </cell>
          <cell r="AF113" t="str">
            <v>89N</v>
          </cell>
          <cell r="AG113" t="str">
            <v>122</v>
          </cell>
          <cell r="AH113" t="str">
            <v>Trường THPT Nguyễn Khuyến</v>
          </cell>
          <cell r="AI113" t="str">
            <v>89N</v>
          </cell>
          <cell r="AJ113" t="str">
            <v>122</v>
          </cell>
          <cell r="AK113" t="str">
            <v>Trường THPT Nguyễn Khuyến</v>
          </cell>
          <cell r="AL113" t="str">
            <v>89N</v>
          </cell>
          <cell r="AM113" t="str">
            <v>122</v>
          </cell>
          <cell r="AN113" t="str">
            <v>Trường THPT Nguyễn Khuyến</v>
          </cell>
          <cell r="AO113" t="str">
            <v>GDPT2018</v>
          </cell>
          <cell r="AP113" t="str">
            <v>Giỏi</v>
          </cell>
          <cell r="AQ113" t="str">
            <v>8.24</v>
          </cell>
          <cell r="AR113" t="str">
            <v>7.61</v>
          </cell>
          <cell r="AS113" t="str">
            <v>8.11</v>
          </cell>
          <cell r="AT113" t="str">
            <v>8.53</v>
          </cell>
          <cell r="AU113" t="str">
            <v>True</v>
          </cell>
          <cell r="AW113" t="str">
            <v>7340115</v>
          </cell>
          <cell r="AX113" t="str">
            <v>Marketing</v>
          </cell>
          <cell r="AY113" t="str">
            <v>7340122</v>
          </cell>
          <cell r="AZ113" t="str">
            <v>Thương mại điện tử</v>
          </cell>
          <cell r="BC113" t="str">
            <v>phamhuong</v>
          </cell>
          <cell r="BD113" t="str">
            <v>Đã được tiếp nhận</v>
          </cell>
          <cell r="BF113" t="str">
            <v>3</v>
          </cell>
          <cell r="BM113" t="str">
            <v>True</v>
          </cell>
          <cell r="BN113" t="str">
            <v>False</v>
          </cell>
          <cell r="BO113" t="str">
            <v>KQTHPT_111_089308002325.pdf</v>
          </cell>
          <cell r="BP113" t="str">
            <v>KQDGNL_111_089308002325.pdf</v>
          </cell>
          <cell r="BR113">
            <v>6.8</v>
          </cell>
          <cell r="BS113">
            <v>6.8</v>
          </cell>
          <cell r="BT113">
            <v>7.1</v>
          </cell>
          <cell r="BU113">
            <v>9.6</v>
          </cell>
          <cell r="BV113">
            <v>7.3</v>
          </cell>
          <cell r="BW113">
            <v>0</v>
          </cell>
          <cell r="BX113">
            <v>7.4</v>
          </cell>
          <cell r="BY113">
            <v>7.7</v>
          </cell>
          <cell r="BZ113">
            <v>7.6</v>
          </cell>
          <cell r="CA113">
            <v>0</v>
          </cell>
          <cell r="CB113">
            <v>0</v>
          </cell>
          <cell r="CC113">
            <v>8.1999999999999993</v>
          </cell>
          <cell r="CD113">
            <v>0</v>
          </cell>
          <cell r="CE113">
            <v>0</v>
          </cell>
          <cell r="CF113">
            <v>0</v>
          </cell>
          <cell r="CG113">
            <v>0</v>
          </cell>
          <cell r="CH113">
            <v>0</v>
          </cell>
          <cell r="CI113">
            <v>0</v>
          </cell>
          <cell r="CJ113">
            <v>0</v>
          </cell>
          <cell r="CK113">
            <v>0</v>
          </cell>
          <cell r="CL113">
            <v>0</v>
          </cell>
          <cell r="CM113">
            <v>8</v>
          </cell>
          <cell r="CN113">
            <v>7.3</v>
          </cell>
          <cell r="CO113">
            <v>8</v>
          </cell>
          <cell r="CP113">
            <v>9.3000000000000007</v>
          </cell>
          <cell r="CQ113">
            <v>7.6</v>
          </cell>
          <cell r="CR113">
            <v>0</v>
          </cell>
          <cell r="CS113">
            <v>7.8</v>
          </cell>
          <cell r="CT113">
            <v>8.1</v>
          </cell>
          <cell r="CU113">
            <v>8.8000000000000007</v>
          </cell>
          <cell r="CV113">
            <v>0</v>
          </cell>
          <cell r="CW113">
            <v>0</v>
          </cell>
          <cell r="CX113">
            <v>8.1</v>
          </cell>
          <cell r="CY113">
            <v>0</v>
          </cell>
          <cell r="CZ113">
            <v>0</v>
          </cell>
          <cell r="DA113">
            <v>0</v>
          </cell>
          <cell r="DB113">
            <v>0</v>
          </cell>
          <cell r="DC113">
            <v>0</v>
          </cell>
          <cell r="DD113">
            <v>0</v>
          </cell>
          <cell r="DE113">
            <v>0</v>
          </cell>
          <cell r="DF113">
            <v>0</v>
          </cell>
          <cell r="DG113">
            <v>0</v>
          </cell>
          <cell r="DH113">
            <v>8.4</v>
          </cell>
          <cell r="DI113">
            <v>8.6999999999999993</v>
          </cell>
          <cell r="DJ113">
            <v>7.2</v>
          </cell>
          <cell r="DK113">
            <v>9.5</v>
          </cell>
          <cell r="DL113">
            <v>7.5</v>
          </cell>
          <cell r="DM113">
            <v>0</v>
          </cell>
          <cell r="DN113">
            <v>8.1</v>
          </cell>
          <cell r="DO113">
            <v>8.9</v>
          </cell>
          <cell r="DP113">
            <v>9.1999999999999993</v>
          </cell>
          <cell r="DQ113">
            <v>0</v>
          </cell>
          <cell r="DR113">
            <v>0</v>
          </cell>
          <cell r="DS113">
            <v>9.3000000000000007</v>
          </cell>
          <cell r="DT113">
            <v>0</v>
          </cell>
          <cell r="DU113">
            <v>0</v>
          </cell>
          <cell r="DV113">
            <v>0</v>
          </cell>
          <cell r="DW113">
            <v>0</v>
          </cell>
          <cell r="DX113">
            <v>0</v>
          </cell>
          <cell r="DY113">
            <v>0</v>
          </cell>
          <cell r="DZ113">
            <v>0</v>
          </cell>
          <cell r="EA113">
            <v>0</v>
          </cell>
          <cell r="EB113">
            <v>0</v>
          </cell>
          <cell r="EC113">
            <v>5</v>
          </cell>
          <cell r="ED113">
            <v>7</v>
          </cell>
          <cell r="EJ113">
            <v>5</v>
          </cell>
          <cell r="EK113">
            <v>6</v>
          </cell>
        </row>
        <row r="114">
          <cell r="A114">
            <v>929499740</v>
          </cell>
          <cell r="B114" t="str">
            <v>KSVBS2610852</v>
          </cell>
          <cell r="C114" t="str">
            <v>70</v>
          </cell>
          <cell r="D114" t="str">
            <v>NGUYỄN LÊ NGỌC HÂN</v>
          </cell>
          <cell r="E114" t="str">
            <v>0</v>
          </cell>
          <cell r="F114" t="str">
            <v>26/08/2008</v>
          </cell>
          <cell r="G114" t="str">
            <v>lethanhnga.tn2020@gmail.com</v>
          </cell>
          <cell r="H114" t="str">
            <v>0929499740</v>
          </cell>
          <cell r="I114" t="str">
            <v>072308010254</v>
          </cell>
          <cell r="J114" t="str">
            <v>221 nguyễn trọng cát</v>
          </cell>
          <cell r="K114" t="str">
            <v>KV3</v>
          </cell>
          <cell r="M114" t="str">
            <v>Không có</v>
          </cell>
          <cell r="N114" t="str">
            <v>Kinh</v>
          </cell>
          <cell r="P114" t="str">
            <v>2026</v>
          </cell>
          <cell r="Q114" t="str">
            <v>80018209</v>
          </cell>
          <cell r="R114" t="str">
            <v>Không có</v>
          </cell>
          <cell r="S114" t="str">
            <v>Không có</v>
          </cell>
          <cell r="T114" t="str">
            <v>Không có</v>
          </cell>
          <cell r="AA114" t="str">
            <v>Không có</v>
          </cell>
          <cell r="AF114" t="str">
            <v>72N</v>
          </cell>
          <cell r="AG114" t="str">
            <v>002</v>
          </cell>
          <cell r="AH114" t="str">
            <v>THPT Lê Quý Đôn - Tân Ninh</v>
          </cell>
          <cell r="AI114" t="str">
            <v>72N</v>
          </cell>
          <cell r="AJ114" t="str">
            <v>002</v>
          </cell>
          <cell r="AK114" t="str">
            <v>THPT Lê Quý Đôn - Tân Ninh</v>
          </cell>
          <cell r="AL114" t="str">
            <v>72N</v>
          </cell>
          <cell r="AM114" t="str">
            <v>002</v>
          </cell>
          <cell r="AN114" t="str">
            <v>THPT Lê Quý Đôn - Tân Ninh</v>
          </cell>
          <cell r="AO114" t="str">
            <v>GDPT2018</v>
          </cell>
          <cell r="AP114" t="str">
            <v>Giỏi</v>
          </cell>
          <cell r="AQ114" t="str">
            <v>7.95</v>
          </cell>
          <cell r="AR114" t="str">
            <v>7.70</v>
          </cell>
          <cell r="AS114" t="str">
            <v>7.76</v>
          </cell>
          <cell r="AT114" t="str">
            <v>8.31</v>
          </cell>
          <cell r="AU114" t="str">
            <v>False</v>
          </cell>
          <cell r="AW114" t="str">
            <v>7340101</v>
          </cell>
          <cell r="AX114" t="str">
            <v>Quản trị</v>
          </cell>
          <cell r="BC114" t="str">
            <v>phamhuong</v>
          </cell>
          <cell r="BD114" t="str">
            <v>Bổ sung minh chứng</v>
          </cell>
          <cell r="BE114" t="str">
            <v>Bổ sung Giấy chứng nhận kết quả thi tốt nghiệp THPT 2026 nha e</v>
          </cell>
          <cell r="BF114" t="str">
            <v>3</v>
          </cell>
          <cell r="BM114" t="str">
            <v>False</v>
          </cell>
          <cell r="BN114" t="str">
            <v>False</v>
          </cell>
          <cell r="BR114">
            <v>6.1</v>
          </cell>
          <cell r="BS114">
            <v>6.6</v>
          </cell>
          <cell r="BT114">
            <v>7.4</v>
          </cell>
          <cell r="BU114">
            <v>8.5</v>
          </cell>
          <cell r="BV114">
            <v>8.3000000000000007</v>
          </cell>
          <cell r="BW114">
            <v>8.5</v>
          </cell>
          <cell r="BX114">
            <v>8</v>
          </cell>
          <cell r="BY114">
            <v>7.6</v>
          </cell>
          <cell r="BZ114">
            <v>0</v>
          </cell>
          <cell r="CA114">
            <v>0</v>
          </cell>
          <cell r="CB114">
            <v>0</v>
          </cell>
          <cell r="CC114">
            <v>8.3000000000000007</v>
          </cell>
          <cell r="CD114">
            <v>0</v>
          </cell>
          <cell r="CE114">
            <v>0</v>
          </cell>
          <cell r="CF114">
            <v>0</v>
          </cell>
          <cell r="CG114">
            <v>0</v>
          </cell>
          <cell r="CH114">
            <v>0</v>
          </cell>
          <cell r="CI114">
            <v>0</v>
          </cell>
          <cell r="CJ114">
            <v>0</v>
          </cell>
          <cell r="CK114">
            <v>0</v>
          </cell>
          <cell r="CL114">
            <v>0</v>
          </cell>
          <cell r="CM114">
            <v>6.1</v>
          </cell>
          <cell r="CN114">
            <v>6.6</v>
          </cell>
          <cell r="CO114">
            <v>7.4</v>
          </cell>
          <cell r="CP114">
            <v>8.5</v>
          </cell>
          <cell r="CQ114">
            <v>8.3000000000000007</v>
          </cell>
          <cell r="CR114">
            <v>9</v>
          </cell>
          <cell r="CS114">
            <v>8</v>
          </cell>
          <cell r="CT114">
            <v>7.6</v>
          </cell>
          <cell r="CU114">
            <v>0</v>
          </cell>
          <cell r="CV114">
            <v>0</v>
          </cell>
          <cell r="CW114">
            <v>0</v>
          </cell>
          <cell r="CX114">
            <v>8.3000000000000007</v>
          </cell>
          <cell r="CY114">
            <v>0</v>
          </cell>
          <cell r="CZ114">
            <v>0</v>
          </cell>
          <cell r="DA114">
            <v>0</v>
          </cell>
          <cell r="DB114">
            <v>0</v>
          </cell>
          <cell r="DC114">
            <v>0</v>
          </cell>
          <cell r="DD114">
            <v>0</v>
          </cell>
          <cell r="DE114">
            <v>0</v>
          </cell>
          <cell r="DF114">
            <v>0</v>
          </cell>
          <cell r="DG114">
            <v>0</v>
          </cell>
          <cell r="DH114">
            <v>7.4</v>
          </cell>
          <cell r="DI114">
            <v>7.1</v>
          </cell>
          <cell r="DJ114">
            <v>7.9</v>
          </cell>
          <cell r="DK114">
            <v>9.1999999999999993</v>
          </cell>
          <cell r="DL114">
            <v>8.5</v>
          </cell>
          <cell r="DM114">
            <v>9.5</v>
          </cell>
          <cell r="DN114">
            <v>8.3000000000000007</v>
          </cell>
          <cell r="DO114">
            <v>8.1</v>
          </cell>
          <cell r="DP114">
            <v>0</v>
          </cell>
          <cell r="DQ114">
            <v>0</v>
          </cell>
          <cell r="DR114">
            <v>0</v>
          </cell>
          <cell r="DS114">
            <v>8.8000000000000007</v>
          </cell>
          <cell r="DT114">
            <v>0</v>
          </cell>
          <cell r="DU114">
            <v>0</v>
          </cell>
          <cell r="DV114">
            <v>0</v>
          </cell>
          <cell r="DW114">
            <v>0</v>
          </cell>
          <cell r="DX114">
            <v>0</v>
          </cell>
          <cell r="DY114">
            <v>0</v>
          </cell>
          <cell r="DZ114">
            <v>0</v>
          </cell>
          <cell r="EA114">
            <v>0</v>
          </cell>
          <cell r="EB114">
            <v>0</v>
          </cell>
        </row>
        <row r="115">
          <cell r="A115">
            <v>845628142</v>
          </cell>
          <cell r="B115" t="str">
            <v>KSVBS2632781</v>
          </cell>
          <cell r="C115" t="str">
            <v>72</v>
          </cell>
          <cell r="D115" t="str">
            <v>TRƯƠNG THỊ THU TRANG</v>
          </cell>
          <cell r="E115" t="str">
            <v>1</v>
          </cell>
          <cell r="F115" t="str">
            <v>03/09/2008</v>
          </cell>
          <cell r="G115" t="str">
            <v>ttrang2263bc@gmail.com</v>
          </cell>
          <cell r="H115" t="str">
            <v>0845628142</v>
          </cell>
          <cell r="I115" t="str">
            <v>095308007499</v>
          </cell>
          <cell r="J115" t="str">
            <v>Ấp 5, xã Gành Hào, tỉnh Cà Mau</v>
          </cell>
          <cell r="K115" t="str">
            <v>KV2-NT</v>
          </cell>
          <cell r="M115" t="str">
            <v>Không có</v>
          </cell>
          <cell r="N115" t="str">
            <v>Kinh</v>
          </cell>
          <cell r="P115" t="str">
            <v>2026</v>
          </cell>
          <cell r="Q115" t="str">
            <v>96017949</v>
          </cell>
          <cell r="R115" t="str">
            <v>Không có</v>
          </cell>
          <cell r="S115" t="str">
            <v>Không có</v>
          </cell>
          <cell r="T115" t="str">
            <v>Không có</v>
          </cell>
          <cell r="AA115" t="str">
            <v>Không có</v>
          </cell>
          <cell r="AF115" t="str">
            <v>96N</v>
          </cell>
          <cell r="AG115" t="str">
            <v>513</v>
          </cell>
          <cell r="AH115" t="str">
            <v>THPT Gành Hào</v>
          </cell>
          <cell r="AI115" t="str">
            <v>96N</v>
          </cell>
          <cell r="AJ115" t="str">
            <v>513</v>
          </cell>
          <cell r="AK115" t="str">
            <v>THPT Gành Hào</v>
          </cell>
          <cell r="AL115" t="str">
            <v>96N</v>
          </cell>
          <cell r="AM115" t="str">
            <v>513</v>
          </cell>
          <cell r="AN115" t="str">
            <v>THPT Gành Hào</v>
          </cell>
          <cell r="AO115" t="str">
            <v>GDPT2018</v>
          </cell>
          <cell r="AP115" t="str">
            <v>Tốt</v>
          </cell>
          <cell r="AQ115" t="str">
            <v>8.65</v>
          </cell>
          <cell r="AR115" t="str">
            <v>8.13</v>
          </cell>
          <cell r="AS115" t="str">
            <v>8.36</v>
          </cell>
          <cell r="AT115" t="str">
            <v>9.02</v>
          </cell>
          <cell r="AU115" t="str">
            <v>False</v>
          </cell>
          <cell r="AW115" t="str">
            <v>7340101</v>
          </cell>
          <cell r="AX115" t="str">
            <v>Quản trị</v>
          </cell>
          <cell r="BC115" t="str">
            <v>phamhuong</v>
          </cell>
          <cell r="BD115" t="str">
            <v>Đã được tiếp nhận</v>
          </cell>
          <cell r="BF115" t="str">
            <v>3</v>
          </cell>
          <cell r="BM115" t="str">
            <v>True</v>
          </cell>
          <cell r="BN115" t="str">
            <v>False</v>
          </cell>
          <cell r="BO115" t="str">
            <v>KQTHPT_113_095308007499.pdf</v>
          </cell>
          <cell r="BR115">
            <v>8</v>
          </cell>
          <cell r="BS115">
            <v>7.8</v>
          </cell>
          <cell r="BT115">
            <v>8</v>
          </cell>
          <cell r="BU115">
            <v>8.1</v>
          </cell>
          <cell r="BV115">
            <v>8.6</v>
          </cell>
          <cell r="BW115">
            <v>0</v>
          </cell>
          <cell r="BX115">
            <v>0</v>
          </cell>
          <cell r="BY115">
            <v>7.8</v>
          </cell>
          <cell r="BZ115">
            <v>7.2</v>
          </cell>
          <cell r="CA115">
            <v>8.6</v>
          </cell>
          <cell r="CB115">
            <v>0</v>
          </cell>
          <cell r="CC115">
            <v>9.1</v>
          </cell>
          <cell r="CD115">
            <v>0</v>
          </cell>
          <cell r="CE115">
            <v>0</v>
          </cell>
          <cell r="CF115">
            <v>0</v>
          </cell>
          <cell r="CG115">
            <v>0</v>
          </cell>
          <cell r="CH115">
            <v>0</v>
          </cell>
          <cell r="CI115">
            <v>0</v>
          </cell>
          <cell r="CJ115">
            <v>0</v>
          </cell>
          <cell r="CK115">
            <v>0</v>
          </cell>
          <cell r="CL115">
            <v>0</v>
          </cell>
          <cell r="CM115">
            <v>8.1</v>
          </cell>
          <cell r="CN115">
            <v>7.5</v>
          </cell>
          <cell r="CO115">
            <v>7.9</v>
          </cell>
          <cell r="CP115">
            <v>8.6</v>
          </cell>
          <cell r="CQ115">
            <v>8.8000000000000007</v>
          </cell>
          <cell r="CR115">
            <v>0</v>
          </cell>
          <cell r="CS115">
            <v>0</v>
          </cell>
          <cell r="CT115">
            <v>8</v>
          </cell>
          <cell r="CU115">
            <v>8.8000000000000007</v>
          </cell>
          <cell r="CV115">
            <v>8.8000000000000007</v>
          </cell>
          <cell r="CW115">
            <v>0</v>
          </cell>
          <cell r="CX115">
            <v>8.6999999999999993</v>
          </cell>
          <cell r="CY115">
            <v>0</v>
          </cell>
          <cell r="CZ115">
            <v>0</v>
          </cell>
          <cell r="DA115">
            <v>0</v>
          </cell>
          <cell r="DB115">
            <v>0</v>
          </cell>
          <cell r="DC115">
            <v>0</v>
          </cell>
          <cell r="DD115">
            <v>0</v>
          </cell>
          <cell r="DE115">
            <v>0</v>
          </cell>
          <cell r="DF115">
            <v>0</v>
          </cell>
          <cell r="DG115">
            <v>0</v>
          </cell>
          <cell r="DH115">
            <v>9.1</v>
          </cell>
          <cell r="DI115">
            <v>8.3000000000000007</v>
          </cell>
          <cell r="DJ115">
            <v>8.9</v>
          </cell>
          <cell r="DK115">
            <v>9.1</v>
          </cell>
          <cell r="DL115">
            <v>9.3000000000000007</v>
          </cell>
          <cell r="DM115">
            <v>0</v>
          </cell>
          <cell r="DN115">
            <v>0</v>
          </cell>
          <cell r="DO115">
            <v>8.3000000000000007</v>
          </cell>
          <cell r="DP115">
            <v>9.4</v>
          </cell>
          <cell r="DQ115">
            <v>9.3000000000000007</v>
          </cell>
          <cell r="DR115">
            <v>0</v>
          </cell>
          <cell r="DS115">
            <v>9.5</v>
          </cell>
          <cell r="DT115">
            <v>0</v>
          </cell>
          <cell r="DU115">
            <v>0</v>
          </cell>
          <cell r="DV115">
            <v>0</v>
          </cell>
          <cell r="DW115">
            <v>0</v>
          </cell>
          <cell r="DX115">
            <v>0</v>
          </cell>
          <cell r="DY115">
            <v>0</v>
          </cell>
          <cell r="DZ115">
            <v>0</v>
          </cell>
          <cell r="EA115">
            <v>0</v>
          </cell>
          <cell r="EB115">
            <v>0</v>
          </cell>
          <cell r="EC115">
            <v>5.75</v>
          </cell>
          <cell r="ED115">
            <v>8</v>
          </cell>
          <cell r="EE115">
            <v>4</v>
          </cell>
          <cell r="EJ115">
            <v>4</v>
          </cell>
        </row>
        <row r="116">
          <cell r="A116">
            <v>0</v>
          </cell>
          <cell r="D116" t="str">
            <v>NGUYỄN LÊ MINH TÂM</v>
          </cell>
          <cell r="E116" t="str">
            <v>0</v>
          </cell>
          <cell r="F116" t="str">
            <v>28/11/2008</v>
          </cell>
          <cell r="G116" t="str">
            <v>tamne544@gmail.com</v>
          </cell>
          <cell r="I116" t="str">
            <v>083208009790</v>
          </cell>
          <cell r="AR116" t="str">
            <v>8.39</v>
          </cell>
          <cell r="AS116" t="str">
            <v>8.18</v>
          </cell>
          <cell r="AT116" t="str">
            <v>8.52</v>
          </cell>
          <cell r="BD116" t="str">
            <v>Chưa hoàn thành</v>
          </cell>
          <cell r="BF116" t="str">
            <v>3</v>
          </cell>
          <cell r="BR116">
            <v>8.8000000000000007</v>
          </cell>
          <cell r="BS116">
            <v>7.7</v>
          </cell>
          <cell r="BT116">
            <v>7.5</v>
          </cell>
          <cell r="BU116">
            <v>8.8000000000000007</v>
          </cell>
          <cell r="BV116">
            <v>8.4</v>
          </cell>
          <cell r="BW116">
            <v>0</v>
          </cell>
          <cell r="BX116">
            <v>9.3000000000000007</v>
          </cell>
          <cell r="BY116">
            <v>8.1</v>
          </cell>
          <cell r="BZ116">
            <v>8</v>
          </cell>
          <cell r="CA116">
            <v>0</v>
          </cell>
          <cell r="CB116">
            <v>0</v>
          </cell>
          <cell r="CC116">
            <v>8.9</v>
          </cell>
          <cell r="CD116">
            <v>0</v>
          </cell>
          <cell r="CE116">
            <v>0</v>
          </cell>
          <cell r="CF116">
            <v>0</v>
          </cell>
          <cell r="CG116">
            <v>0</v>
          </cell>
          <cell r="CH116">
            <v>0</v>
          </cell>
          <cell r="CI116">
            <v>0</v>
          </cell>
          <cell r="CJ116">
            <v>0</v>
          </cell>
          <cell r="CK116">
            <v>0</v>
          </cell>
          <cell r="CL116">
            <v>0</v>
          </cell>
          <cell r="CM116">
            <v>8</v>
          </cell>
          <cell r="CN116">
            <v>6.5</v>
          </cell>
          <cell r="CO116">
            <v>7</v>
          </cell>
          <cell r="CP116">
            <v>9.1999999999999993</v>
          </cell>
          <cell r="CQ116">
            <v>9</v>
          </cell>
          <cell r="CR116">
            <v>0</v>
          </cell>
          <cell r="CS116">
            <v>9.6</v>
          </cell>
          <cell r="CT116">
            <v>8.5</v>
          </cell>
          <cell r="CU116">
            <v>6.9</v>
          </cell>
          <cell r="CV116">
            <v>0</v>
          </cell>
          <cell r="CW116">
            <v>0</v>
          </cell>
          <cell r="CX116">
            <v>8.9</v>
          </cell>
          <cell r="CY116">
            <v>0</v>
          </cell>
          <cell r="CZ116">
            <v>0</v>
          </cell>
          <cell r="DA116">
            <v>0</v>
          </cell>
          <cell r="DB116">
            <v>0</v>
          </cell>
          <cell r="DC116">
            <v>0</v>
          </cell>
          <cell r="DD116">
            <v>0</v>
          </cell>
          <cell r="DE116">
            <v>0</v>
          </cell>
          <cell r="DF116">
            <v>0</v>
          </cell>
          <cell r="DG116">
            <v>0</v>
          </cell>
          <cell r="DH116">
            <v>8.8000000000000007</v>
          </cell>
          <cell r="DI116">
            <v>6.8</v>
          </cell>
          <cell r="DJ116">
            <v>8.3000000000000007</v>
          </cell>
          <cell r="DK116">
            <v>9.1</v>
          </cell>
          <cell r="DL116">
            <v>9</v>
          </cell>
          <cell r="DM116">
            <v>0</v>
          </cell>
          <cell r="DN116">
            <v>9.4</v>
          </cell>
          <cell r="DO116">
            <v>8.4</v>
          </cell>
          <cell r="DP116">
            <v>7.5</v>
          </cell>
          <cell r="DQ116">
            <v>0</v>
          </cell>
          <cell r="DR116">
            <v>0</v>
          </cell>
          <cell r="DS116">
            <v>9.4</v>
          </cell>
          <cell r="DT116">
            <v>0</v>
          </cell>
          <cell r="DU116">
            <v>0</v>
          </cell>
          <cell r="DV116">
            <v>0</v>
          </cell>
          <cell r="DW116">
            <v>0</v>
          </cell>
          <cell r="DX116">
            <v>0</v>
          </cell>
          <cell r="DY116">
            <v>0</v>
          </cell>
          <cell r="DZ116">
            <v>0</v>
          </cell>
          <cell r="EA116">
            <v>0</v>
          </cell>
          <cell r="EB116">
            <v>0</v>
          </cell>
        </row>
        <row r="117">
          <cell r="A117">
            <v>344197951</v>
          </cell>
          <cell r="B117" t="str">
            <v>KSVBS2639703</v>
          </cell>
          <cell r="C117" t="str">
            <v>75</v>
          </cell>
          <cell r="D117" t="str">
            <v>NGUYỄN LÊ HOÀNG DUY</v>
          </cell>
          <cell r="E117" t="str">
            <v>0</v>
          </cell>
          <cell r="F117" t="str">
            <v>28/12/2008</v>
          </cell>
          <cell r="G117" t="str">
            <v>nguyenlehoangduy281208@gmail.com</v>
          </cell>
          <cell r="H117" t="str">
            <v>0344197951</v>
          </cell>
          <cell r="I117" t="str">
            <v>092208010072</v>
          </cell>
          <cell r="J117" t="str">
            <v>157/15 ấp Mỹ Phú, xã Định Mỹ, Tỉnh An Giang</v>
          </cell>
          <cell r="K117" t="str">
            <v>KV2-NT</v>
          </cell>
          <cell r="M117" t="str">
            <v>Không có</v>
          </cell>
          <cell r="N117" t="str">
            <v>Kinh</v>
          </cell>
          <cell r="P117" t="str">
            <v>2026</v>
          </cell>
          <cell r="Q117" t="str">
            <v>91030492</v>
          </cell>
          <cell r="R117" t="str">
            <v>Không có</v>
          </cell>
          <cell r="S117" t="str">
            <v>Không có</v>
          </cell>
          <cell r="T117" t="str">
            <v>Không có</v>
          </cell>
          <cell r="AA117" t="str">
            <v>Không có</v>
          </cell>
          <cell r="AF117" t="str">
            <v>89N</v>
          </cell>
          <cell r="AG117" t="str">
            <v>127</v>
          </cell>
          <cell r="AH117" t="str">
            <v>Trường THPT Nguyễn Văn Thoại</v>
          </cell>
          <cell r="AI117" t="str">
            <v>89N</v>
          </cell>
          <cell r="AJ117" t="str">
            <v>127</v>
          </cell>
          <cell r="AK117" t="str">
            <v>Trường THPT Nguyễn Văn Thoại</v>
          </cell>
          <cell r="AL117" t="str">
            <v>89N</v>
          </cell>
          <cell r="AM117" t="str">
            <v>127</v>
          </cell>
          <cell r="AN117" t="str">
            <v>Trường THPT Nguyễn Văn Thoại</v>
          </cell>
          <cell r="AO117" t="str">
            <v>GDPT2018</v>
          </cell>
          <cell r="AP117" t="str">
            <v>Tốt</v>
          </cell>
          <cell r="AQ117" t="str">
            <v>8.14</v>
          </cell>
          <cell r="AR117" t="str">
            <v>8.51</v>
          </cell>
          <cell r="AS117" t="str">
            <v>8.60</v>
          </cell>
          <cell r="AT117" t="str">
            <v>9.00</v>
          </cell>
          <cell r="AU117" t="str">
            <v>False</v>
          </cell>
          <cell r="AW117" t="str">
            <v>7380107</v>
          </cell>
          <cell r="AX117" t="str">
            <v>Luật kinh tế</v>
          </cell>
          <cell r="BC117" t="str">
            <v>phamhuong</v>
          </cell>
          <cell r="BD117" t="str">
            <v>Đã được tiếp nhận</v>
          </cell>
          <cell r="BF117" t="str">
            <v>3</v>
          </cell>
          <cell r="BM117" t="str">
            <v>True</v>
          </cell>
          <cell r="BN117" t="str">
            <v>False</v>
          </cell>
          <cell r="BO117" t="str">
            <v>KQTHPT_115_092208010072.pdf</v>
          </cell>
          <cell r="BR117">
            <v>9.1</v>
          </cell>
          <cell r="BS117">
            <v>6.4</v>
          </cell>
          <cell r="BT117">
            <v>8</v>
          </cell>
          <cell r="BU117">
            <v>9</v>
          </cell>
          <cell r="BV117">
            <v>8.5</v>
          </cell>
          <cell r="BW117">
            <v>0</v>
          </cell>
          <cell r="BX117">
            <v>0</v>
          </cell>
          <cell r="BY117">
            <v>9</v>
          </cell>
          <cell r="BZ117">
            <v>8.9</v>
          </cell>
          <cell r="CA117">
            <v>9</v>
          </cell>
          <cell r="CB117">
            <v>0</v>
          </cell>
          <cell r="CC117">
            <v>8.6999999999999993</v>
          </cell>
          <cell r="CD117">
            <v>0</v>
          </cell>
          <cell r="CE117">
            <v>0</v>
          </cell>
          <cell r="CF117">
            <v>0</v>
          </cell>
          <cell r="CG117">
            <v>0</v>
          </cell>
          <cell r="CH117">
            <v>0</v>
          </cell>
          <cell r="CI117">
            <v>0</v>
          </cell>
          <cell r="CJ117">
            <v>0</v>
          </cell>
          <cell r="CK117">
            <v>0</v>
          </cell>
          <cell r="CL117">
            <v>0</v>
          </cell>
          <cell r="CM117">
            <v>8.8000000000000007</v>
          </cell>
          <cell r="CN117">
            <v>6.8</v>
          </cell>
          <cell r="CO117">
            <v>8.1999999999999993</v>
          </cell>
          <cell r="CP117">
            <v>8.9</v>
          </cell>
          <cell r="CQ117">
            <v>8.1999999999999993</v>
          </cell>
          <cell r="CR117">
            <v>0</v>
          </cell>
          <cell r="CS117">
            <v>0</v>
          </cell>
          <cell r="CT117">
            <v>9.6</v>
          </cell>
          <cell r="CU117">
            <v>8.6</v>
          </cell>
          <cell r="CV117">
            <v>9.6999999999999993</v>
          </cell>
          <cell r="CW117">
            <v>0</v>
          </cell>
          <cell r="CX117">
            <v>8.6</v>
          </cell>
          <cell r="CY117">
            <v>0</v>
          </cell>
          <cell r="CZ117">
            <v>0</v>
          </cell>
          <cell r="DA117">
            <v>0</v>
          </cell>
          <cell r="DB117">
            <v>0</v>
          </cell>
          <cell r="DC117">
            <v>0</v>
          </cell>
          <cell r="DD117">
            <v>0</v>
          </cell>
          <cell r="DE117">
            <v>0</v>
          </cell>
          <cell r="DF117">
            <v>0</v>
          </cell>
          <cell r="DG117">
            <v>0</v>
          </cell>
          <cell r="DH117">
            <v>9.3000000000000007</v>
          </cell>
          <cell r="DI117">
            <v>8.3000000000000007</v>
          </cell>
          <cell r="DJ117">
            <v>7.6</v>
          </cell>
          <cell r="DK117">
            <v>9.6</v>
          </cell>
          <cell r="DL117">
            <v>9</v>
          </cell>
          <cell r="DM117">
            <v>0</v>
          </cell>
          <cell r="DN117">
            <v>0</v>
          </cell>
          <cell r="DO117">
            <v>9.6999999999999993</v>
          </cell>
          <cell r="DP117">
            <v>9.3000000000000007</v>
          </cell>
          <cell r="DQ117">
            <v>8.8000000000000007</v>
          </cell>
          <cell r="DR117">
            <v>0</v>
          </cell>
          <cell r="DS117">
            <v>9.4</v>
          </cell>
          <cell r="DT117">
            <v>0</v>
          </cell>
          <cell r="DU117">
            <v>0</v>
          </cell>
          <cell r="DV117">
            <v>0</v>
          </cell>
          <cell r="DW117">
            <v>0</v>
          </cell>
          <cell r="DX117">
            <v>0</v>
          </cell>
          <cell r="DY117">
            <v>0</v>
          </cell>
          <cell r="DZ117">
            <v>0</v>
          </cell>
          <cell r="EA117">
            <v>0</v>
          </cell>
          <cell r="EB117">
            <v>0</v>
          </cell>
          <cell r="EC117">
            <v>8.75</v>
          </cell>
          <cell r="ED117">
            <v>7</v>
          </cell>
          <cell r="EJ117">
            <v>7.25</v>
          </cell>
          <cell r="EK117">
            <v>7</v>
          </cell>
        </row>
        <row r="118">
          <cell r="A118">
            <v>777013308</v>
          </cell>
          <cell r="B118" t="str">
            <v>KSVBS2644216</v>
          </cell>
          <cell r="C118" t="str">
            <v>91</v>
          </cell>
          <cell r="D118" t="str">
            <v>NGUYỄN LÊ HỒNG ÂN</v>
          </cell>
          <cell r="E118" t="str">
            <v>0</v>
          </cell>
          <cell r="F118" t="str">
            <v>13/03/2008</v>
          </cell>
          <cell r="G118" t="str">
            <v>hongannguyenle1@gmail.com</v>
          </cell>
          <cell r="H118" t="str">
            <v>0777013308</v>
          </cell>
          <cell r="I118" t="str">
            <v>082208011717</v>
          </cell>
          <cell r="J118" t="str">
            <v>198C,tổ 10, khu phố 10, Phường Trung An,tỉnh Đồng Tháp</v>
          </cell>
          <cell r="K118" t="str">
            <v>KV2</v>
          </cell>
          <cell r="M118" t="str">
            <v>Không có</v>
          </cell>
          <cell r="N118" t="str">
            <v>Kinh</v>
          </cell>
          <cell r="P118" t="str">
            <v>2026</v>
          </cell>
          <cell r="Q118" t="str">
            <v>82027714</v>
          </cell>
          <cell r="R118" t="str">
            <v>Không có</v>
          </cell>
          <cell r="S118" t="str">
            <v>Không có</v>
          </cell>
          <cell r="T118" t="str">
            <v>Không có</v>
          </cell>
          <cell r="AA118" t="str">
            <v>Không có</v>
          </cell>
          <cell r="AF118" t="str">
            <v>87N</v>
          </cell>
          <cell r="AG118" t="str">
            <v>731</v>
          </cell>
          <cell r="AH118" t="str">
            <v>THPT chuyên Tiền Giang</v>
          </cell>
          <cell r="AI118" t="str">
            <v>87N</v>
          </cell>
          <cell r="AJ118" t="str">
            <v>731</v>
          </cell>
          <cell r="AK118" t="str">
            <v>THPT chuyên Tiền Giang</v>
          </cell>
          <cell r="AL118" t="str">
            <v>87N</v>
          </cell>
          <cell r="AM118" t="str">
            <v>731</v>
          </cell>
          <cell r="AN118" t="str">
            <v>THPT chuyên Tiền Giang</v>
          </cell>
          <cell r="AO118" t="str">
            <v>GDPT2018</v>
          </cell>
          <cell r="AP118" t="str">
            <v>Giỏi</v>
          </cell>
          <cell r="AQ118" t="str">
            <v>8.41</v>
          </cell>
          <cell r="AR118" t="str">
            <v>7.74</v>
          </cell>
          <cell r="AS118" t="str">
            <v>8.14</v>
          </cell>
          <cell r="AT118" t="str">
            <v>8.41</v>
          </cell>
          <cell r="AU118" t="str">
            <v>False</v>
          </cell>
          <cell r="AW118" t="str">
            <v>7380107</v>
          </cell>
          <cell r="AX118" t="str">
            <v>Luật kinh tế</v>
          </cell>
          <cell r="BC118" t="str">
            <v>phamhuong</v>
          </cell>
          <cell r="BD118" t="str">
            <v>Đã được tiếp nhận</v>
          </cell>
          <cell r="BE118" t="str">
            <v xml:space="preserve">- Bổ sung học bạ THPT em chụp đủ 7 trang nhé
</v>
          </cell>
          <cell r="BF118" t="str">
            <v>3</v>
          </cell>
          <cell r="BM118" t="str">
            <v>True</v>
          </cell>
          <cell r="BN118" t="str">
            <v>False</v>
          </cell>
          <cell r="BO118" t="str">
            <v>KQTHPT_116_082208011717.pdf</v>
          </cell>
          <cell r="BR118">
            <v>7.5</v>
          </cell>
          <cell r="BS118">
            <v>7.2</v>
          </cell>
          <cell r="BT118">
            <v>6.4</v>
          </cell>
          <cell r="BU118">
            <v>9.1999999999999993</v>
          </cell>
          <cell r="BV118">
            <v>8.4</v>
          </cell>
          <cell r="BW118">
            <v>7.8</v>
          </cell>
          <cell r="BX118">
            <v>8.6999999999999993</v>
          </cell>
          <cell r="BY118">
            <v>0</v>
          </cell>
          <cell r="BZ118">
            <v>6.5</v>
          </cell>
          <cell r="CA118">
            <v>0</v>
          </cell>
          <cell r="CB118">
            <v>0</v>
          </cell>
          <cell r="CC118">
            <v>8</v>
          </cell>
          <cell r="CD118">
            <v>0</v>
          </cell>
          <cell r="CE118">
            <v>0</v>
          </cell>
          <cell r="CF118">
            <v>0</v>
          </cell>
          <cell r="CG118">
            <v>0</v>
          </cell>
          <cell r="CH118">
            <v>0</v>
          </cell>
          <cell r="CI118">
            <v>0</v>
          </cell>
          <cell r="CJ118">
            <v>0</v>
          </cell>
          <cell r="CK118">
            <v>0</v>
          </cell>
          <cell r="CL118">
            <v>0</v>
          </cell>
          <cell r="CM118">
            <v>8</v>
          </cell>
          <cell r="CN118">
            <v>7.9</v>
          </cell>
          <cell r="CO118">
            <v>7.9</v>
          </cell>
          <cell r="CP118">
            <v>9.1999999999999993</v>
          </cell>
          <cell r="CQ118">
            <v>8.1</v>
          </cell>
          <cell r="CR118">
            <v>8.1999999999999993</v>
          </cell>
          <cell r="CS118">
            <v>8.4</v>
          </cell>
          <cell r="CT118">
            <v>0</v>
          </cell>
          <cell r="CU118">
            <v>6.8</v>
          </cell>
          <cell r="CV118">
            <v>0</v>
          </cell>
          <cell r="CW118">
            <v>0</v>
          </cell>
          <cell r="CX118">
            <v>8.8000000000000007</v>
          </cell>
          <cell r="CY118">
            <v>0</v>
          </cell>
          <cell r="CZ118">
            <v>0</v>
          </cell>
          <cell r="DA118">
            <v>0</v>
          </cell>
          <cell r="DB118">
            <v>0</v>
          </cell>
          <cell r="DC118">
            <v>0</v>
          </cell>
          <cell r="DD118">
            <v>0</v>
          </cell>
          <cell r="DE118">
            <v>0</v>
          </cell>
          <cell r="DF118">
            <v>0</v>
          </cell>
          <cell r="DG118">
            <v>0</v>
          </cell>
          <cell r="DH118">
            <v>7.6</v>
          </cell>
          <cell r="DI118">
            <v>8.1</v>
          </cell>
          <cell r="DJ118">
            <v>8.4</v>
          </cell>
          <cell r="DK118">
            <v>9.6</v>
          </cell>
          <cell r="DL118">
            <v>9.3000000000000007</v>
          </cell>
          <cell r="DM118">
            <v>9</v>
          </cell>
          <cell r="DN118">
            <v>8.4</v>
          </cell>
          <cell r="DO118">
            <v>0</v>
          </cell>
          <cell r="DP118">
            <v>7.2</v>
          </cell>
          <cell r="DQ118">
            <v>0</v>
          </cell>
          <cell r="DR118">
            <v>0</v>
          </cell>
          <cell r="DS118">
            <v>8.1</v>
          </cell>
          <cell r="DT118">
            <v>0</v>
          </cell>
          <cell r="DU118">
            <v>0</v>
          </cell>
          <cell r="DV118">
            <v>0</v>
          </cell>
          <cell r="DW118">
            <v>0</v>
          </cell>
          <cell r="DX118">
            <v>0</v>
          </cell>
          <cell r="DY118">
            <v>0</v>
          </cell>
          <cell r="DZ118">
            <v>0</v>
          </cell>
          <cell r="EA118">
            <v>0</v>
          </cell>
          <cell r="EB118">
            <v>0</v>
          </cell>
          <cell r="EC118">
            <v>7</v>
          </cell>
          <cell r="ED118">
            <v>7.25</v>
          </cell>
          <cell r="EG118">
            <v>5.0999999999999996</v>
          </cell>
          <cell r="EI118">
            <v>6.6</v>
          </cell>
        </row>
        <row r="119">
          <cell r="A119">
            <v>903017782</v>
          </cell>
          <cell r="B119" t="str">
            <v>KSVBS2603312</v>
          </cell>
          <cell r="C119" t="str">
            <v>82</v>
          </cell>
          <cell r="D119" t="str">
            <v>PHẠM GIA LINH</v>
          </cell>
          <cell r="E119" t="str">
            <v>1</v>
          </cell>
          <cell r="F119" t="str">
            <v>27/02/2008</v>
          </cell>
          <cell r="G119" t="str">
            <v>phamlinh2722@gmail.com</v>
          </cell>
          <cell r="H119" t="str">
            <v>0903017782</v>
          </cell>
          <cell r="I119" t="str">
            <v>037308003748</v>
          </cell>
          <cell r="J119" t="str">
            <v>464 Quang Trung phường Tam Điệp tinh Ninh Bình</v>
          </cell>
          <cell r="K119" t="str">
            <v>KV2-NT</v>
          </cell>
          <cell r="M119" t="str">
            <v>Không có</v>
          </cell>
          <cell r="N119" t="str">
            <v>Kinh</v>
          </cell>
          <cell r="P119" t="str">
            <v>2026</v>
          </cell>
          <cell r="Q119" t="str">
            <v>37003959</v>
          </cell>
          <cell r="R119" t="str">
            <v>Không có</v>
          </cell>
          <cell r="S119" t="str">
            <v>Không có</v>
          </cell>
          <cell r="T119" t="str">
            <v>Không có</v>
          </cell>
          <cell r="AA119" t="str">
            <v>Không có</v>
          </cell>
          <cell r="AF119" t="str">
            <v>37N</v>
          </cell>
          <cell r="AG119" t="str">
            <v>500</v>
          </cell>
          <cell r="AH119" t="str">
            <v>THPT A Nguyễn Huệ</v>
          </cell>
          <cell r="AI119" t="str">
            <v>37N</v>
          </cell>
          <cell r="AJ119" t="str">
            <v>500</v>
          </cell>
          <cell r="AK119" t="str">
            <v>THPT A Nguyễn Huệ</v>
          </cell>
          <cell r="AL119" t="str">
            <v>37N</v>
          </cell>
          <cell r="AM119" t="str">
            <v>500</v>
          </cell>
          <cell r="AN119" t="str">
            <v>THPT A Nguyễn Huệ</v>
          </cell>
          <cell r="AO119" t="str">
            <v>GDPT2018</v>
          </cell>
          <cell r="AP119" t="str">
            <v>Đạt</v>
          </cell>
          <cell r="AQ119" t="str">
            <v>7.40</v>
          </cell>
          <cell r="AR119" t="str">
            <v>7.06</v>
          </cell>
          <cell r="AS119" t="str">
            <v>7.54</v>
          </cell>
          <cell r="AT119" t="str">
            <v>7.70</v>
          </cell>
          <cell r="AU119" t="str">
            <v>False</v>
          </cell>
          <cell r="AW119" t="str">
            <v>7340201_3</v>
          </cell>
          <cell r="AX119" t="str">
            <v>Thuế</v>
          </cell>
          <cell r="AY119" t="str">
            <v>7380107</v>
          </cell>
          <cell r="AZ119" t="str">
            <v>Luật kinh tế</v>
          </cell>
          <cell r="BA119" t="str">
            <v>7480107</v>
          </cell>
          <cell r="BB119" t="str">
            <v>Robot và Trí tuệ nhân tạo (hệ kỹ sư)</v>
          </cell>
          <cell r="BC119" t="str">
            <v>phamhuong</v>
          </cell>
          <cell r="BD119" t="str">
            <v>Đã được tiếp nhận</v>
          </cell>
          <cell r="BF119" t="str">
            <v>3</v>
          </cell>
          <cell r="BM119" t="str">
            <v>True</v>
          </cell>
          <cell r="BN119" t="str">
            <v>False</v>
          </cell>
          <cell r="BO119" t="str">
            <v>KQTHPT_117_037308003748.pdf</v>
          </cell>
          <cell r="BR119">
            <v>7.1</v>
          </cell>
          <cell r="BS119">
            <v>7.6</v>
          </cell>
          <cell r="BT119">
            <v>5.4</v>
          </cell>
          <cell r="BU119">
            <v>8</v>
          </cell>
          <cell r="BV119">
            <v>7.9</v>
          </cell>
          <cell r="BW119">
            <v>6.8</v>
          </cell>
          <cell r="BX119">
            <v>5.9</v>
          </cell>
          <cell r="BY119">
            <v>6.9</v>
          </cell>
          <cell r="BZ119">
            <v>0</v>
          </cell>
          <cell r="CA119">
            <v>0</v>
          </cell>
          <cell r="CB119">
            <v>7.9</v>
          </cell>
          <cell r="CC119">
            <v>0</v>
          </cell>
          <cell r="CD119">
            <v>0</v>
          </cell>
          <cell r="CE119">
            <v>0</v>
          </cell>
          <cell r="CF119">
            <v>0</v>
          </cell>
          <cell r="CG119">
            <v>0</v>
          </cell>
          <cell r="CH119">
            <v>0</v>
          </cell>
          <cell r="CI119">
            <v>0</v>
          </cell>
          <cell r="CJ119">
            <v>0</v>
          </cell>
          <cell r="CK119">
            <v>0</v>
          </cell>
          <cell r="CL119">
            <v>0</v>
          </cell>
          <cell r="CM119">
            <v>6.2</v>
          </cell>
          <cell r="CN119">
            <v>7.6</v>
          </cell>
          <cell r="CO119">
            <v>6</v>
          </cell>
          <cell r="CP119">
            <v>8.8000000000000007</v>
          </cell>
          <cell r="CQ119">
            <v>8.1999999999999993</v>
          </cell>
          <cell r="CR119">
            <v>8</v>
          </cell>
          <cell r="CS119">
            <v>8.1</v>
          </cell>
          <cell r="CT119">
            <v>7.1</v>
          </cell>
          <cell r="CU119">
            <v>0</v>
          </cell>
          <cell r="CV119">
            <v>0</v>
          </cell>
          <cell r="CW119">
            <v>7.9</v>
          </cell>
          <cell r="CX119">
            <v>0</v>
          </cell>
          <cell r="CY119">
            <v>0</v>
          </cell>
          <cell r="CZ119">
            <v>0</v>
          </cell>
          <cell r="DA119">
            <v>0</v>
          </cell>
          <cell r="DB119">
            <v>0</v>
          </cell>
          <cell r="DC119">
            <v>0</v>
          </cell>
          <cell r="DD119">
            <v>0</v>
          </cell>
          <cell r="DE119">
            <v>0</v>
          </cell>
          <cell r="DF119">
            <v>0</v>
          </cell>
          <cell r="DG119">
            <v>0</v>
          </cell>
          <cell r="DH119">
            <v>6.7</v>
          </cell>
          <cell r="DI119">
            <v>7.7</v>
          </cell>
          <cell r="DJ119">
            <v>7.1</v>
          </cell>
          <cell r="DK119">
            <v>8.9</v>
          </cell>
          <cell r="DL119">
            <v>7.9</v>
          </cell>
          <cell r="DM119">
            <v>8</v>
          </cell>
          <cell r="DN119">
            <v>7.6</v>
          </cell>
          <cell r="DO119">
            <v>7.1</v>
          </cell>
          <cell r="DP119">
            <v>0</v>
          </cell>
          <cell r="DQ119">
            <v>0</v>
          </cell>
          <cell r="DR119">
            <v>8.3000000000000007</v>
          </cell>
          <cell r="DS119">
            <v>0</v>
          </cell>
          <cell r="DT119">
            <v>0</v>
          </cell>
          <cell r="DU119">
            <v>0</v>
          </cell>
          <cell r="DV119">
            <v>0</v>
          </cell>
          <cell r="DW119">
            <v>0</v>
          </cell>
          <cell r="DX119">
            <v>0</v>
          </cell>
          <cell r="DY119">
            <v>0</v>
          </cell>
          <cell r="DZ119">
            <v>0</v>
          </cell>
          <cell r="EA119">
            <v>0</v>
          </cell>
          <cell r="EB119">
            <v>0</v>
          </cell>
          <cell r="EC119">
            <v>5.75</v>
          </cell>
          <cell r="ED119">
            <v>8</v>
          </cell>
          <cell r="EI119">
            <v>7.5</v>
          </cell>
          <cell r="ES119">
            <v>4.5</v>
          </cell>
        </row>
        <row r="120">
          <cell r="A120">
            <v>0</v>
          </cell>
          <cell r="D120" t="str">
            <v>CHAO THỊ YẾN NHI</v>
          </cell>
          <cell r="E120" t="str">
            <v>0</v>
          </cell>
          <cell r="F120" t="str">
            <v>27/01/2008</v>
          </cell>
          <cell r="G120" t="str">
            <v>chaothiyennhi870@gmail.com</v>
          </cell>
          <cell r="I120" t="str">
            <v>094308001639</v>
          </cell>
          <cell r="AR120" t="str">
            <v>8.52</v>
          </cell>
          <cell r="AS120" t="str">
            <v>8.42</v>
          </cell>
          <cell r="AT120" t="str">
            <v>8.41</v>
          </cell>
          <cell r="BD120" t="str">
            <v>Chưa hoàn thành</v>
          </cell>
          <cell r="BF120" t="str">
            <v>3</v>
          </cell>
          <cell r="BR120">
            <v>8.6</v>
          </cell>
          <cell r="BS120">
            <v>7.4</v>
          </cell>
          <cell r="BT120">
            <v>8.5</v>
          </cell>
          <cell r="BU120">
            <v>8.4</v>
          </cell>
          <cell r="BV120">
            <v>8.6999999999999993</v>
          </cell>
          <cell r="BW120">
            <v>0</v>
          </cell>
          <cell r="BX120">
            <v>0</v>
          </cell>
          <cell r="BY120">
            <v>8.6999999999999993</v>
          </cell>
          <cell r="BZ120">
            <v>9.3000000000000007</v>
          </cell>
          <cell r="CA120">
            <v>8.5</v>
          </cell>
          <cell r="CB120">
            <v>0</v>
          </cell>
          <cell r="CC120">
            <v>8.6</v>
          </cell>
          <cell r="CD120">
            <v>0</v>
          </cell>
          <cell r="CE120">
            <v>0</v>
          </cell>
          <cell r="CF120">
            <v>0</v>
          </cell>
          <cell r="CG120">
            <v>0</v>
          </cell>
          <cell r="CH120">
            <v>0</v>
          </cell>
          <cell r="CI120">
            <v>0</v>
          </cell>
          <cell r="CJ120">
            <v>0</v>
          </cell>
          <cell r="CK120">
            <v>0</v>
          </cell>
          <cell r="CL120">
            <v>0</v>
          </cell>
          <cell r="CM120">
            <v>8.6999999999999993</v>
          </cell>
          <cell r="CN120">
            <v>7.4</v>
          </cell>
          <cell r="CO120">
            <v>8.5</v>
          </cell>
          <cell r="CP120">
            <v>8</v>
          </cell>
          <cell r="CQ120">
            <v>9.1</v>
          </cell>
          <cell r="CR120">
            <v>0</v>
          </cell>
          <cell r="CS120">
            <v>0</v>
          </cell>
          <cell r="CT120">
            <v>9.1999999999999993</v>
          </cell>
          <cell r="CU120">
            <v>8</v>
          </cell>
          <cell r="CV120">
            <v>7.8</v>
          </cell>
          <cell r="CW120">
            <v>0</v>
          </cell>
          <cell r="CX120">
            <v>9.1</v>
          </cell>
          <cell r="CY120">
            <v>0</v>
          </cell>
          <cell r="CZ120">
            <v>0</v>
          </cell>
          <cell r="DA120">
            <v>0</v>
          </cell>
          <cell r="DB120">
            <v>0</v>
          </cell>
          <cell r="DC120">
            <v>0</v>
          </cell>
          <cell r="DD120">
            <v>0</v>
          </cell>
          <cell r="DE120">
            <v>0</v>
          </cell>
          <cell r="DF120">
            <v>0</v>
          </cell>
          <cell r="DG120">
            <v>0</v>
          </cell>
          <cell r="DH120">
            <v>9</v>
          </cell>
          <cell r="DI120">
            <v>8.1</v>
          </cell>
          <cell r="DJ120">
            <v>8.4</v>
          </cell>
          <cell r="DK120">
            <v>8.1999999999999993</v>
          </cell>
          <cell r="DL120">
            <v>8.6</v>
          </cell>
          <cell r="DM120">
            <v>0</v>
          </cell>
          <cell r="DN120">
            <v>0</v>
          </cell>
          <cell r="DO120">
            <v>8.8000000000000007</v>
          </cell>
          <cell r="DP120">
            <v>8.3000000000000007</v>
          </cell>
          <cell r="DQ120">
            <v>7.4</v>
          </cell>
          <cell r="DR120">
            <v>0</v>
          </cell>
          <cell r="DS120">
            <v>8.9</v>
          </cell>
          <cell r="DT120">
            <v>0</v>
          </cell>
          <cell r="DU120">
            <v>0</v>
          </cell>
          <cell r="DV120">
            <v>0</v>
          </cell>
          <cell r="DW120">
            <v>0</v>
          </cell>
          <cell r="DX120">
            <v>0</v>
          </cell>
          <cell r="DY120">
            <v>0</v>
          </cell>
          <cell r="DZ120">
            <v>0</v>
          </cell>
          <cell r="EA120">
            <v>0</v>
          </cell>
          <cell r="EB120">
            <v>0</v>
          </cell>
        </row>
        <row r="121">
          <cell r="A121">
            <v>0</v>
          </cell>
          <cell r="D121" t="str">
            <v>LÊ THANH TÂM</v>
          </cell>
          <cell r="E121" t="str">
            <v>0</v>
          </cell>
          <cell r="F121" t="str">
            <v>12/04/2008</v>
          </cell>
          <cell r="G121" t="str">
            <v>thanhtamgr68@gmail.com</v>
          </cell>
          <cell r="I121" t="str">
            <v>091208015434</v>
          </cell>
          <cell r="BD121" t="str">
            <v>Chưa hoàn thành</v>
          </cell>
          <cell r="BF121" t="str">
            <v>3</v>
          </cell>
          <cell r="BR121">
            <v>0</v>
          </cell>
          <cell r="BS121">
            <v>0</v>
          </cell>
          <cell r="BT121">
            <v>0</v>
          </cell>
          <cell r="BU121">
            <v>0</v>
          </cell>
          <cell r="BV121">
            <v>0</v>
          </cell>
          <cell r="BW121">
            <v>0</v>
          </cell>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0</v>
          </cell>
          <cell r="DM121">
            <v>0</v>
          </cell>
          <cell r="DN121">
            <v>0</v>
          </cell>
          <cell r="DO121">
            <v>0</v>
          </cell>
          <cell r="DP121">
            <v>0</v>
          </cell>
          <cell r="DQ121">
            <v>0</v>
          </cell>
          <cell r="DR121">
            <v>0</v>
          </cell>
          <cell r="DS121">
            <v>0</v>
          </cell>
          <cell r="DT121">
            <v>0</v>
          </cell>
          <cell r="DU121">
            <v>0</v>
          </cell>
          <cell r="DV121">
            <v>0</v>
          </cell>
          <cell r="DW121">
            <v>0</v>
          </cell>
          <cell r="DX121">
            <v>0</v>
          </cell>
          <cell r="DY121">
            <v>0</v>
          </cell>
          <cell r="DZ121">
            <v>0</v>
          </cell>
          <cell r="EA121">
            <v>0</v>
          </cell>
          <cell r="EB121">
            <v>0</v>
          </cell>
        </row>
        <row r="122">
          <cell r="A122">
            <v>354541967</v>
          </cell>
          <cell r="B122" t="str">
            <v>KSVBS2628210</v>
          </cell>
          <cell r="C122" t="str">
            <v>81</v>
          </cell>
          <cell r="D122" t="str">
            <v>TRƯƠNG LÊ NGỌC BẢO SƠN</v>
          </cell>
          <cell r="E122" t="str">
            <v>0</v>
          </cell>
          <cell r="F122" t="str">
            <v>05/10/1994</v>
          </cell>
          <cell r="G122" t="str">
            <v>baoson6787@gmail.com</v>
          </cell>
          <cell r="H122" t="str">
            <v>0354541967</v>
          </cell>
          <cell r="I122" t="str">
            <v>079094019852</v>
          </cell>
          <cell r="J122" t="str">
            <v>102 Nguyễn Văn Cừ</v>
          </cell>
          <cell r="K122" t="str">
            <v>KV3</v>
          </cell>
          <cell r="M122" t="str">
            <v>Không có</v>
          </cell>
          <cell r="N122" t="str">
            <v>Kinh</v>
          </cell>
          <cell r="P122" t="str">
            <v>2013</v>
          </cell>
          <cell r="R122" t="str">
            <v>Không có</v>
          </cell>
          <cell r="S122" t="str">
            <v>Không có</v>
          </cell>
          <cell r="T122" t="str">
            <v>Không có</v>
          </cell>
          <cell r="AA122" t="str">
            <v>Không có</v>
          </cell>
          <cell r="AF122" t="str">
            <v>79N</v>
          </cell>
          <cell r="AG122" t="str">
            <v>063</v>
          </cell>
          <cell r="AH122" t="str">
            <v>THPT Thủ Đức</v>
          </cell>
          <cell r="AI122" t="str">
            <v>79N</v>
          </cell>
          <cell r="AJ122" t="str">
            <v>063</v>
          </cell>
          <cell r="AK122" t="str">
            <v>THPT Thủ Đức</v>
          </cell>
          <cell r="AL122" t="str">
            <v>79N</v>
          </cell>
          <cell r="AM122" t="str">
            <v>063</v>
          </cell>
          <cell r="AN122" t="str">
            <v>THPT Thủ Đức</v>
          </cell>
          <cell r="AO122" t="str">
            <v>GDPT2018</v>
          </cell>
          <cell r="AP122" t="str">
            <v>Đạt</v>
          </cell>
          <cell r="AQ122" t="str">
            <v>6.30</v>
          </cell>
          <cell r="AR122" t="str">
            <v>6.46</v>
          </cell>
          <cell r="AS122" t="str">
            <v>6.49</v>
          </cell>
          <cell r="AT122" t="str">
            <v>6.32</v>
          </cell>
          <cell r="AU122" t="str">
            <v>False</v>
          </cell>
          <cell r="AW122" t="str">
            <v>7480201</v>
          </cell>
          <cell r="AX122" t="str">
            <v>Công nghệ và đổi mới sáng tạo</v>
          </cell>
          <cell r="AY122" t="str">
            <v>7480107</v>
          </cell>
          <cell r="AZ122" t="str">
            <v>Robot và Trí tuệ nhân tạo (hệ kỹ sư)</v>
          </cell>
          <cell r="BC122" t="str">
            <v>phamhuong</v>
          </cell>
          <cell r="BD122" t="str">
            <v>Không hợp lệ</v>
          </cell>
          <cell r="BE122" t="str">
            <v xml:space="preserve">Thí sinh tự do (những thí sinh đã tốt nghiệp THPT trước năm 2026) 
Điều kiện bắt buộc: Bạn phải đăng ký và tham gia ít nhất một trong ba kỳ thi được tổ chức trong năm 2026 để lấy điểm thành phần "Điểm thi" cho công thức xét tuyển, bao gồm:
Kỳ thi tốt nghiệp THPT năm 2026.
Kỳ thi đánh giá năng lực do Đại học Quốc gia TP.HCM tổ chức năm 2026 (ĐGNL-HCM).
Kỳ thi đánh giá đầu vào đại học V-SAT năm 2026 ( do Đại học Cần Thơ tổ chức) </v>
          </cell>
          <cell r="BF122" t="str">
            <v>3</v>
          </cell>
          <cell r="BM122" t="str">
            <v>False</v>
          </cell>
          <cell r="BN122" t="str">
            <v>False</v>
          </cell>
          <cell r="BR122">
            <v>3.7</v>
          </cell>
          <cell r="BS122">
            <v>6.5</v>
          </cell>
          <cell r="BT122">
            <v>5.3</v>
          </cell>
          <cell r="BU122">
            <v>6.7</v>
          </cell>
          <cell r="BV122">
            <v>8</v>
          </cell>
          <cell r="BW122">
            <v>0</v>
          </cell>
          <cell r="BX122">
            <v>7.3</v>
          </cell>
          <cell r="BY122">
            <v>4.9000000000000004</v>
          </cell>
          <cell r="BZ122">
            <v>5</v>
          </cell>
          <cell r="CA122">
            <v>6.1</v>
          </cell>
          <cell r="CB122">
            <v>8.5</v>
          </cell>
          <cell r="CC122">
            <v>7.7</v>
          </cell>
          <cell r="CD122">
            <v>0</v>
          </cell>
          <cell r="CE122">
            <v>7.8</v>
          </cell>
          <cell r="CF122">
            <v>0</v>
          </cell>
          <cell r="CG122">
            <v>0</v>
          </cell>
          <cell r="CH122">
            <v>0</v>
          </cell>
          <cell r="CI122">
            <v>0</v>
          </cell>
          <cell r="CJ122">
            <v>0</v>
          </cell>
          <cell r="CK122">
            <v>0</v>
          </cell>
          <cell r="CL122">
            <v>0</v>
          </cell>
          <cell r="CM122">
            <v>3.7</v>
          </cell>
          <cell r="CN122">
            <v>7.3</v>
          </cell>
          <cell r="CO122">
            <v>5.2</v>
          </cell>
          <cell r="CP122">
            <v>7.4</v>
          </cell>
          <cell r="CQ122">
            <v>7.4</v>
          </cell>
          <cell r="CR122">
            <v>0</v>
          </cell>
          <cell r="CS122">
            <v>8.4</v>
          </cell>
          <cell r="CT122">
            <v>5.7</v>
          </cell>
          <cell r="CU122">
            <v>4.5</v>
          </cell>
          <cell r="CV122">
            <v>6.5</v>
          </cell>
          <cell r="CW122">
            <v>7.2</v>
          </cell>
          <cell r="CX122">
            <v>6.7</v>
          </cell>
          <cell r="CY122">
            <v>0</v>
          </cell>
          <cell r="CZ122">
            <v>7.9</v>
          </cell>
          <cell r="DA122">
            <v>0</v>
          </cell>
          <cell r="DB122">
            <v>0</v>
          </cell>
          <cell r="DC122">
            <v>0</v>
          </cell>
          <cell r="DD122">
            <v>0</v>
          </cell>
          <cell r="DE122">
            <v>0</v>
          </cell>
          <cell r="DF122">
            <v>0</v>
          </cell>
          <cell r="DG122">
            <v>0</v>
          </cell>
          <cell r="DH122">
            <v>4.4000000000000004</v>
          </cell>
          <cell r="DI122">
            <v>6.8</v>
          </cell>
          <cell r="DJ122">
            <v>4.4000000000000004</v>
          </cell>
          <cell r="DK122">
            <v>7.3</v>
          </cell>
          <cell r="DL122">
            <v>8.6</v>
          </cell>
          <cell r="DM122">
            <v>0</v>
          </cell>
          <cell r="DN122">
            <v>7.2</v>
          </cell>
          <cell r="DO122">
            <v>5.6</v>
          </cell>
          <cell r="DP122">
            <v>5.2</v>
          </cell>
          <cell r="DQ122">
            <v>6.2</v>
          </cell>
          <cell r="DR122">
            <v>6.5</v>
          </cell>
          <cell r="DS122">
            <v>8.1</v>
          </cell>
          <cell r="DT122">
            <v>0</v>
          </cell>
          <cell r="DU122">
            <v>5.5</v>
          </cell>
          <cell r="DV122">
            <v>0</v>
          </cell>
          <cell r="DW122">
            <v>0</v>
          </cell>
          <cell r="DX122">
            <v>0</v>
          </cell>
          <cell r="DY122">
            <v>0</v>
          </cell>
          <cell r="DZ122">
            <v>0</v>
          </cell>
          <cell r="EA122">
            <v>0</v>
          </cell>
          <cell r="EB122">
            <v>0</v>
          </cell>
        </row>
        <row r="123">
          <cell r="A123">
            <v>852148527</v>
          </cell>
          <cell r="D123" t="str">
            <v>LƯƠNG NGỌC DIỆP</v>
          </cell>
          <cell r="E123" t="str">
            <v>1</v>
          </cell>
          <cell r="F123" t="str">
            <v>09/08/2008</v>
          </cell>
          <cell r="G123" t="str">
            <v>ngdiep98208@gmail.com</v>
          </cell>
          <cell r="H123" t="str">
            <v>0852148527</v>
          </cell>
          <cell r="I123" t="str">
            <v>004308002395</v>
          </cell>
          <cell r="J123" t="str">
            <v xml:space="preserve">Tổ dân phố Đà Quận, phường Thục Phán, Cao Bằng </v>
          </cell>
          <cell r="K123" t="str">
            <v>KV1</v>
          </cell>
          <cell r="L123" t="str">
            <v>01</v>
          </cell>
          <cell r="M123" t="str">
            <v>01</v>
          </cell>
          <cell r="N123" t="str">
            <v>Nùng</v>
          </cell>
          <cell r="P123" t="str">
            <v>2026</v>
          </cell>
          <cell r="Q123" t="str">
            <v>04000701</v>
          </cell>
          <cell r="R123" t="str">
            <v>Không có</v>
          </cell>
          <cell r="S123" t="str">
            <v>Không có</v>
          </cell>
          <cell r="T123" t="str">
            <v>Không có</v>
          </cell>
          <cell r="AA123" t="str">
            <v>Không có</v>
          </cell>
          <cell r="AF123" t="str">
            <v>04N</v>
          </cell>
          <cell r="AG123" t="str">
            <v>028</v>
          </cell>
          <cell r="AH123" t="str">
            <v>THPT Cao Bình</v>
          </cell>
          <cell r="AI123" t="str">
            <v>04N</v>
          </cell>
          <cell r="AJ123" t="str">
            <v>028</v>
          </cell>
          <cell r="AK123" t="str">
            <v>THPT Cao Bình</v>
          </cell>
          <cell r="AL123" t="str">
            <v>04N</v>
          </cell>
          <cell r="AM123" t="str">
            <v>028</v>
          </cell>
          <cell r="AN123" t="str">
            <v>THPT Cao Bình</v>
          </cell>
          <cell r="AO123" t="str">
            <v>GDPT2018</v>
          </cell>
          <cell r="AP123" t="str">
            <v>Khá</v>
          </cell>
          <cell r="AQ123" t="str">
            <v>7.00</v>
          </cell>
          <cell r="AR123" t="str">
            <v>6.86</v>
          </cell>
          <cell r="AS123" t="str">
            <v>7.19</v>
          </cell>
          <cell r="AT123" t="str">
            <v>7.56</v>
          </cell>
          <cell r="AU123" t="str">
            <v>False</v>
          </cell>
          <cell r="AW123" t="str">
            <v>7380107</v>
          </cell>
          <cell r="AX123" t="str">
            <v>Luật kinh tế</v>
          </cell>
          <cell r="BD123" t="str">
            <v>Chưa hoàn thành</v>
          </cell>
          <cell r="BF123" t="str">
            <v>3</v>
          </cell>
          <cell r="BM123" t="str">
            <v>False</v>
          </cell>
          <cell r="BN123" t="str">
            <v>False</v>
          </cell>
          <cell r="BR123">
            <v>6.3</v>
          </cell>
          <cell r="BS123">
            <v>6.5</v>
          </cell>
          <cell r="BT123">
            <v>6.3</v>
          </cell>
          <cell r="BU123">
            <v>8.1</v>
          </cell>
          <cell r="BV123">
            <v>6.9</v>
          </cell>
          <cell r="BW123">
            <v>0</v>
          </cell>
          <cell r="BX123">
            <v>7</v>
          </cell>
          <cell r="BY123">
            <v>0</v>
          </cell>
          <cell r="BZ123">
            <v>6.1</v>
          </cell>
          <cell r="CA123">
            <v>6.9</v>
          </cell>
          <cell r="CB123">
            <v>7.6</v>
          </cell>
          <cell r="CC123">
            <v>0</v>
          </cell>
          <cell r="CD123">
            <v>0</v>
          </cell>
          <cell r="CE123">
            <v>0</v>
          </cell>
          <cell r="CF123">
            <v>0</v>
          </cell>
          <cell r="CG123">
            <v>0</v>
          </cell>
          <cell r="CH123">
            <v>0</v>
          </cell>
          <cell r="CI123">
            <v>0</v>
          </cell>
          <cell r="CJ123">
            <v>0</v>
          </cell>
          <cell r="CK123">
            <v>0</v>
          </cell>
          <cell r="CL123">
            <v>0</v>
          </cell>
          <cell r="CM123">
            <v>6.2</v>
          </cell>
          <cell r="CN123">
            <v>7.1</v>
          </cell>
          <cell r="CO123">
            <v>6.8</v>
          </cell>
          <cell r="CP123">
            <v>8</v>
          </cell>
          <cell r="CQ123">
            <v>7.5</v>
          </cell>
          <cell r="CR123">
            <v>0</v>
          </cell>
          <cell r="CS123">
            <v>7.3</v>
          </cell>
          <cell r="CT123">
            <v>0</v>
          </cell>
          <cell r="CU123">
            <v>6.8</v>
          </cell>
          <cell r="CV123">
            <v>7.4</v>
          </cell>
          <cell r="CW123">
            <v>7.6</v>
          </cell>
          <cell r="CX123">
            <v>0</v>
          </cell>
          <cell r="CY123">
            <v>0</v>
          </cell>
          <cell r="CZ123">
            <v>0</v>
          </cell>
          <cell r="DA123">
            <v>0</v>
          </cell>
          <cell r="DB123">
            <v>0</v>
          </cell>
          <cell r="DC123">
            <v>0</v>
          </cell>
          <cell r="DD123">
            <v>0</v>
          </cell>
          <cell r="DE123">
            <v>0</v>
          </cell>
          <cell r="DF123">
            <v>0</v>
          </cell>
          <cell r="DG123">
            <v>0</v>
          </cell>
          <cell r="DH123">
            <v>7</v>
          </cell>
          <cell r="DI123">
            <v>7.4</v>
          </cell>
          <cell r="DJ123">
            <v>7</v>
          </cell>
          <cell r="DK123">
            <v>8.4</v>
          </cell>
          <cell r="DL123">
            <v>6.9</v>
          </cell>
          <cell r="DM123">
            <v>0</v>
          </cell>
          <cell r="DN123">
            <v>7.5</v>
          </cell>
          <cell r="DO123">
            <v>0</v>
          </cell>
          <cell r="DP123">
            <v>7.3</v>
          </cell>
          <cell r="DQ123">
            <v>8.3000000000000007</v>
          </cell>
          <cell r="DR123">
            <v>8.1999999999999993</v>
          </cell>
          <cell r="DS123">
            <v>0</v>
          </cell>
          <cell r="DT123">
            <v>0</v>
          </cell>
          <cell r="DU123">
            <v>0</v>
          </cell>
          <cell r="DV123">
            <v>0</v>
          </cell>
          <cell r="DW123">
            <v>0</v>
          </cell>
          <cell r="DX123">
            <v>0</v>
          </cell>
          <cell r="DY123">
            <v>0</v>
          </cell>
          <cell r="DZ123">
            <v>0</v>
          </cell>
          <cell r="EA123">
            <v>0</v>
          </cell>
          <cell r="EB123">
            <v>0</v>
          </cell>
        </row>
        <row r="124">
          <cell r="A124">
            <v>0</v>
          </cell>
          <cell r="D124" t="str">
            <v>PHAN NGỌC LAN THẢO</v>
          </cell>
          <cell r="E124" t="str">
            <v>0</v>
          </cell>
          <cell r="F124" t="str">
            <v>07/04/2008</v>
          </cell>
          <cell r="G124" t="str">
            <v>phthao07408@gmail.com</v>
          </cell>
          <cell r="I124" t="str">
            <v>086308007463</v>
          </cell>
          <cell r="BD124" t="str">
            <v>Chưa hoàn thành</v>
          </cell>
          <cell r="BF124" t="str">
            <v>3</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0</v>
          </cell>
          <cell r="DO124">
            <v>0</v>
          </cell>
          <cell r="DP124">
            <v>0</v>
          </cell>
          <cell r="DQ124">
            <v>0</v>
          </cell>
          <cell r="DR124">
            <v>0</v>
          </cell>
          <cell r="DS124">
            <v>0</v>
          </cell>
          <cell r="DT124">
            <v>0</v>
          </cell>
          <cell r="DU124">
            <v>0</v>
          </cell>
          <cell r="DV124">
            <v>0</v>
          </cell>
          <cell r="DW124">
            <v>0</v>
          </cell>
          <cell r="DX124">
            <v>0</v>
          </cell>
          <cell r="DY124">
            <v>0</v>
          </cell>
          <cell r="DZ124">
            <v>0</v>
          </cell>
          <cell r="EA124">
            <v>0</v>
          </cell>
          <cell r="EB124">
            <v>0</v>
          </cell>
        </row>
        <row r="125">
          <cell r="A125">
            <v>949360904</v>
          </cell>
          <cell r="B125" t="str">
            <v>KSVBS2605074</v>
          </cell>
          <cell r="C125" t="str">
            <v>86</v>
          </cell>
          <cell r="D125" t="str">
            <v>TRẦN ĐÔNG PHÚ</v>
          </cell>
          <cell r="E125" t="str">
            <v>0</v>
          </cell>
          <cell r="F125" t="str">
            <v>09/04/2007</v>
          </cell>
          <cell r="G125" t="str">
            <v>tdp090407@gmail.com</v>
          </cell>
          <cell r="H125" t="str">
            <v>0949360904</v>
          </cell>
          <cell r="I125" t="str">
            <v>091207004070</v>
          </cell>
          <cell r="J125" t="str">
            <v>283, tổ 2, ấp Giàn Gừa</v>
          </cell>
          <cell r="K125" t="str">
            <v>KV2-NT</v>
          </cell>
          <cell r="M125" t="str">
            <v>Không có</v>
          </cell>
          <cell r="N125" t="str">
            <v>Kinh</v>
          </cell>
          <cell r="P125" t="str">
            <v>2026</v>
          </cell>
          <cell r="Q125" t="str">
            <v>91020005</v>
          </cell>
          <cell r="R125" t="str">
            <v>Không có</v>
          </cell>
          <cell r="S125" t="str">
            <v>Không có</v>
          </cell>
          <cell r="T125" t="str">
            <v>Không có</v>
          </cell>
          <cell r="W125" t="str">
            <v>0.00</v>
          </cell>
          <cell r="X125" t="str">
            <v>615762</v>
          </cell>
          <cell r="Y125" t="str">
            <v>3D076B7A71</v>
          </cell>
          <cell r="Z125" t="str">
            <v>788.00</v>
          </cell>
          <cell r="AA125" t="str">
            <v>Không có</v>
          </cell>
          <cell r="AF125" t="str">
            <v>89N</v>
          </cell>
          <cell r="AG125" t="str">
            <v>011</v>
          </cell>
          <cell r="AH125" t="str">
            <v>Trường THPT Hòn Đất</v>
          </cell>
          <cell r="AI125" t="str">
            <v>89N</v>
          </cell>
          <cell r="AJ125" t="str">
            <v>011</v>
          </cell>
          <cell r="AK125" t="str">
            <v>Trường THPT Hòn Đất</v>
          </cell>
          <cell r="AL125" t="str">
            <v>89N</v>
          </cell>
          <cell r="AM125" t="str">
            <v>011</v>
          </cell>
          <cell r="AN125" t="str">
            <v>Trường THPT Hòn Đất</v>
          </cell>
          <cell r="AO125" t="str">
            <v>GDPT2018</v>
          </cell>
          <cell r="AP125" t="str">
            <v>Giỏi</v>
          </cell>
          <cell r="AQ125" t="str">
            <v>8.36</v>
          </cell>
          <cell r="AR125" t="str">
            <v>7.08</v>
          </cell>
          <cell r="AS125" t="str">
            <v>8.01</v>
          </cell>
          <cell r="AT125" t="str">
            <v>8.36</v>
          </cell>
          <cell r="AU125" t="str">
            <v>True</v>
          </cell>
          <cell r="AW125" t="str">
            <v>7340120</v>
          </cell>
          <cell r="AX125" t="str">
            <v>Kinh doanh quốc tế</v>
          </cell>
          <cell r="BC125" t="str">
            <v>phamhuong</v>
          </cell>
          <cell r="BD125" t="str">
            <v>Đã được tiếp nhận</v>
          </cell>
          <cell r="BE125" t="str">
            <v>em bổ sung Giấy chứng nhận kết quả thi THPT năm 2026 nhé</v>
          </cell>
          <cell r="BF125" t="str">
            <v>3</v>
          </cell>
          <cell r="BM125" t="str">
            <v>False</v>
          </cell>
          <cell r="BN125" t="str">
            <v>False</v>
          </cell>
          <cell r="BP125" t="str">
            <v>KQDGNL_123_091207004070.pdf</v>
          </cell>
          <cell r="BR125">
            <v>7.6</v>
          </cell>
          <cell r="BS125">
            <v>6.9</v>
          </cell>
          <cell r="BT125">
            <v>5.3</v>
          </cell>
          <cell r="BU125">
            <v>7.6</v>
          </cell>
          <cell r="BV125">
            <v>6.9</v>
          </cell>
          <cell r="BW125">
            <v>0</v>
          </cell>
          <cell r="BX125">
            <v>7.3</v>
          </cell>
          <cell r="BY125">
            <v>7.3</v>
          </cell>
          <cell r="BZ125">
            <v>0</v>
          </cell>
          <cell r="CA125">
            <v>0</v>
          </cell>
          <cell r="CB125">
            <v>0</v>
          </cell>
          <cell r="CC125">
            <v>7.7</v>
          </cell>
          <cell r="CD125">
            <v>0</v>
          </cell>
          <cell r="CE125">
            <v>0</v>
          </cell>
          <cell r="CF125">
            <v>0</v>
          </cell>
          <cell r="CG125">
            <v>0</v>
          </cell>
          <cell r="CH125">
            <v>0</v>
          </cell>
          <cell r="CI125">
            <v>0</v>
          </cell>
          <cell r="CJ125">
            <v>0</v>
          </cell>
          <cell r="CK125">
            <v>0</v>
          </cell>
          <cell r="CL125">
            <v>0</v>
          </cell>
          <cell r="CM125">
            <v>8.6</v>
          </cell>
          <cell r="CN125">
            <v>7.5</v>
          </cell>
          <cell r="CO125">
            <v>6.7</v>
          </cell>
          <cell r="CP125">
            <v>7.6</v>
          </cell>
          <cell r="CQ125">
            <v>8.5</v>
          </cell>
          <cell r="CR125">
            <v>0</v>
          </cell>
          <cell r="CS125">
            <v>8.1</v>
          </cell>
          <cell r="CT125">
            <v>8.3000000000000007</v>
          </cell>
          <cell r="CU125">
            <v>0</v>
          </cell>
          <cell r="CV125">
            <v>0</v>
          </cell>
          <cell r="CW125">
            <v>0</v>
          </cell>
          <cell r="CX125">
            <v>8.8000000000000007</v>
          </cell>
          <cell r="CY125">
            <v>0</v>
          </cell>
          <cell r="CZ125">
            <v>0</v>
          </cell>
          <cell r="DA125">
            <v>0</v>
          </cell>
          <cell r="DB125">
            <v>0</v>
          </cell>
          <cell r="DC125">
            <v>0</v>
          </cell>
          <cell r="DD125">
            <v>0</v>
          </cell>
          <cell r="DE125">
            <v>0</v>
          </cell>
          <cell r="DF125">
            <v>0</v>
          </cell>
          <cell r="DG125">
            <v>0</v>
          </cell>
          <cell r="DH125">
            <v>9.1999999999999993</v>
          </cell>
          <cell r="DI125">
            <v>8</v>
          </cell>
          <cell r="DJ125">
            <v>6.9</v>
          </cell>
          <cell r="DK125">
            <v>8.6999999999999993</v>
          </cell>
          <cell r="DL125">
            <v>8.5</v>
          </cell>
          <cell r="DM125">
            <v>0</v>
          </cell>
          <cell r="DN125">
            <v>8.1999999999999993</v>
          </cell>
          <cell r="DO125">
            <v>8.8000000000000007</v>
          </cell>
          <cell r="DP125">
            <v>0</v>
          </cell>
          <cell r="DQ125">
            <v>0</v>
          </cell>
          <cell r="DR125">
            <v>0</v>
          </cell>
          <cell r="DS125">
            <v>8.6</v>
          </cell>
          <cell r="DT125">
            <v>0</v>
          </cell>
          <cell r="DU125">
            <v>0</v>
          </cell>
          <cell r="DV125">
            <v>0</v>
          </cell>
          <cell r="DW125">
            <v>0</v>
          </cell>
          <cell r="DX125">
            <v>0</v>
          </cell>
          <cell r="DY125">
            <v>0</v>
          </cell>
          <cell r="DZ125">
            <v>0</v>
          </cell>
          <cell r="EA125">
            <v>0</v>
          </cell>
          <cell r="EB125">
            <v>0</v>
          </cell>
        </row>
        <row r="126">
          <cell r="A126">
            <v>0</v>
          </cell>
          <cell r="D126" t="str">
            <v>PHẠM TỶ PHÚ</v>
          </cell>
          <cell r="E126" t="str">
            <v>0</v>
          </cell>
          <cell r="F126" t="str">
            <v>14/02/2008</v>
          </cell>
          <cell r="G126" t="str">
            <v>phamtyphu4@gmail.com</v>
          </cell>
          <cell r="I126" t="str">
            <v>087208016885</v>
          </cell>
          <cell r="BD126" t="str">
            <v>Chưa hoàn thành</v>
          </cell>
          <cell r="BF126" t="str">
            <v>3</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v>0</v>
          </cell>
          <cell r="DU126">
            <v>0</v>
          </cell>
          <cell r="DV126">
            <v>0</v>
          </cell>
          <cell r="DW126">
            <v>0</v>
          </cell>
          <cell r="DX126">
            <v>0</v>
          </cell>
          <cell r="DY126">
            <v>0</v>
          </cell>
          <cell r="DZ126">
            <v>0</v>
          </cell>
          <cell r="EA126">
            <v>0</v>
          </cell>
          <cell r="EB126">
            <v>0</v>
          </cell>
        </row>
        <row r="127">
          <cell r="A127">
            <v>0</v>
          </cell>
          <cell r="D127" t="str">
            <v>TĂNG THỊ TÚ UYÊN</v>
          </cell>
          <cell r="E127" t="str">
            <v>0</v>
          </cell>
          <cell r="F127" t="str">
            <v>14/05/2008</v>
          </cell>
          <cell r="G127" t="str">
            <v>uyentang2008@gmail.con</v>
          </cell>
          <cell r="I127" t="str">
            <v>049308000449</v>
          </cell>
          <cell r="BD127" t="str">
            <v>Chưa hoàn thành</v>
          </cell>
          <cell r="BF127" t="str">
            <v>3</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v>0</v>
          </cell>
          <cell r="DU127">
            <v>0</v>
          </cell>
          <cell r="DV127">
            <v>0</v>
          </cell>
          <cell r="DW127">
            <v>0</v>
          </cell>
          <cell r="DX127">
            <v>0</v>
          </cell>
          <cell r="DY127">
            <v>0</v>
          </cell>
          <cell r="DZ127">
            <v>0</v>
          </cell>
          <cell r="EA127">
            <v>0</v>
          </cell>
          <cell r="EB127">
            <v>0</v>
          </cell>
        </row>
        <row r="128">
          <cell r="A128">
            <v>702804550</v>
          </cell>
          <cell r="D128" t="str">
            <v>LÂM TRẦN GIA HÂN</v>
          </cell>
          <cell r="E128" t="str">
            <v>0</v>
          </cell>
          <cell r="F128" t="str">
            <v>29/03/2006</v>
          </cell>
          <cell r="G128" t="str">
            <v>ahnnhaanh@gmail.com</v>
          </cell>
          <cell r="H128" t="str">
            <v>0702804550</v>
          </cell>
          <cell r="I128" t="str">
            <v>089306005201</v>
          </cell>
          <cell r="J128" t="str">
            <v>số 67 đường Hà Huy Tập, Mỹ Phước</v>
          </cell>
          <cell r="K128" t="str">
            <v>KV2</v>
          </cell>
          <cell r="M128" t="str">
            <v>Không có</v>
          </cell>
          <cell r="N128" t="str">
            <v>Kinh</v>
          </cell>
          <cell r="P128" t="str">
            <v>2025</v>
          </cell>
          <cell r="Q128" t="str">
            <v>91021578</v>
          </cell>
          <cell r="R128" t="str">
            <v>Không có</v>
          </cell>
          <cell r="S128" t="str">
            <v>Không có</v>
          </cell>
          <cell r="T128" t="str">
            <v>Không có</v>
          </cell>
          <cell r="V128" t="str">
            <v>D26424526</v>
          </cell>
          <cell r="W128" t="str">
            <v>730.00</v>
          </cell>
          <cell r="Y128" t="str">
            <v xml:space="preserve">D26P36MRV </v>
          </cell>
          <cell r="Z128" t="str">
            <v>821.00</v>
          </cell>
          <cell r="AA128" t="str">
            <v>Không có</v>
          </cell>
          <cell r="AF128" t="str">
            <v>89N</v>
          </cell>
          <cell r="AG128" t="str">
            <v>159</v>
          </cell>
          <cell r="AH128" t="str">
            <v>Trường Phổ thông Thực hành Sư phạm</v>
          </cell>
          <cell r="AI128" t="str">
            <v>89N</v>
          </cell>
          <cell r="AJ128" t="str">
            <v>159</v>
          </cell>
          <cell r="AK128" t="str">
            <v>Trường Phổ thông Thực hành Sư phạm</v>
          </cell>
          <cell r="AL128" t="str">
            <v>89N</v>
          </cell>
          <cell r="AM128" t="str">
            <v>159</v>
          </cell>
          <cell r="AN128" t="str">
            <v>Trường Phổ thông Thực hành Sư phạm</v>
          </cell>
          <cell r="AO128" t="str">
            <v>GDPT2018</v>
          </cell>
          <cell r="AP128" t="str">
            <v>Tốt</v>
          </cell>
          <cell r="AQ128" t="str">
            <v>8.15</v>
          </cell>
          <cell r="AR128" t="str">
            <v>8.97</v>
          </cell>
          <cell r="AS128" t="str">
            <v>8.87</v>
          </cell>
          <cell r="AT128" t="str">
            <v>8.93</v>
          </cell>
          <cell r="AU128" t="str">
            <v>True</v>
          </cell>
          <cell r="AW128" t="str">
            <v>7340201_2</v>
          </cell>
          <cell r="AX128" t="str">
            <v>Tài chính</v>
          </cell>
          <cell r="AY128" t="str">
            <v>7340120</v>
          </cell>
          <cell r="AZ128" t="str">
            <v>Kinh doanh quốc tế</v>
          </cell>
          <cell r="BA128" t="str">
            <v>7340115</v>
          </cell>
          <cell r="BB128" t="str">
            <v>Marketing</v>
          </cell>
          <cell r="BD128" t="str">
            <v>Chưa hoàn thành</v>
          </cell>
          <cell r="BF128" t="str">
            <v>3</v>
          </cell>
          <cell r="BM128" t="str">
            <v>True</v>
          </cell>
          <cell r="BN128" t="str">
            <v>False</v>
          </cell>
          <cell r="BO128" t="str">
            <v>KQTHPT_126_089306005201.pdf</v>
          </cell>
          <cell r="BP128" t="str">
            <v>KQDGNL_126_089306005201.pdf</v>
          </cell>
          <cell r="BR128">
            <v>9.1999999999999993</v>
          </cell>
          <cell r="BS128">
            <v>8.6999999999999993</v>
          </cell>
          <cell r="BT128">
            <v>8.3000000000000007</v>
          </cell>
          <cell r="BU128">
            <v>9.1999999999999993</v>
          </cell>
          <cell r="BV128">
            <v>8.8000000000000007</v>
          </cell>
          <cell r="BW128">
            <v>0</v>
          </cell>
          <cell r="BX128">
            <v>0</v>
          </cell>
          <cell r="BY128">
            <v>9</v>
          </cell>
          <cell r="BZ128">
            <v>8.8000000000000007</v>
          </cell>
          <cell r="CA128">
            <v>9.1</v>
          </cell>
          <cell r="CB128">
            <v>0</v>
          </cell>
          <cell r="CC128">
            <v>9.6</v>
          </cell>
          <cell r="CD128">
            <v>0</v>
          </cell>
          <cell r="CE128">
            <v>0</v>
          </cell>
          <cell r="CF128">
            <v>0</v>
          </cell>
          <cell r="CG128">
            <v>0</v>
          </cell>
          <cell r="CH128">
            <v>0</v>
          </cell>
          <cell r="CI128">
            <v>0</v>
          </cell>
          <cell r="CJ128">
            <v>0</v>
          </cell>
          <cell r="CK128">
            <v>0</v>
          </cell>
          <cell r="CL128">
            <v>0</v>
          </cell>
          <cell r="CM128">
            <v>9.6</v>
          </cell>
          <cell r="CN128">
            <v>9</v>
          </cell>
          <cell r="CO128">
            <v>8</v>
          </cell>
          <cell r="CP128">
            <v>9.6</v>
          </cell>
          <cell r="CQ128">
            <v>8.9</v>
          </cell>
          <cell r="CR128">
            <v>0</v>
          </cell>
          <cell r="CS128">
            <v>0</v>
          </cell>
          <cell r="CT128">
            <v>8.8000000000000007</v>
          </cell>
          <cell r="CU128">
            <v>8.5</v>
          </cell>
          <cell r="CV128">
            <v>8.1</v>
          </cell>
          <cell r="CW128">
            <v>0</v>
          </cell>
          <cell r="CX128">
            <v>9.3000000000000007</v>
          </cell>
          <cell r="CY128">
            <v>0</v>
          </cell>
          <cell r="CZ128">
            <v>0</v>
          </cell>
          <cell r="DA128">
            <v>0</v>
          </cell>
          <cell r="DB128">
            <v>0</v>
          </cell>
          <cell r="DC128">
            <v>0</v>
          </cell>
          <cell r="DD128">
            <v>0</v>
          </cell>
          <cell r="DE128">
            <v>0</v>
          </cell>
          <cell r="DF128">
            <v>0</v>
          </cell>
          <cell r="DG128">
            <v>0</v>
          </cell>
          <cell r="DH128">
            <v>9</v>
          </cell>
          <cell r="DI128">
            <v>8.1</v>
          </cell>
          <cell r="DJ128">
            <v>8.5</v>
          </cell>
          <cell r="DK128">
            <v>9.3000000000000007</v>
          </cell>
          <cell r="DL128">
            <v>9</v>
          </cell>
          <cell r="DM128">
            <v>0</v>
          </cell>
          <cell r="DN128">
            <v>0</v>
          </cell>
          <cell r="DO128">
            <v>9.5</v>
          </cell>
          <cell r="DP128">
            <v>9.1999999999999993</v>
          </cell>
          <cell r="DQ128">
            <v>8.3000000000000007</v>
          </cell>
          <cell r="DR128">
            <v>0</v>
          </cell>
          <cell r="DS128">
            <v>9.5</v>
          </cell>
          <cell r="DT128">
            <v>0</v>
          </cell>
          <cell r="DU128">
            <v>0</v>
          </cell>
          <cell r="DV128">
            <v>0</v>
          </cell>
          <cell r="DW128">
            <v>0</v>
          </cell>
          <cell r="DX128">
            <v>0</v>
          </cell>
          <cell r="DY128">
            <v>0</v>
          </cell>
          <cell r="DZ128">
            <v>0</v>
          </cell>
          <cell r="EA128">
            <v>0</v>
          </cell>
          <cell r="EB128">
            <v>0</v>
          </cell>
          <cell r="EC128">
            <v>8</v>
          </cell>
          <cell r="ED128">
            <v>6.25</v>
          </cell>
          <cell r="EJ128">
            <v>8</v>
          </cell>
          <cell r="EK128">
            <v>5.75</v>
          </cell>
        </row>
        <row r="129">
          <cell r="A129">
            <v>865552646</v>
          </cell>
          <cell r="D129" t="str">
            <v>NGUYỄN THỊ NGỌC THƠM</v>
          </cell>
          <cell r="E129" t="str">
            <v>1</v>
          </cell>
          <cell r="F129" t="str">
            <v>07/01/2008</v>
          </cell>
          <cell r="G129" t="str">
            <v>nguyenthom07.0108@gmail.com</v>
          </cell>
          <cell r="H129" t="str">
            <v>0865552646</v>
          </cell>
          <cell r="I129" t="str">
            <v>089308003406</v>
          </cell>
          <cell r="J129" t="str">
            <v>Tổ 5 Tân Hiệp</v>
          </cell>
          <cell r="K129" t="str">
            <v>KV1</v>
          </cell>
          <cell r="M129" t="str">
            <v>Không có</v>
          </cell>
          <cell r="N129" t="str">
            <v>Kinh</v>
          </cell>
          <cell r="P129" t="str">
            <v>2026</v>
          </cell>
          <cell r="Q129" t="str">
            <v>91039517</v>
          </cell>
          <cell r="R129" t="str">
            <v>Không có</v>
          </cell>
          <cell r="S129" t="str">
            <v>Không có</v>
          </cell>
          <cell r="T129" t="str">
            <v>Không có</v>
          </cell>
          <cell r="AA129" t="str">
            <v>Không có</v>
          </cell>
          <cell r="AF129" t="str">
            <v>89N</v>
          </cell>
          <cell r="AG129" t="str">
            <v>139</v>
          </cell>
          <cell r="AH129" t="str">
            <v>Trường THPT Vọng Thê</v>
          </cell>
          <cell r="AI129" t="str">
            <v>89N</v>
          </cell>
          <cell r="AJ129" t="str">
            <v>139</v>
          </cell>
          <cell r="AK129" t="str">
            <v>Trường THPT Vọng Thê</v>
          </cell>
          <cell r="AL129" t="str">
            <v>89N</v>
          </cell>
          <cell r="AM129" t="str">
            <v>139</v>
          </cell>
          <cell r="AN129" t="str">
            <v>Trường THPT Vọng Thê</v>
          </cell>
          <cell r="AO129" t="str">
            <v>GDPT2018</v>
          </cell>
          <cell r="AP129" t="str">
            <v>Tốt</v>
          </cell>
          <cell r="AQ129" t="str">
            <v>7.11</v>
          </cell>
          <cell r="AR129" t="str">
            <v>8.23</v>
          </cell>
          <cell r="AS129" t="str">
            <v>8.12</v>
          </cell>
          <cell r="AT129" t="str">
            <v>8.42</v>
          </cell>
          <cell r="AU129" t="str">
            <v>False</v>
          </cell>
          <cell r="AW129" t="str">
            <v>7340201_1</v>
          </cell>
          <cell r="AX129" t="str">
            <v>Ngân hàng</v>
          </cell>
          <cell r="AY129" t="str">
            <v>7340201_2</v>
          </cell>
          <cell r="AZ129" t="str">
            <v>Tài chính</v>
          </cell>
          <cell r="BA129" t="str">
            <v>7810201</v>
          </cell>
          <cell r="BB129" t="str">
            <v>Quản trị khách sạn</v>
          </cell>
          <cell r="BD129" t="str">
            <v>Chưa hoàn thành</v>
          </cell>
          <cell r="BF129" t="str">
            <v>3</v>
          </cell>
          <cell r="BM129" t="str">
            <v>True</v>
          </cell>
          <cell r="BN129" t="str">
            <v>False</v>
          </cell>
          <cell r="BO129" t="str">
            <v>KQTHPT_127_089308003406.pdf</v>
          </cell>
          <cell r="BR129">
            <v>9</v>
          </cell>
          <cell r="BS129">
            <v>6.9</v>
          </cell>
          <cell r="BT129">
            <v>7.7</v>
          </cell>
          <cell r="BU129">
            <v>8.6999999999999993</v>
          </cell>
          <cell r="BV129">
            <v>8.6999999999999993</v>
          </cell>
          <cell r="BW129">
            <v>0</v>
          </cell>
          <cell r="BX129">
            <v>0</v>
          </cell>
          <cell r="BY129">
            <v>8.5</v>
          </cell>
          <cell r="BZ129">
            <v>8.1</v>
          </cell>
          <cell r="CA129">
            <v>8</v>
          </cell>
          <cell r="CB129">
            <v>0</v>
          </cell>
          <cell r="CC129">
            <v>8.5</v>
          </cell>
          <cell r="CD129">
            <v>0</v>
          </cell>
          <cell r="CE129">
            <v>0</v>
          </cell>
          <cell r="CF129">
            <v>0</v>
          </cell>
          <cell r="CG129">
            <v>0</v>
          </cell>
          <cell r="CH129">
            <v>0</v>
          </cell>
          <cell r="CI129">
            <v>0</v>
          </cell>
          <cell r="CJ129">
            <v>0</v>
          </cell>
          <cell r="CK129">
            <v>0</v>
          </cell>
          <cell r="CL129">
            <v>0</v>
          </cell>
          <cell r="CM129">
            <v>8</v>
          </cell>
          <cell r="CN129">
            <v>6.9</v>
          </cell>
          <cell r="CO129">
            <v>8.1999999999999993</v>
          </cell>
          <cell r="CP129">
            <v>9</v>
          </cell>
          <cell r="CQ129">
            <v>8.8000000000000007</v>
          </cell>
          <cell r="CR129">
            <v>0</v>
          </cell>
          <cell r="CS129">
            <v>0</v>
          </cell>
          <cell r="CT129">
            <v>8.3000000000000007</v>
          </cell>
          <cell r="CU129">
            <v>6.7</v>
          </cell>
          <cell r="CV129">
            <v>8.4</v>
          </cell>
          <cell r="CW129">
            <v>0</v>
          </cell>
          <cell r="CX129">
            <v>8.8000000000000007</v>
          </cell>
          <cell r="CY129">
            <v>0</v>
          </cell>
          <cell r="CZ129">
            <v>0</v>
          </cell>
          <cell r="DA129">
            <v>0</v>
          </cell>
          <cell r="DB129">
            <v>0</v>
          </cell>
          <cell r="DC129">
            <v>0</v>
          </cell>
          <cell r="DD129">
            <v>0</v>
          </cell>
          <cell r="DE129">
            <v>0</v>
          </cell>
          <cell r="DF129">
            <v>0</v>
          </cell>
          <cell r="DG129">
            <v>0</v>
          </cell>
          <cell r="DH129">
            <v>7.1</v>
          </cell>
          <cell r="DI129">
            <v>7.2</v>
          </cell>
          <cell r="DJ129">
            <v>8.6</v>
          </cell>
          <cell r="DK129">
            <v>9.8000000000000007</v>
          </cell>
          <cell r="DL129">
            <v>8.6999999999999993</v>
          </cell>
          <cell r="DM129">
            <v>0</v>
          </cell>
          <cell r="DN129">
            <v>0</v>
          </cell>
          <cell r="DO129">
            <v>8.9</v>
          </cell>
          <cell r="DP129">
            <v>9</v>
          </cell>
          <cell r="DQ129">
            <v>7.6</v>
          </cell>
          <cell r="DR129">
            <v>0</v>
          </cell>
          <cell r="DS129">
            <v>8.9</v>
          </cell>
          <cell r="DT129">
            <v>0</v>
          </cell>
          <cell r="DU129">
            <v>0</v>
          </cell>
          <cell r="DV129">
            <v>0</v>
          </cell>
          <cell r="DW129">
            <v>0</v>
          </cell>
          <cell r="DX129">
            <v>0</v>
          </cell>
          <cell r="DY129">
            <v>0</v>
          </cell>
          <cell r="DZ129">
            <v>0</v>
          </cell>
          <cell r="EA129">
            <v>0</v>
          </cell>
          <cell r="EB129">
            <v>0</v>
          </cell>
          <cell r="EC129">
            <v>7.5</v>
          </cell>
          <cell r="EE129">
            <v>2.5</v>
          </cell>
          <cell r="EJ129">
            <v>6.75</v>
          </cell>
        </row>
        <row r="130">
          <cell r="A130">
            <v>796644992</v>
          </cell>
          <cell r="B130" t="str">
            <v>KSVBS2635329</v>
          </cell>
          <cell r="C130" t="str">
            <v>92</v>
          </cell>
          <cell r="D130" t="str">
            <v>HỒ PHAN THỊ TUYẾT PHƯƠNG</v>
          </cell>
          <cell r="E130" t="str">
            <v>1</v>
          </cell>
          <cell r="F130" t="str">
            <v>03/11/2008</v>
          </cell>
          <cell r="G130" t="str">
            <v>hohophanthituyetphuong@gmail.com</v>
          </cell>
          <cell r="H130" t="str">
            <v>0796644992</v>
          </cell>
          <cell r="I130" t="str">
            <v>087308013713</v>
          </cell>
          <cell r="J130" t="str">
            <v>107A, ấp 2</v>
          </cell>
          <cell r="K130" t="str">
            <v>KV2-NT</v>
          </cell>
          <cell r="M130" t="str">
            <v>Không có</v>
          </cell>
          <cell r="N130" t="str">
            <v>Kinh</v>
          </cell>
          <cell r="P130" t="str">
            <v>2026</v>
          </cell>
          <cell r="Q130" t="str">
            <v>82014498</v>
          </cell>
          <cell r="R130" t="str">
            <v>Không có</v>
          </cell>
          <cell r="S130" t="str">
            <v>Không có</v>
          </cell>
          <cell r="T130" t="str">
            <v>Không có</v>
          </cell>
          <cell r="AA130" t="str">
            <v>Không có</v>
          </cell>
          <cell r="AF130" t="str">
            <v>87N</v>
          </cell>
          <cell r="AG130" t="str">
            <v>316</v>
          </cell>
          <cell r="AH130" t="str">
            <v>THPT Lai Vung 1</v>
          </cell>
          <cell r="AI130" t="str">
            <v>87N</v>
          </cell>
          <cell r="AJ130" t="str">
            <v>316</v>
          </cell>
          <cell r="AK130" t="str">
            <v>THPT Lai Vung 1</v>
          </cell>
          <cell r="AL130" t="str">
            <v>87N</v>
          </cell>
          <cell r="AM130" t="str">
            <v>316</v>
          </cell>
          <cell r="AN130" t="str">
            <v>THPT Lai Vung 1</v>
          </cell>
          <cell r="AO130" t="str">
            <v>GDPT2018</v>
          </cell>
          <cell r="AP130" t="str">
            <v>Tốt</v>
          </cell>
          <cell r="AQ130" t="str">
            <v>7.21</v>
          </cell>
          <cell r="AR130" t="str">
            <v>7.90</v>
          </cell>
          <cell r="AS130" t="str">
            <v>8.70</v>
          </cell>
          <cell r="AT130" t="str">
            <v>8.52</v>
          </cell>
          <cell r="AU130" t="str">
            <v>False</v>
          </cell>
          <cell r="AW130" t="str">
            <v>7620114</v>
          </cell>
          <cell r="AX130" t="str">
            <v>Kinh doanh nông nghiệp</v>
          </cell>
          <cell r="AY130" t="str">
            <v>7340122</v>
          </cell>
          <cell r="AZ130" t="str">
            <v>Thương mại điện tử</v>
          </cell>
          <cell r="BA130" t="str">
            <v>7340115</v>
          </cell>
          <cell r="BB130" t="str">
            <v>Marketing</v>
          </cell>
          <cell r="BC130" t="str">
            <v>quynhlx</v>
          </cell>
          <cell r="BD130" t="str">
            <v>Đã được tiếp nhận</v>
          </cell>
          <cell r="BE130" t="str">
            <v>Trường điều chỉnh học lực từ Giỏi -&gt; Tốt theo học bạ của em</v>
          </cell>
          <cell r="BF130" t="str">
            <v>3</v>
          </cell>
          <cell r="BM130" t="str">
            <v>True</v>
          </cell>
          <cell r="BN130" t="str">
            <v>True</v>
          </cell>
          <cell r="BO130" t="str">
            <v>KQTHPT_128_087308013713.pdf</v>
          </cell>
          <cell r="BQ130" t="str">
            <v>KQVSAT_128_087308013713.pdf</v>
          </cell>
          <cell r="BR130">
            <v>7.4</v>
          </cell>
          <cell r="BS130">
            <v>7.3</v>
          </cell>
          <cell r="BT130">
            <v>8.5</v>
          </cell>
          <cell r="BU130">
            <v>7.5</v>
          </cell>
          <cell r="BV130">
            <v>8.3000000000000007</v>
          </cell>
          <cell r="BW130">
            <v>9</v>
          </cell>
          <cell r="BX130">
            <v>8.1999999999999993</v>
          </cell>
          <cell r="BY130">
            <v>0</v>
          </cell>
          <cell r="BZ130">
            <v>0</v>
          </cell>
          <cell r="CA130">
            <v>0</v>
          </cell>
          <cell r="CB130">
            <v>6.7</v>
          </cell>
          <cell r="CC130">
            <v>8.1999999999999993</v>
          </cell>
          <cell r="CD130">
            <v>0</v>
          </cell>
          <cell r="CE130">
            <v>0</v>
          </cell>
          <cell r="CF130">
            <v>0</v>
          </cell>
          <cell r="CG130">
            <v>0</v>
          </cell>
          <cell r="CH130">
            <v>0</v>
          </cell>
          <cell r="CI130">
            <v>0</v>
          </cell>
          <cell r="CJ130">
            <v>0</v>
          </cell>
          <cell r="CK130">
            <v>0</v>
          </cell>
          <cell r="CL130">
            <v>0</v>
          </cell>
          <cell r="CM130">
            <v>7.7</v>
          </cell>
          <cell r="CN130">
            <v>7.7</v>
          </cell>
          <cell r="CO130">
            <v>8.6</v>
          </cell>
          <cell r="CP130">
            <v>8.6</v>
          </cell>
          <cell r="CQ130">
            <v>9.3000000000000007</v>
          </cell>
          <cell r="CR130">
            <v>9.1999999999999993</v>
          </cell>
          <cell r="CS130">
            <v>9.3000000000000007</v>
          </cell>
          <cell r="CT130">
            <v>0</v>
          </cell>
          <cell r="CU130">
            <v>0</v>
          </cell>
          <cell r="CV130">
            <v>0</v>
          </cell>
          <cell r="CW130">
            <v>9.1999999999999993</v>
          </cell>
          <cell r="CX130">
            <v>8.6999999999999993</v>
          </cell>
          <cell r="CY130">
            <v>0</v>
          </cell>
          <cell r="CZ130">
            <v>0</v>
          </cell>
          <cell r="DA130">
            <v>0</v>
          </cell>
          <cell r="DB130">
            <v>0</v>
          </cell>
          <cell r="DC130">
            <v>0</v>
          </cell>
          <cell r="DD130">
            <v>0</v>
          </cell>
          <cell r="DE130">
            <v>0</v>
          </cell>
          <cell r="DF130">
            <v>0</v>
          </cell>
          <cell r="DG130">
            <v>0</v>
          </cell>
          <cell r="DH130">
            <v>7.7</v>
          </cell>
          <cell r="DI130">
            <v>8</v>
          </cell>
          <cell r="DJ130">
            <v>8.6</v>
          </cell>
          <cell r="DK130">
            <v>8.1</v>
          </cell>
          <cell r="DL130">
            <v>8.6999999999999993</v>
          </cell>
          <cell r="DM130">
            <v>9.1</v>
          </cell>
          <cell r="DN130">
            <v>8.9</v>
          </cell>
          <cell r="DO130">
            <v>0</v>
          </cell>
          <cell r="DP130">
            <v>0</v>
          </cell>
          <cell r="DQ130">
            <v>0</v>
          </cell>
          <cell r="DR130">
            <v>8.5</v>
          </cell>
          <cell r="DS130">
            <v>9.1</v>
          </cell>
          <cell r="DT130">
            <v>0</v>
          </cell>
          <cell r="DU130">
            <v>0</v>
          </cell>
          <cell r="DV130">
            <v>0</v>
          </cell>
          <cell r="DW130">
            <v>0</v>
          </cell>
          <cell r="DX130">
            <v>0</v>
          </cell>
          <cell r="DY130">
            <v>0</v>
          </cell>
          <cell r="DZ130">
            <v>0</v>
          </cell>
          <cell r="EA130">
            <v>0</v>
          </cell>
          <cell r="EB130">
            <v>0</v>
          </cell>
          <cell r="EC130">
            <v>6.25</v>
          </cell>
          <cell r="ED130">
            <v>6.75</v>
          </cell>
          <cell r="EE130">
            <v>4.25</v>
          </cell>
          <cell r="EI130">
            <v>6.5</v>
          </cell>
          <cell r="EW130">
            <v>87.5</v>
          </cell>
          <cell r="EX130">
            <v>96.5</v>
          </cell>
          <cell r="EY130">
            <v>70</v>
          </cell>
        </row>
        <row r="131">
          <cell r="A131">
            <v>0</v>
          </cell>
          <cell r="D131" t="str">
            <v>VÕ NHẬT HÂN</v>
          </cell>
          <cell r="E131" t="str">
            <v>0</v>
          </cell>
          <cell r="F131" t="str">
            <v>08/06/2008</v>
          </cell>
          <cell r="G131" t="str">
            <v>nhhan8th6@gmail.com</v>
          </cell>
          <cell r="I131" t="str">
            <v>086308002533</v>
          </cell>
          <cell r="BD131" t="str">
            <v>Chưa hoàn thành</v>
          </cell>
          <cell r="BF131" t="str">
            <v>3</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v>0</v>
          </cell>
          <cell r="DU131">
            <v>0</v>
          </cell>
          <cell r="DV131">
            <v>0</v>
          </cell>
          <cell r="DW131">
            <v>0</v>
          </cell>
          <cell r="DX131">
            <v>0</v>
          </cell>
          <cell r="DY131">
            <v>0</v>
          </cell>
          <cell r="DZ131">
            <v>0</v>
          </cell>
          <cell r="EA131">
            <v>0</v>
          </cell>
          <cell r="EB131">
            <v>0</v>
          </cell>
        </row>
        <row r="132">
          <cell r="A132">
            <v>0</v>
          </cell>
          <cell r="D132" t="str">
            <v>TRẦN THỊ THANH HẰNG</v>
          </cell>
          <cell r="E132" t="str">
            <v>0</v>
          </cell>
          <cell r="F132" t="str">
            <v>10/04/2008</v>
          </cell>
          <cell r="G132" t="str">
            <v>thanhhangtran444@gmail.com</v>
          </cell>
          <cell r="I132" t="str">
            <v>042308005312</v>
          </cell>
          <cell r="BD132" t="str">
            <v>Chưa hoàn thành</v>
          </cell>
          <cell r="BF132" t="str">
            <v>3</v>
          </cell>
          <cell r="BR132">
            <v>8.1999999999999993</v>
          </cell>
          <cell r="BS132">
            <v>6.8</v>
          </cell>
          <cell r="BT132">
            <v>8.6999999999999993</v>
          </cell>
          <cell r="BU132">
            <v>9</v>
          </cell>
          <cell r="BV132">
            <v>8.5</v>
          </cell>
          <cell r="BW132">
            <v>8</v>
          </cell>
          <cell r="BX132">
            <v>0</v>
          </cell>
          <cell r="BY132">
            <v>7.9</v>
          </cell>
          <cell r="BZ132">
            <v>9.1</v>
          </cell>
          <cell r="CA132">
            <v>8.8000000000000007</v>
          </cell>
          <cell r="CB132">
            <v>0</v>
          </cell>
          <cell r="CC132">
            <v>0</v>
          </cell>
          <cell r="CD132">
            <v>0</v>
          </cell>
          <cell r="CE132">
            <v>0</v>
          </cell>
          <cell r="CF132">
            <v>0</v>
          </cell>
          <cell r="CG132">
            <v>0</v>
          </cell>
          <cell r="CH132">
            <v>0</v>
          </cell>
          <cell r="CI132">
            <v>0</v>
          </cell>
          <cell r="CJ132">
            <v>0</v>
          </cell>
          <cell r="CK132">
            <v>0</v>
          </cell>
          <cell r="CL132">
            <v>0</v>
          </cell>
          <cell r="CM132">
            <v>8.6</v>
          </cell>
          <cell r="CN132">
            <v>7.2</v>
          </cell>
          <cell r="CO132">
            <v>7.8</v>
          </cell>
          <cell r="CP132">
            <v>9.1999999999999993</v>
          </cell>
          <cell r="CQ132">
            <v>8.6</v>
          </cell>
          <cell r="CR132">
            <v>8.6999999999999993</v>
          </cell>
          <cell r="CS132">
            <v>0</v>
          </cell>
          <cell r="CT132">
            <v>8.5</v>
          </cell>
          <cell r="CU132">
            <v>7.5</v>
          </cell>
          <cell r="CV132">
            <v>9.1</v>
          </cell>
          <cell r="CW132">
            <v>0</v>
          </cell>
          <cell r="CX132">
            <v>0</v>
          </cell>
          <cell r="CY132">
            <v>0</v>
          </cell>
          <cell r="CZ132">
            <v>0</v>
          </cell>
          <cell r="DA132">
            <v>0</v>
          </cell>
          <cell r="DB132">
            <v>0</v>
          </cell>
          <cell r="DC132">
            <v>0</v>
          </cell>
          <cell r="DD132">
            <v>0</v>
          </cell>
          <cell r="DE132">
            <v>0</v>
          </cell>
          <cell r="DF132">
            <v>0</v>
          </cell>
          <cell r="DG132">
            <v>0</v>
          </cell>
          <cell r="DH132">
            <v>8.8000000000000007</v>
          </cell>
          <cell r="DI132">
            <v>6.7</v>
          </cell>
          <cell r="DJ132">
            <v>9</v>
          </cell>
          <cell r="DK132">
            <v>9.6</v>
          </cell>
          <cell r="DL132">
            <v>7.9</v>
          </cell>
          <cell r="DM132">
            <v>7.9</v>
          </cell>
          <cell r="DN132">
            <v>0</v>
          </cell>
          <cell r="DO132">
            <v>8</v>
          </cell>
          <cell r="DP132">
            <v>7.1</v>
          </cell>
          <cell r="DQ132">
            <v>7.7</v>
          </cell>
          <cell r="DR132">
            <v>0</v>
          </cell>
          <cell r="DS132">
            <v>0</v>
          </cell>
          <cell r="DT132">
            <v>0</v>
          </cell>
          <cell r="DU132">
            <v>0</v>
          </cell>
          <cell r="DV132">
            <v>0</v>
          </cell>
          <cell r="DW132">
            <v>0</v>
          </cell>
          <cell r="DX132">
            <v>0</v>
          </cell>
          <cell r="DY132">
            <v>0</v>
          </cell>
          <cell r="DZ132">
            <v>0</v>
          </cell>
          <cell r="EA132">
            <v>0</v>
          </cell>
          <cell r="EB132">
            <v>0</v>
          </cell>
        </row>
        <row r="133">
          <cell r="A133">
            <v>937436218</v>
          </cell>
          <cell r="B133" t="str">
            <v>KSVBS2621072</v>
          </cell>
          <cell r="C133" t="str">
            <v>103</v>
          </cell>
          <cell r="D133" t="str">
            <v>TRẦN PHÚC ĐẠT</v>
          </cell>
          <cell r="E133" t="str">
            <v>0</v>
          </cell>
          <cell r="F133" t="str">
            <v>30/04/2008</v>
          </cell>
          <cell r="G133" t="str">
            <v>tranphucdat94@gmail.com</v>
          </cell>
          <cell r="H133" t="str">
            <v>0937436218</v>
          </cell>
          <cell r="I133" t="str">
            <v>074208007069</v>
          </cell>
          <cell r="J133" t="str">
            <v xml:space="preserve">408, ĐX065 </v>
          </cell>
          <cell r="K133" t="str">
            <v>KV2-NT</v>
          </cell>
          <cell r="M133" t="str">
            <v>Không có</v>
          </cell>
          <cell r="N133" t="str">
            <v>Kinh</v>
          </cell>
          <cell r="P133" t="str">
            <v>2026</v>
          </cell>
          <cell r="Q133" t="str">
            <v>79111330</v>
          </cell>
          <cell r="R133" t="str">
            <v>Không có</v>
          </cell>
          <cell r="S133" t="str">
            <v>Không có</v>
          </cell>
          <cell r="T133" t="str">
            <v>Không có</v>
          </cell>
          <cell r="W133" t="str">
            <v>0.00</v>
          </cell>
          <cell r="X133" t="str">
            <v>271433</v>
          </cell>
          <cell r="Y133" t="str">
            <v>D26386431</v>
          </cell>
          <cell r="Z133" t="str">
            <v>669.00</v>
          </cell>
          <cell r="AA133" t="str">
            <v>Không có</v>
          </cell>
          <cell r="AF133" t="str">
            <v>79N</v>
          </cell>
          <cell r="AG133" t="str">
            <v>401</v>
          </cell>
          <cell r="AH133" t="str">
            <v>THPT An Mỹ</v>
          </cell>
          <cell r="AI133" t="str">
            <v>79N</v>
          </cell>
          <cell r="AJ133" t="str">
            <v>401</v>
          </cell>
          <cell r="AK133" t="str">
            <v>THPT An Mỹ</v>
          </cell>
          <cell r="AL133" t="str">
            <v>79N</v>
          </cell>
          <cell r="AM133" t="str">
            <v>401</v>
          </cell>
          <cell r="AN133" t="str">
            <v>THPT An Mỹ</v>
          </cell>
          <cell r="AO133" t="str">
            <v>GDPT2018</v>
          </cell>
          <cell r="AP133" t="str">
            <v>Khá</v>
          </cell>
          <cell r="AQ133" t="str">
            <v>7.14</v>
          </cell>
          <cell r="AR133" t="str">
            <v>7.51</v>
          </cell>
          <cell r="AS133" t="str">
            <v>6.98</v>
          </cell>
          <cell r="AT133" t="str">
            <v>7.13</v>
          </cell>
          <cell r="AU133" t="str">
            <v>True</v>
          </cell>
          <cell r="AW133" t="str">
            <v>7380107</v>
          </cell>
          <cell r="AX133" t="str">
            <v>Luật kinh tế</v>
          </cell>
          <cell r="BC133" t="str">
            <v>phamhuong</v>
          </cell>
          <cell r="BD133" t="str">
            <v>Bổ sung minh chứng</v>
          </cell>
          <cell r="BE133" t="str">
            <v xml:space="preserve">- Bổ sung học bạ THPT Em chụp đầy đủ tất cả các trang trong học bạ:
• Trang thông tin học sinh
• Kết quả học tập 10,11,12
• Kết quả rèn luyện, nhận xét lớp 10, 11, 12
=&gt; Hình ảnh phải rõ nét, đầy đủ chữ ký và dấu mộc trường THPT
- Bổ sung tệp Giấy chứng nhận kết quả thi tốt nghiệp THPT năm 2026 (định dạng PDF)
</v>
          </cell>
          <cell r="BF133" t="str">
            <v>3</v>
          </cell>
          <cell r="BM133" t="str">
            <v>True</v>
          </cell>
          <cell r="BN133" t="str">
            <v>False</v>
          </cell>
          <cell r="BO133" t="str">
            <v>KQTHPT_131_074208007069.pdf</v>
          </cell>
          <cell r="BP133" t="str">
            <v>KQDGNL_131_074208007069.pdf</v>
          </cell>
          <cell r="BR133">
            <v>7.4</v>
          </cell>
          <cell r="BS133">
            <v>7.4</v>
          </cell>
          <cell r="BT133">
            <v>7.2</v>
          </cell>
          <cell r="BU133">
            <v>8.8000000000000007</v>
          </cell>
          <cell r="BV133">
            <v>8.1</v>
          </cell>
          <cell r="BW133">
            <v>0</v>
          </cell>
          <cell r="BX133">
            <v>0</v>
          </cell>
          <cell r="BY133">
            <v>7.1</v>
          </cell>
          <cell r="BZ133">
            <v>7</v>
          </cell>
          <cell r="CA133">
            <v>6.2</v>
          </cell>
          <cell r="CB133">
            <v>0</v>
          </cell>
          <cell r="CC133">
            <v>8.4</v>
          </cell>
          <cell r="CD133">
            <v>0</v>
          </cell>
          <cell r="CE133">
            <v>0</v>
          </cell>
          <cell r="CF133">
            <v>0</v>
          </cell>
          <cell r="CG133">
            <v>0</v>
          </cell>
          <cell r="CH133">
            <v>0</v>
          </cell>
          <cell r="CI133">
            <v>0</v>
          </cell>
          <cell r="CJ133">
            <v>0</v>
          </cell>
          <cell r="CK133">
            <v>0</v>
          </cell>
          <cell r="CL133">
            <v>0</v>
          </cell>
          <cell r="CM133">
            <v>7.4</v>
          </cell>
          <cell r="CN133">
            <v>7</v>
          </cell>
          <cell r="CO133">
            <v>6.9</v>
          </cell>
          <cell r="CP133">
            <v>9.5</v>
          </cell>
          <cell r="CQ133">
            <v>6.6</v>
          </cell>
          <cell r="CR133">
            <v>0</v>
          </cell>
          <cell r="CS133">
            <v>0</v>
          </cell>
          <cell r="CT133">
            <v>6.6</v>
          </cell>
          <cell r="CU133">
            <v>6</v>
          </cell>
          <cell r="CV133">
            <v>5.6</v>
          </cell>
          <cell r="CW133">
            <v>0</v>
          </cell>
          <cell r="CX133">
            <v>7.2</v>
          </cell>
          <cell r="CY133">
            <v>0</v>
          </cell>
          <cell r="CZ133">
            <v>0</v>
          </cell>
          <cell r="DA133">
            <v>0</v>
          </cell>
          <cell r="DB133">
            <v>0</v>
          </cell>
          <cell r="DC133">
            <v>0</v>
          </cell>
          <cell r="DD133">
            <v>0</v>
          </cell>
          <cell r="DE133">
            <v>0</v>
          </cell>
          <cell r="DF133">
            <v>0</v>
          </cell>
          <cell r="DG133">
            <v>0</v>
          </cell>
          <cell r="DH133">
            <v>6.4</v>
          </cell>
          <cell r="DI133">
            <v>6.9</v>
          </cell>
          <cell r="DJ133">
            <v>6.9</v>
          </cell>
          <cell r="DK133">
            <v>9.1999999999999993</v>
          </cell>
          <cell r="DL133">
            <v>7</v>
          </cell>
          <cell r="DM133">
            <v>0</v>
          </cell>
          <cell r="DN133">
            <v>0</v>
          </cell>
          <cell r="DO133">
            <v>8</v>
          </cell>
          <cell r="DP133">
            <v>6.8</v>
          </cell>
          <cell r="DQ133">
            <v>6</v>
          </cell>
          <cell r="DR133">
            <v>0</v>
          </cell>
          <cell r="DS133">
            <v>7</v>
          </cell>
          <cell r="DT133">
            <v>0</v>
          </cell>
          <cell r="DU133">
            <v>0</v>
          </cell>
          <cell r="DV133">
            <v>0</v>
          </cell>
          <cell r="DW133">
            <v>0</v>
          </cell>
          <cell r="DX133">
            <v>0</v>
          </cell>
          <cell r="DY133">
            <v>0</v>
          </cell>
          <cell r="DZ133">
            <v>0</v>
          </cell>
          <cell r="EA133">
            <v>0</v>
          </cell>
          <cell r="EB133">
            <v>0</v>
          </cell>
          <cell r="EC133">
            <v>7</v>
          </cell>
          <cell r="ED133">
            <v>7</v>
          </cell>
          <cell r="EE133">
            <v>3.75</v>
          </cell>
          <cell r="EJ133">
            <v>5.25</v>
          </cell>
        </row>
        <row r="134">
          <cell r="A134">
            <v>0</v>
          </cell>
          <cell r="D134" t="str">
            <v>PHAN ANH THƯ</v>
          </cell>
          <cell r="E134" t="str">
            <v>0</v>
          </cell>
          <cell r="F134" t="str">
            <v>26/11/2008</v>
          </cell>
          <cell r="G134" t="str">
            <v>thuphananh51@gmail.com</v>
          </cell>
          <cell r="I134" t="str">
            <v>087308007620</v>
          </cell>
          <cell r="BD134" t="str">
            <v>Chưa hoàn thành</v>
          </cell>
          <cell r="BF134" t="str">
            <v>3</v>
          </cell>
          <cell r="BR134">
            <v>6.2</v>
          </cell>
          <cell r="BS134">
            <v>7.7</v>
          </cell>
          <cell r="BT134">
            <v>7.8</v>
          </cell>
          <cell r="BU134">
            <v>8.4</v>
          </cell>
          <cell r="BV134">
            <v>6.8</v>
          </cell>
          <cell r="BW134">
            <v>0</v>
          </cell>
          <cell r="BX134">
            <v>0</v>
          </cell>
          <cell r="BY134">
            <v>8.1999999999999993</v>
          </cell>
          <cell r="BZ134">
            <v>5.8</v>
          </cell>
          <cell r="CA134">
            <v>7.1</v>
          </cell>
          <cell r="CB134">
            <v>0</v>
          </cell>
          <cell r="CC134">
            <v>7.8</v>
          </cell>
          <cell r="CD134">
            <v>0</v>
          </cell>
          <cell r="CE134">
            <v>0</v>
          </cell>
          <cell r="CF134">
            <v>0</v>
          </cell>
          <cell r="CG134">
            <v>0</v>
          </cell>
          <cell r="CH134">
            <v>0</v>
          </cell>
          <cell r="CI134">
            <v>0</v>
          </cell>
          <cell r="CJ134">
            <v>0</v>
          </cell>
          <cell r="CK134">
            <v>0</v>
          </cell>
          <cell r="CL134">
            <v>0</v>
          </cell>
          <cell r="CM134">
            <v>6.8</v>
          </cell>
          <cell r="CN134">
            <v>7.1</v>
          </cell>
          <cell r="CO134">
            <v>6.5</v>
          </cell>
          <cell r="CP134">
            <v>7.7</v>
          </cell>
          <cell r="CQ134">
            <v>7.5</v>
          </cell>
          <cell r="CR134">
            <v>0</v>
          </cell>
          <cell r="CS134">
            <v>0</v>
          </cell>
          <cell r="CT134">
            <v>7.5</v>
          </cell>
          <cell r="CU134">
            <v>5.9</v>
          </cell>
          <cell r="CV134">
            <v>7.6</v>
          </cell>
          <cell r="CW134">
            <v>0</v>
          </cell>
          <cell r="CX134">
            <v>8.3000000000000007</v>
          </cell>
          <cell r="CY134">
            <v>0</v>
          </cell>
          <cell r="CZ134">
            <v>0</v>
          </cell>
          <cell r="DA134">
            <v>0</v>
          </cell>
          <cell r="DB134">
            <v>0</v>
          </cell>
          <cell r="DC134">
            <v>0</v>
          </cell>
          <cell r="DD134">
            <v>0</v>
          </cell>
          <cell r="DE134">
            <v>0</v>
          </cell>
          <cell r="DF134">
            <v>0</v>
          </cell>
          <cell r="DG134">
            <v>0</v>
          </cell>
          <cell r="DH134">
            <v>7.5</v>
          </cell>
          <cell r="DI134">
            <v>7.4</v>
          </cell>
          <cell r="DJ134">
            <v>6.6</v>
          </cell>
          <cell r="DK134">
            <v>8.9</v>
          </cell>
          <cell r="DL134">
            <v>7.9</v>
          </cell>
          <cell r="DM134">
            <v>0</v>
          </cell>
          <cell r="DN134">
            <v>0</v>
          </cell>
          <cell r="DO134">
            <v>8.3000000000000007</v>
          </cell>
          <cell r="DP134">
            <v>7.2</v>
          </cell>
          <cell r="DQ134">
            <v>8.1</v>
          </cell>
          <cell r="DR134">
            <v>0</v>
          </cell>
          <cell r="DS134">
            <v>8.9</v>
          </cell>
          <cell r="DT134">
            <v>0</v>
          </cell>
          <cell r="DU134">
            <v>0</v>
          </cell>
          <cell r="DV134">
            <v>0</v>
          </cell>
          <cell r="DW134">
            <v>0</v>
          </cell>
          <cell r="DX134">
            <v>0</v>
          </cell>
          <cell r="DY134">
            <v>0</v>
          </cell>
          <cell r="DZ134">
            <v>0</v>
          </cell>
          <cell r="EA134">
            <v>0</v>
          </cell>
          <cell r="EB134">
            <v>0</v>
          </cell>
        </row>
        <row r="135">
          <cell r="A135">
            <v>332137016</v>
          </cell>
          <cell r="B135" t="str">
            <v>KSVBS2610841</v>
          </cell>
          <cell r="C135" t="str">
            <v>111</v>
          </cell>
          <cell r="D135" t="str">
            <v>NGUYỄN PHAN TUYẾT NHI</v>
          </cell>
          <cell r="E135" t="str">
            <v>1</v>
          </cell>
          <cell r="F135" t="str">
            <v>03/01/2008</v>
          </cell>
          <cell r="G135" t="str">
            <v>nhichidoi9a6@gmail.com</v>
          </cell>
          <cell r="H135" t="str">
            <v>0332137016</v>
          </cell>
          <cell r="I135" t="str">
            <v>072308004648</v>
          </cell>
          <cell r="J135" t="str">
            <v xml:space="preserve">Tổ 6 ấp 5 xã phước an tỉnh đồng nai </v>
          </cell>
          <cell r="K135" t="str">
            <v>KV2-NT</v>
          </cell>
          <cell r="M135" t="str">
            <v>Không có</v>
          </cell>
          <cell r="N135" t="str">
            <v>Kinh</v>
          </cell>
          <cell r="P135" t="str">
            <v>2026</v>
          </cell>
          <cell r="Q135" t="str">
            <v>75033569</v>
          </cell>
          <cell r="R135" t="str">
            <v>Không có</v>
          </cell>
          <cell r="S135" t="str">
            <v>Không có</v>
          </cell>
          <cell r="T135" t="str">
            <v>Không có</v>
          </cell>
          <cell r="AA135" t="str">
            <v>Không có</v>
          </cell>
          <cell r="AF135" t="str">
            <v>75N</v>
          </cell>
          <cell r="AG135" t="str">
            <v>067</v>
          </cell>
          <cell r="AH135" t="str">
            <v>THPT Nguyễn Bỉnh Khiêm</v>
          </cell>
          <cell r="AI135" t="str">
            <v>75N</v>
          </cell>
          <cell r="AJ135" t="str">
            <v>067</v>
          </cell>
          <cell r="AK135" t="str">
            <v>THPT Nguyễn Bỉnh Khiêm</v>
          </cell>
          <cell r="AL135" t="str">
            <v>75N</v>
          </cell>
          <cell r="AM135" t="str">
            <v>067</v>
          </cell>
          <cell r="AN135" t="str">
            <v>THPT Nguyễn Bỉnh Khiêm</v>
          </cell>
          <cell r="AO135" t="str">
            <v>GDPT2018</v>
          </cell>
          <cell r="AP135" t="str">
            <v>Khá</v>
          </cell>
          <cell r="AQ135" t="str">
            <v>7.26</v>
          </cell>
          <cell r="AR135" t="str">
            <v>6.80</v>
          </cell>
          <cell r="AS135" t="str">
            <v>6.88</v>
          </cell>
          <cell r="AT135" t="str">
            <v>7.66</v>
          </cell>
          <cell r="AU135" t="str">
            <v>False</v>
          </cell>
          <cell r="AW135" t="str">
            <v>7220201</v>
          </cell>
          <cell r="AX135" t="str">
            <v>Tiếng Anh thương mại</v>
          </cell>
          <cell r="AY135" t="str">
            <v>7340122</v>
          </cell>
          <cell r="AZ135" t="str">
            <v>Thương mại điện tử</v>
          </cell>
          <cell r="BA135" t="str">
            <v>7480201</v>
          </cell>
          <cell r="BB135" t="str">
            <v>Công nghệ và đổi mới sáng tạo</v>
          </cell>
          <cell r="BC135" t="str">
            <v>phamhuong</v>
          </cell>
          <cell r="BD135" t="str">
            <v>Đã được tiếp nhận</v>
          </cell>
          <cell r="BF135" t="str">
            <v>3</v>
          </cell>
          <cell r="BM135" t="str">
            <v>True</v>
          </cell>
          <cell r="BN135" t="str">
            <v>False</v>
          </cell>
          <cell r="BO135" t="str">
            <v>KQTHPT_133_072308004648.pdf</v>
          </cell>
          <cell r="BR135">
            <v>5.9</v>
          </cell>
          <cell r="BS135">
            <v>6.1</v>
          </cell>
          <cell r="BT135">
            <v>5.3</v>
          </cell>
          <cell r="BU135">
            <v>8.1999999999999993</v>
          </cell>
          <cell r="BV135">
            <v>6.9</v>
          </cell>
          <cell r="BW135">
            <v>6.8</v>
          </cell>
          <cell r="BX135">
            <v>7.3</v>
          </cell>
          <cell r="BY135">
            <v>0</v>
          </cell>
          <cell r="BZ135">
            <v>6.6</v>
          </cell>
          <cell r="CA135">
            <v>0</v>
          </cell>
          <cell r="CB135">
            <v>0</v>
          </cell>
          <cell r="CC135">
            <v>8.1</v>
          </cell>
          <cell r="CD135">
            <v>0</v>
          </cell>
          <cell r="CE135">
            <v>0</v>
          </cell>
          <cell r="CF135">
            <v>0</v>
          </cell>
          <cell r="CG135">
            <v>0</v>
          </cell>
          <cell r="CH135">
            <v>0</v>
          </cell>
          <cell r="CI135">
            <v>0</v>
          </cell>
          <cell r="CJ135">
            <v>0</v>
          </cell>
          <cell r="CK135">
            <v>0</v>
          </cell>
          <cell r="CL135">
            <v>0</v>
          </cell>
          <cell r="CM135">
            <v>6.9</v>
          </cell>
          <cell r="CN135">
            <v>6</v>
          </cell>
          <cell r="CO135">
            <v>5.4</v>
          </cell>
          <cell r="CP135">
            <v>8.6999999999999993</v>
          </cell>
          <cell r="CQ135">
            <v>6.3</v>
          </cell>
          <cell r="CR135">
            <v>8</v>
          </cell>
          <cell r="CS135">
            <v>6.9</v>
          </cell>
          <cell r="CT135">
            <v>0</v>
          </cell>
          <cell r="CU135">
            <v>6.5</v>
          </cell>
          <cell r="CV135">
            <v>0</v>
          </cell>
          <cell r="CW135">
            <v>0</v>
          </cell>
          <cell r="CX135">
            <v>7.2</v>
          </cell>
          <cell r="CY135">
            <v>0</v>
          </cell>
          <cell r="CZ135">
            <v>0</v>
          </cell>
          <cell r="DA135">
            <v>0</v>
          </cell>
          <cell r="DB135">
            <v>0</v>
          </cell>
          <cell r="DC135">
            <v>0</v>
          </cell>
          <cell r="DD135">
            <v>0</v>
          </cell>
          <cell r="DE135">
            <v>0</v>
          </cell>
          <cell r="DF135">
            <v>0</v>
          </cell>
          <cell r="DG135">
            <v>0</v>
          </cell>
          <cell r="DH135">
            <v>7.1</v>
          </cell>
          <cell r="DI135">
            <v>6.1</v>
          </cell>
          <cell r="DJ135">
            <v>7.3</v>
          </cell>
          <cell r="DK135">
            <v>9.9</v>
          </cell>
          <cell r="DL135">
            <v>6.1</v>
          </cell>
          <cell r="DM135">
            <v>7.9</v>
          </cell>
          <cell r="DN135">
            <v>7.2</v>
          </cell>
          <cell r="DO135">
            <v>0</v>
          </cell>
          <cell r="DP135">
            <v>8.4</v>
          </cell>
          <cell r="DQ135">
            <v>0</v>
          </cell>
          <cell r="DR135">
            <v>0</v>
          </cell>
          <cell r="DS135">
            <v>8.9</v>
          </cell>
          <cell r="DT135">
            <v>0</v>
          </cell>
          <cell r="DU135">
            <v>0</v>
          </cell>
          <cell r="DV135">
            <v>0</v>
          </cell>
          <cell r="DW135">
            <v>0</v>
          </cell>
          <cell r="DX135">
            <v>0</v>
          </cell>
          <cell r="DY135">
            <v>0</v>
          </cell>
          <cell r="DZ135">
            <v>0</v>
          </cell>
          <cell r="EA135">
            <v>0</v>
          </cell>
          <cell r="EB135">
            <v>0</v>
          </cell>
          <cell r="EC135">
            <v>5</v>
          </cell>
          <cell r="ED135">
            <v>5.75</v>
          </cell>
          <cell r="EH135">
            <v>4.25</v>
          </cell>
          <cell r="EI135">
            <v>3.95</v>
          </cell>
        </row>
        <row r="136">
          <cell r="A136">
            <v>948664820</v>
          </cell>
          <cell r="B136" t="str">
            <v>KSVBS2642636</v>
          </cell>
          <cell r="C136" t="str">
            <v>94</v>
          </cell>
          <cell r="D136" t="str">
            <v>ÔN MỸ PHƯƠNG</v>
          </cell>
          <cell r="E136" t="str">
            <v>1</v>
          </cell>
          <cell r="F136" t="str">
            <v>04/07/2008</v>
          </cell>
          <cell r="G136" t="str">
            <v>miphg0208@gmail.com</v>
          </cell>
          <cell r="H136" t="str">
            <v>0948664820</v>
          </cell>
          <cell r="I136" t="str">
            <v>089308000129</v>
          </cell>
          <cell r="J136" t="str">
            <v>59/3A, Khóm 4, Hẻm Thoại Ngọc Hầu, Mỹ Long, Long Xuyên, An Giang</v>
          </cell>
          <cell r="K136" t="str">
            <v>KV2</v>
          </cell>
          <cell r="M136" t="str">
            <v>Không có</v>
          </cell>
          <cell r="N136" t="str">
            <v>Kinh</v>
          </cell>
          <cell r="P136" t="str">
            <v>2026</v>
          </cell>
          <cell r="Q136" t="str">
            <v>91021928</v>
          </cell>
          <cell r="R136" t="str">
            <v>Không có</v>
          </cell>
          <cell r="S136" t="str">
            <v>Không có</v>
          </cell>
          <cell r="T136" t="str">
            <v>Không có</v>
          </cell>
          <cell r="U136" t="str">
            <v>541223</v>
          </cell>
          <cell r="V136" t="str">
            <v>D26548259</v>
          </cell>
          <cell r="W136" t="str">
            <v>742.00</v>
          </cell>
          <cell r="X136" t="str">
            <v>611589</v>
          </cell>
          <cell r="Y136" t="str">
            <v>D26680376</v>
          </cell>
          <cell r="Z136" t="str">
            <v>623.00</v>
          </cell>
          <cell r="AA136" t="str">
            <v>IELTS</v>
          </cell>
          <cell r="AB136" t="str">
            <v>09/05/2026</v>
          </cell>
          <cell r="AC136" t="str">
            <v>6</v>
          </cell>
          <cell r="AD136" t="str">
            <v>26VN507018ONM101A</v>
          </cell>
          <cell r="AE136" t="str">
            <v>ChungChiTA_134_089308000129.pdf</v>
          </cell>
          <cell r="AF136" t="str">
            <v>89N</v>
          </cell>
          <cell r="AG136" t="str">
            <v>115</v>
          </cell>
          <cell r="AH136" t="str">
            <v>Trường THPT Long Xuyên</v>
          </cell>
          <cell r="AI136" t="str">
            <v>89N</v>
          </cell>
          <cell r="AJ136" t="str">
            <v>115</v>
          </cell>
          <cell r="AK136" t="str">
            <v>Trường THPT Long Xuyên</v>
          </cell>
          <cell r="AL136" t="str">
            <v>89N</v>
          </cell>
          <cell r="AM136" t="str">
            <v>115</v>
          </cell>
          <cell r="AN136" t="str">
            <v>Trường THPT Long Xuyên</v>
          </cell>
          <cell r="AO136" t="str">
            <v>GDPT2018</v>
          </cell>
          <cell r="AP136" t="str">
            <v>Tốt</v>
          </cell>
          <cell r="AQ136" t="str">
            <v>6.92</v>
          </cell>
          <cell r="AR136" t="str">
            <v>8.00</v>
          </cell>
          <cell r="AS136" t="str">
            <v>8.12</v>
          </cell>
          <cell r="AT136" t="str">
            <v>8.20</v>
          </cell>
          <cell r="AU136" t="str">
            <v>True</v>
          </cell>
          <cell r="AW136" t="str">
            <v>7220201</v>
          </cell>
          <cell r="AX136" t="str">
            <v>Tiếng Anh thương mại</v>
          </cell>
          <cell r="AY136" t="str">
            <v>7340101</v>
          </cell>
          <cell r="AZ136" t="str">
            <v>Quản trị</v>
          </cell>
          <cell r="BA136" t="str">
            <v>7810201</v>
          </cell>
          <cell r="BB136" t="str">
            <v>Quản trị khách sạn</v>
          </cell>
          <cell r="BC136" t="str">
            <v>quynhlx</v>
          </cell>
          <cell r="BD136" t="str">
            <v>Đã được tiếp nhận</v>
          </cell>
          <cell r="BE136" t="str">
            <v>Trường điều chỉnh học lực từ Giỏi =&gt; Tốt theo học bạ của em</v>
          </cell>
          <cell r="BF136" t="str">
            <v>3</v>
          </cell>
          <cell r="BM136" t="str">
            <v>True</v>
          </cell>
          <cell r="BN136" t="str">
            <v>False</v>
          </cell>
          <cell r="BO136" t="str">
            <v>KQTHPT_134_089308000129.pdf</v>
          </cell>
          <cell r="BP136" t="str">
            <v>KQDGNL_134_089308000129.pdf</v>
          </cell>
          <cell r="BR136">
            <v>6.5</v>
          </cell>
          <cell r="BS136">
            <v>7.6</v>
          </cell>
          <cell r="BT136">
            <v>9.1999999999999993</v>
          </cell>
          <cell r="BU136">
            <v>9</v>
          </cell>
          <cell r="BV136">
            <v>8.8000000000000007</v>
          </cell>
          <cell r="BW136">
            <v>0</v>
          </cell>
          <cell r="BX136">
            <v>0</v>
          </cell>
          <cell r="BY136">
            <v>7.9</v>
          </cell>
          <cell r="BZ136">
            <v>6.4</v>
          </cell>
          <cell r="CA136">
            <v>7.7</v>
          </cell>
          <cell r="CB136">
            <v>8.9</v>
          </cell>
          <cell r="CC136">
            <v>0</v>
          </cell>
          <cell r="CD136">
            <v>0</v>
          </cell>
          <cell r="CE136">
            <v>0</v>
          </cell>
          <cell r="CF136">
            <v>0</v>
          </cell>
          <cell r="CG136">
            <v>0</v>
          </cell>
          <cell r="CH136">
            <v>0</v>
          </cell>
          <cell r="CI136">
            <v>0</v>
          </cell>
          <cell r="CJ136">
            <v>0</v>
          </cell>
          <cell r="CK136">
            <v>0</v>
          </cell>
          <cell r="CL136">
            <v>0</v>
          </cell>
          <cell r="CM136">
            <v>6.4</v>
          </cell>
          <cell r="CN136">
            <v>8.1</v>
          </cell>
          <cell r="CO136">
            <v>9.1999999999999993</v>
          </cell>
          <cell r="CP136">
            <v>9.1999999999999993</v>
          </cell>
          <cell r="CQ136">
            <v>8.6999999999999993</v>
          </cell>
          <cell r="CR136">
            <v>0</v>
          </cell>
          <cell r="CS136">
            <v>0</v>
          </cell>
          <cell r="CT136">
            <v>7.8</v>
          </cell>
          <cell r="CU136">
            <v>7</v>
          </cell>
          <cell r="CV136">
            <v>8.5</v>
          </cell>
          <cell r="CW136">
            <v>8.1999999999999993</v>
          </cell>
          <cell r="CX136">
            <v>0</v>
          </cell>
          <cell r="CY136">
            <v>0</v>
          </cell>
          <cell r="CZ136">
            <v>0</v>
          </cell>
          <cell r="DA136">
            <v>0</v>
          </cell>
          <cell r="DB136">
            <v>0</v>
          </cell>
          <cell r="DC136">
            <v>0</v>
          </cell>
          <cell r="DD136">
            <v>0</v>
          </cell>
          <cell r="DE136">
            <v>0</v>
          </cell>
          <cell r="DF136">
            <v>0</v>
          </cell>
          <cell r="DG136">
            <v>0</v>
          </cell>
          <cell r="DH136">
            <v>7.3</v>
          </cell>
          <cell r="DI136">
            <v>8.1999999999999993</v>
          </cell>
          <cell r="DJ136">
            <v>8.4</v>
          </cell>
          <cell r="DK136">
            <v>9.9</v>
          </cell>
          <cell r="DL136">
            <v>8.1</v>
          </cell>
          <cell r="DM136">
            <v>0</v>
          </cell>
          <cell r="DN136">
            <v>0</v>
          </cell>
          <cell r="DO136">
            <v>8.1999999999999993</v>
          </cell>
          <cell r="DP136">
            <v>8.6999999999999993</v>
          </cell>
          <cell r="DQ136">
            <v>7.4</v>
          </cell>
          <cell r="DR136">
            <v>7.6</v>
          </cell>
          <cell r="DS136">
            <v>0</v>
          </cell>
          <cell r="DT136">
            <v>0</v>
          </cell>
          <cell r="DU136">
            <v>0</v>
          </cell>
          <cell r="DV136">
            <v>0</v>
          </cell>
          <cell r="DW136">
            <v>0</v>
          </cell>
          <cell r="DX136">
            <v>0</v>
          </cell>
          <cell r="DY136">
            <v>0</v>
          </cell>
          <cell r="DZ136">
            <v>0</v>
          </cell>
          <cell r="EA136">
            <v>0</v>
          </cell>
          <cell r="EB136">
            <v>0</v>
          </cell>
          <cell r="EC136">
            <v>6.5</v>
          </cell>
          <cell r="ED136">
            <v>7.25</v>
          </cell>
          <cell r="EE136">
            <v>6.75</v>
          </cell>
          <cell r="EJ136">
            <v>5</v>
          </cell>
        </row>
        <row r="137">
          <cell r="A137">
            <v>868658497</v>
          </cell>
          <cell r="B137" t="str">
            <v>KSVBS2644227</v>
          </cell>
          <cell r="C137" t="str">
            <v>96</v>
          </cell>
          <cell r="D137" t="str">
            <v>NGUYỄN QUỐC MINH</v>
          </cell>
          <cell r="E137" t="str">
            <v>0</v>
          </cell>
          <cell r="F137" t="str">
            <v>17/12/2008</v>
          </cell>
          <cell r="G137" t="str">
            <v>nguyenquocminh419@gmail.com</v>
          </cell>
          <cell r="H137" t="str">
            <v>0868658497</v>
          </cell>
          <cell r="I137" t="str">
            <v>094208006813</v>
          </cell>
          <cell r="J137" t="str">
            <v>174</v>
          </cell>
          <cell r="K137" t="str">
            <v>KV2-NT</v>
          </cell>
          <cell r="M137" t="str">
            <v>Không có</v>
          </cell>
          <cell r="N137" t="str">
            <v>Kinh</v>
          </cell>
          <cell r="P137" t="str">
            <v>2026</v>
          </cell>
          <cell r="Q137" t="str">
            <v>92026042</v>
          </cell>
          <cell r="R137" t="str">
            <v>Không có</v>
          </cell>
          <cell r="S137" t="str">
            <v>Không có</v>
          </cell>
          <cell r="T137" t="str">
            <v>Không có</v>
          </cell>
          <cell r="AA137" t="str">
            <v>Không có</v>
          </cell>
          <cell r="AF137" t="str">
            <v>92N</v>
          </cell>
          <cell r="AG137" t="str">
            <v>456</v>
          </cell>
          <cell r="AH137" t="str">
            <v>Trường THPT Mai Thanh Thế (trước 01/7/2025)</v>
          </cell>
          <cell r="AI137" t="str">
            <v>92N</v>
          </cell>
          <cell r="AJ137" t="str">
            <v>456</v>
          </cell>
          <cell r="AK137" t="str">
            <v>Trường THPT Mai Thanh Thế (trước 01/7/2025)</v>
          </cell>
          <cell r="AL137" t="str">
            <v>92N</v>
          </cell>
          <cell r="AM137" t="str">
            <v>227</v>
          </cell>
          <cell r="AN137" t="str">
            <v>Trường THPT Mai Thanh Thế</v>
          </cell>
          <cell r="AO137" t="str">
            <v>GDPT2018</v>
          </cell>
          <cell r="AP137" t="str">
            <v>Tốt</v>
          </cell>
          <cell r="AQ137" t="str">
            <v>7.16</v>
          </cell>
          <cell r="AR137" t="str">
            <v>7.48</v>
          </cell>
          <cell r="AS137" t="str">
            <v>7.87</v>
          </cell>
          <cell r="AT137" t="str">
            <v>8.81</v>
          </cell>
          <cell r="AU137" t="str">
            <v>False</v>
          </cell>
          <cell r="AW137" t="str">
            <v>7340201_1</v>
          </cell>
          <cell r="AX137" t="str">
            <v>Ngân hàng</v>
          </cell>
          <cell r="AY137" t="str">
            <v>7340201_2</v>
          </cell>
          <cell r="AZ137" t="str">
            <v>Tài chính</v>
          </cell>
          <cell r="BC137" t="str">
            <v>quynhlx</v>
          </cell>
          <cell r="BD137" t="str">
            <v>Đã được tiếp nhận</v>
          </cell>
          <cell r="BF137" t="str">
            <v>3</v>
          </cell>
          <cell r="BM137" t="str">
            <v>True</v>
          </cell>
          <cell r="BN137" t="str">
            <v>False</v>
          </cell>
          <cell r="BO137" t="str">
            <v>KQTHPT_135_094208006813.pdf</v>
          </cell>
          <cell r="BR137">
            <v>7.7</v>
          </cell>
          <cell r="BS137">
            <v>7</v>
          </cell>
          <cell r="BT137">
            <v>5</v>
          </cell>
          <cell r="BU137">
            <v>9.1999999999999993</v>
          </cell>
          <cell r="BV137">
            <v>8.6</v>
          </cell>
          <cell r="BW137">
            <v>0</v>
          </cell>
          <cell r="BX137">
            <v>0</v>
          </cell>
          <cell r="BY137">
            <v>5.6</v>
          </cell>
          <cell r="BZ137">
            <v>7.3</v>
          </cell>
          <cell r="CA137">
            <v>8.1999999999999993</v>
          </cell>
          <cell r="CB137">
            <v>0</v>
          </cell>
          <cell r="CC137">
            <v>8.6999999999999993</v>
          </cell>
          <cell r="CD137">
            <v>0</v>
          </cell>
          <cell r="CE137">
            <v>0</v>
          </cell>
          <cell r="CF137">
            <v>0</v>
          </cell>
          <cell r="CG137">
            <v>0</v>
          </cell>
          <cell r="CH137">
            <v>0</v>
          </cell>
          <cell r="CI137">
            <v>0</v>
          </cell>
          <cell r="CJ137">
            <v>0</v>
          </cell>
          <cell r="CK137">
            <v>0</v>
          </cell>
          <cell r="CL137">
            <v>0</v>
          </cell>
          <cell r="CM137">
            <v>7.5</v>
          </cell>
          <cell r="CN137">
            <v>7.1</v>
          </cell>
          <cell r="CO137">
            <v>5.5</v>
          </cell>
          <cell r="CP137">
            <v>9.6999999999999993</v>
          </cell>
          <cell r="CQ137">
            <v>8.4</v>
          </cell>
          <cell r="CR137">
            <v>0</v>
          </cell>
          <cell r="CS137">
            <v>0</v>
          </cell>
          <cell r="CT137">
            <v>7.4</v>
          </cell>
          <cell r="CU137">
            <v>8.8000000000000007</v>
          </cell>
          <cell r="CV137">
            <v>8.1999999999999993</v>
          </cell>
          <cell r="CW137">
            <v>0</v>
          </cell>
          <cell r="CX137">
            <v>8.1999999999999993</v>
          </cell>
          <cell r="CY137">
            <v>0</v>
          </cell>
          <cell r="CZ137">
            <v>0</v>
          </cell>
          <cell r="DA137">
            <v>0</v>
          </cell>
          <cell r="DB137">
            <v>0</v>
          </cell>
          <cell r="DC137">
            <v>0</v>
          </cell>
          <cell r="DD137">
            <v>0</v>
          </cell>
          <cell r="DE137">
            <v>0</v>
          </cell>
          <cell r="DF137">
            <v>0</v>
          </cell>
          <cell r="DG137">
            <v>0</v>
          </cell>
          <cell r="DH137">
            <v>9.1999999999999993</v>
          </cell>
          <cell r="DI137">
            <v>8.8000000000000007</v>
          </cell>
          <cell r="DJ137">
            <v>7.2</v>
          </cell>
          <cell r="DK137">
            <v>9.6999999999999993</v>
          </cell>
          <cell r="DL137">
            <v>8.8000000000000007</v>
          </cell>
          <cell r="DM137">
            <v>0</v>
          </cell>
          <cell r="DN137">
            <v>0</v>
          </cell>
          <cell r="DO137">
            <v>9.1</v>
          </cell>
          <cell r="DP137">
            <v>8.6999999999999993</v>
          </cell>
          <cell r="DQ137">
            <v>8.5</v>
          </cell>
          <cell r="DR137">
            <v>0</v>
          </cell>
          <cell r="DS137">
            <v>9.3000000000000007</v>
          </cell>
          <cell r="DT137">
            <v>0</v>
          </cell>
          <cell r="DU137">
            <v>0</v>
          </cell>
          <cell r="DV137">
            <v>0</v>
          </cell>
          <cell r="DW137">
            <v>0</v>
          </cell>
          <cell r="DX137">
            <v>0</v>
          </cell>
          <cell r="DY137">
            <v>0</v>
          </cell>
          <cell r="DZ137">
            <v>0</v>
          </cell>
          <cell r="EA137">
            <v>0</v>
          </cell>
          <cell r="EB137">
            <v>0</v>
          </cell>
          <cell r="EC137">
            <v>5.25</v>
          </cell>
          <cell r="ED137">
            <v>6</v>
          </cell>
          <cell r="EG137">
            <v>6.1</v>
          </cell>
          <cell r="EJ137">
            <v>2.85</v>
          </cell>
        </row>
        <row r="138">
          <cell r="A138">
            <v>898949668</v>
          </cell>
          <cell r="D138" t="str">
            <v>PHẠM THỊ TRÚC MY</v>
          </cell>
          <cell r="E138" t="str">
            <v>1</v>
          </cell>
          <cell r="F138" t="str">
            <v>13/06/2008</v>
          </cell>
          <cell r="G138" t="str">
            <v>pttm13062008@gmail.com</v>
          </cell>
          <cell r="H138" t="str">
            <v>0898949668</v>
          </cell>
          <cell r="I138" t="str">
            <v>077308010655</v>
          </cell>
          <cell r="J138" t="str">
            <v>549/17 đường Nguyễn An Ninh, khu phố 8, tổ 2</v>
          </cell>
          <cell r="K138" t="str">
            <v>KV2</v>
          </cell>
          <cell r="M138" t="str">
            <v>Không có</v>
          </cell>
          <cell r="N138" t="str">
            <v>Kinh</v>
          </cell>
          <cell r="P138" t="str">
            <v>2026</v>
          </cell>
          <cell r="Q138" t="str">
            <v>79128467</v>
          </cell>
          <cell r="R138" t="str">
            <v>Không có</v>
          </cell>
          <cell r="S138" t="str">
            <v>Không có</v>
          </cell>
          <cell r="T138" t="str">
            <v>Không có</v>
          </cell>
          <cell r="AA138" t="str">
            <v>Không có</v>
          </cell>
          <cell r="AE138" t="str">
            <v>ChungChiTA_136_077308010655.jpeg</v>
          </cell>
          <cell r="AF138" t="str">
            <v>79N</v>
          </cell>
          <cell r="AG138" t="str">
            <v>946</v>
          </cell>
          <cell r="AH138" t="str">
            <v>THPT Đinh Tiên Hoàng</v>
          </cell>
          <cell r="AI138" t="str">
            <v>79N</v>
          </cell>
          <cell r="AJ138" t="str">
            <v>946</v>
          </cell>
          <cell r="AK138" t="str">
            <v>THPT Đinh Tiên Hoàng</v>
          </cell>
          <cell r="AL138" t="str">
            <v>79N</v>
          </cell>
          <cell r="AM138" t="str">
            <v>704</v>
          </cell>
          <cell r="AN138" t="str">
            <v>THPT Đinh Tiên Hoàng</v>
          </cell>
          <cell r="AO138" t="str">
            <v>GDPT2018</v>
          </cell>
          <cell r="AP138" t="str">
            <v>Giỏi</v>
          </cell>
          <cell r="AQ138" t="str">
            <v>7.29</v>
          </cell>
          <cell r="AR138" t="str">
            <v>8.18</v>
          </cell>
          <cell r="AS138" t="str">
            <v>8.30</v>
          </cell>
          <cell r="AT138" t="str">
            <v>9.03</v>
          </cell>
          <cell r="AU138" t="str">
            <v>False</v>
          </cell>
          <cell r="AW138" t="str">
            <v>7340122</v>
          </cell>
          <cell r="AX138" t="str">
            <v>Thương mại điện tử</v>
          </cell>
          <cell r="AY138" t="str">
            <v>7480201</v>
          </cell>
          <cell r="AZ138" t="str">
            <v>Công nghệ và đổi mới sáng tạo</v>
          </cell>
          <cell r="BA138" t="str">
            <v>7220201</v>
          </cell>
          <cell r="BB138" t="str">
            <v>Tiếng Anh thương mại</v>
          </cell>
          <cell r="BD138" t="str">
            <v>Chưa hoàn thành</v>
          </cell>
          <cell r="BF138" t="str">
            <v>3</v>
          </cell>
          <cell r="BM138" t="str">
            <v>True</v>
          </cell>
          <cell r="BN138" t="str">
            <v>False</v>
          </cell>
          <cell r="BO138" t="str">
            <v>KQTHPT_136_077308010655.pdf</v>
          </cell>
          <cell r="BR138">
            <v>8.1</v>
          </cell>
          <cell r="BS138">
            <v>8.3000000000000007</v>
          </cell>
          <cell r="BT138">
            <v>8.5</v>
          </cell>
          <cell r="BU138">
            <v>9</v>
          </cell>
          <cell r="BV138">
            <v>8.6999999999999993</v>
          </cell>
          <cell r="BW138">
            <v>8.6999999999999993</v>
          </cell>
          <cell r="BX138">
            <v>8.1999999999999993</v>
          </cell>
          <cell r="BY138">
            <v>0</v>
          </cell>
          <cell r="BZ138">
            <v>6.5</v>
          </cell>
          <cell r="CA138">
            <v>0</v>
          </cell>
          <cell r="CB138">
            <v>0</v>
          </cell>
          <cell r="CC138">
            <v>7.6</v>
          </cell>
          <cell r="CD138">
            <v>0</v>
          </cell>
          <cell r="CE138">
            <v>0</v>
          </cell>
          <cell r="CF138">
            <v>0</v>
          </cell>
          <cell r="CG138">
            <v>0</v>
          </cell>
          <cell r="CH138">
            <v>0</v>
          </cell>
          <cell r="CI138">
            <v>0</v>
          </cell>
          <cell r="CJ138">
            <v>0</v>
          </cell>
          <cell r="CK138">
            <v>0</v>
          </cell>
          <cell r="CL138">
            <v>0</v>
          </cell>
          <cell r="CM138">
            <v>7.8</v>
          </cell>
          <cell r="CN138">
            <v>9</v>
          </cell>
          <cell r="CO138">
            <v>8.9</v>
          </cell>
          <cell r="CP138">
            <v>8.6</v>
          </cell>
          <cell r="CQ138">
            <v>8.3000000000000007</v>
          </cell>
          <cell r="CR138">
            <v>9.1</v>
          </cell>
          <cell r="CS138">
            <v>8.9</v>
          </cell>
          <cell r="CT138">
            <v>0</v>
          </cell>
          <cell r="CU138">
            <v>6</v>
          </cell>
          <cell r="CV138">
            <v>0</v>
          </cell>
          <cell r="CW138">
            <v>0</v>
          </cell>
          <cell r="CX138">
            <v>8.1</v>
          </cell>
          <cell r="CY138">
            <v>0</v>
          </cell>
          <cell r="CZ138">
            <v>0</v>
          </cell>
          <cell r="DA138">
            <v>0</v>
          </cell>
          <cell r="DB138">
            <v>0</v>
          </cell>
          <cell r="DC138">
            <v>0</v>
          </cell>
          <cell r="DD138">
            <v>0</v>
          </cell>
          <cell r="DE138">
            <v>0</v>
          </cell>
          <cell r="DF138">
            <v>0</v>
          </cell>
          <cell r="DG138">
            <v>0</v>
          </cell>
          <cell r="DH138">
            <v>8.6999999999999993</v>
          </cell>
          <cell r="DI138">
            <v>8.6</v>
          </cell>
          <cell r="DJ138">
            <v>8.9</v>
          </cell>
          <cell r="DK138">
            <v>9.3000000000000007</v>
          </cell>
          <cell r="DL138">
            <v>9.1</v>
          </cell>
          <cell r="DM138">
            <v>9.6999999999999993</v>
          </cell>
          <cell r="DN138">
            <v>9.4</v>
          </cell>
          <cell r="DO138">
            <v>0</v>
          </cell>
          <cell r="DP138">
            <v>8.4</v>
          </cell>
          <cell r="DQ138">
            <v>0</v>
          </cell>
          <cell r="DR138">
            <v>0</v>
          </cell>
          <cell r="DS138">
            <v>9.1999999999999993</v>
          </cell>
          <cell r="DT138">
            <v>0</v>
          </cell>
          <cell r="DU138">
            <v>0</v>
          </cell>
          <cell r="DV138">
            <v>0</v>
          </cell>
          <cell r="DW138">
            <v>0</v>
          </cell>
          <cell r="DX138">
            <v>0</v>
          </cell>
          <cell r="DY138">
            <v>0</v>
          </cell>
          <cell r="DZ138">
            <v>0</v>
          </cell>
          <cell r="EA138">
            <v>0</v>
          </cell>
          <cell r="EB138">
            <v>0</v>
          </cell>
          <cell r="EC138">
            <v>5.5</v>
          </cell>
          <cell r="ED138">
            <v>7</v>
          </cell>
          <cell r="EE138">
            <v>6.25</v>
          </cell>
          <cell r="EH138">
            <v>5</v>
          </cell>
        </row>
        <row r="139">
          <cell r="A139">
            <v>352837789</v>
          </cell>
          <cell r="B139" t="str">
            <v>KSVBS2604269</v>
          </cell>
          <cell r="C139" t="str">
            <v>97</v>
          </cell>
          <cell r="D139" t="str">
            <v>NGUYỄN HOÀNG ANH</v>
          </cell>
          <cell r="E139" t="str">
            <v>0</v>
          </cell>
          <cell r="F139" t="str">
            <v>12/02/2008</v>
          </cell>
          <cell r="G139" t="str">
            <v>anhvecaki692@gmail.com</v>
          </cell>
          <cell r="H139" t="str">
            <v>0352837789</v>
          </cell>
          <cell r="I139" t="str">
            <v>068208007545</v>
          </cell>
          <cell r="J139" t="str">
            <v>xóm Chùa, thôn Tân Trung</v>
          </cell>
          <cell r="K139" t="str">
            <v>KV2-NT</v>
          </cell>
          <cell r="M139" t="str">
            <v>Không có</v>
          </cell>
          <cell r="N139" t="str">
            <v>Kinh</v>
          </cell>
          <cell r="P139" t="str">
            <v>2026</v>
          </cell>
          <cell r="Q139" t="str">
            <v>68009037</v>
          </cell>
          <cell r="R139" t="str">
            <v>Toán</v>
          </cell>
          <cell r="S139" t="str">
            <v>2026</v>
          </cell>
          <cell r="T139" t="str">
            <v>Ba</v>
          </cell>
          <cell r="AA139" t="str">
            <v>Không có</v>
          </cell>
          <cell r="AF139" t="str">
            <v>68N</v>
          </cell>
          <cell r="AG139" t="str">
            <v>050</v>
          </cell>
          <cell r="AH139" t="str">
            <v>THPT Tân Hà</v>
          </cell>
          <cell r="AI139" t="str">
            <v>68N</v>
          </cell>
          <cell r="AJ139" t="str">
            <v>050</v>
          </cell>
          <cell r="AK139" t="str">
            <v>THPT Tân Hà</v>
          </cell>
          <cell r="AL139" t="str">
            <v>68N</v>
          </cell>
          <cell r="AM139" t="str">
            <v>050</v>
          </cell>
          <cell r="AN139" t="str">
            <v>THPT Tân Hà</v>
          </cell>
          <cell r="AO139" t="str">
            <v>GDPT2018</v>
          </cell>
          <cell r="AP139" t="str">
            <v>Tốt</v>
          </cell>
          <cell r="AQ139" t="str">
            <v>8.63</v>
          </cell>
          <cell r="AR139" t="str">
            <v>8.96</v>
          </cell>
          <cell r="AS139" t="str">
            <v>8.86</v>
          </cell>
          <cell r="AT139" t="str">
            <v>8.51</v>
          </cell>
          <cell r="AU139" t="str">
            <v>False</v>
          </cell>
          <cell r="AW139" t="str">
            <v>7380107</v>
          </cell>
          <cell r="AX139" t="str">
            <v>Luật kinh tế</v>
          </cell>
          <cell r="AY139" t="str">
            <v>7480201</v>
          </cell>
          <cell r="AZ139" t="str">
            <v>Công nghệ và đổi mới sáng tạo</v>
          </cell>
          <cell r="BA139" t="str">
            <v>7340201_3</v>
          </cell>
          <cell r="BB139" t="str">
            <v>Thuế</v>
          </cell>
          <cell r="BC139" t="str">
            <v>quynhlx</v>
          </cell>
          <cell r="BD139" t="str">
            <v>Đã được tiếp nhận</v>
          </cell>
          <cell r="BF139" t="str">
            <v>3</v>
          </cell>
          <cell r="BM139" t="str">
            <v>True</v>
          </cell>
          <cell r="BN139" t="str">
            <v>False</v>
          </cell>
          <cell r="BO139" t="str">
            <v>KQTHPT_137_068208007545.pdf</v>
          </cell>
          <cell r="BR139">
            <v>9.4</v>
          </cell>
          <cell r="BS139">
            <v>8</v>
          </cell>
          <cell r="BT139">
            <v>9.4</v>
          </cell>
          <cell r="BU139">
            <v>9.4</v>
          </cell>
          <cell r="BV139">
            <v>8.4</v>
          </cell>
          <cell r="BW139">
            <v>0</v>
          </cell>
          <cell r="BX139">
            <v>0</v>
          </cell>
          <cell r="BY139">
            <v>9.5</v>
          </cell>
          <cell r="BZ139">
            <v>8.8000000000000007</v>
          </cell>
          <cell r="CA139">
            <v>9.1999999999999993</v>
          </cell>
          <cell r="CB139">
            <v>0</v>
          </cell>
          <cell r="CC139">
            <v>8.5</v>
          </cell>
          <cell r="CD139">
            <v>0</v>
          </cell>
          <cell r="CE139">
            <v>0</v>
          </cell>
          <cell r="CF139">
            <v>0</v>
          </cell>
          <cell r="CG139">
            <v>0</v>
          </cell>
          <cell r="CH139">
            <v>0</v>
          </cell>
          <cell r="CI139">
            <v>0</v>
          </cell>
          <cell r="CJ139">
            <v>0</v>
          </cell>
          <cell r="CK139">
            <v>0</v>
          </cell>
          <cell r="CL139">
            <v>0</v>
          </cell>
          <cell r="CM139">
            <v>9.1999999999999993</v>
          </cell>
          <cell r="CN139">
            <v>7.2</v>
          </cell>
          <cell r="CO139">
            <v>9.1</v>
          </cell>
          <cell r="CP139">
            <v>9.6999999999999993</v>
          </cell>
          <cell r="CQ139">
            <v>8.3000000000000007</v>
          </cell>
          <cell r="CR139">
            <v>0</v>
          </cell>
          <cell r="CS139">
            <v>0</v>
          </cell>
          <cell r="CT139">
            <v>9.6999999999999993</v>
          </cell>
          <cell r="CU139">
            <v>8.1999999999999993</v>
          </cell>
          <cell r="CV139">
            <v>9.1</v>
          </cell>
          <cell r="CW139">
            <v>0</v>
          </cell>
          <cell r="CX139">
            <v>9.1999999999999993</v>
          </cell>
          <cell r="CY139">
            <v>0</v>
          </cell>
          <cell r="CZ139">
            <v>0</v>
          </cell>
          <cell r="DA139">
            <v>0</v>
          </cell>
          <cell r="DB139">
            <v>0</v>
          </cell>
          <cell r="DC139">
            <v>0</v>
          </cell>
          <cell r="DD139">
            <v>0</v>
          </cell>
          <cell r="DE139">
            <v>0</v>
          </cell>
          <cell r="DF139">
            <v>0</v>
          </cell>
          <cell r="DG139">
            <v>0</v>
          </cell>
          <cell r="DH139">
            <v>9.4</v>
          </cell>
          <cell r="DI139">
            <v>6.8</v>
          </cell>
          <cell r="DJ139">
            <v>9.5</v>
          </cell>
          <cell r="DK139">
            <v>9.5</v>
          </cell>
          <cell r="DL139">
            <v>7.9</v>
          </cell>
          <cell r="DM139">
            <v>0</v>
          </cell>
          <cell r="DN139">
            <v>0</v>
          </cell>
          <cell r="DO139">
            <v>8.8000000000000007</v>
          </cell>
          <cell r="DP139">
            <v>7.2</v>
          </cell>
          <cell r="DQ139">
            <v>8.6</v>
          </cell>
          <cell r="DR139">
            <v>0</v>
          </cell>
          <cell r="DS139">
            <v>8.9</v>
          </cell>
          <cell r="DT139">
            <v>0</v>
          </cell>
          <cell r="DU139">
            <v>0</v>
          </cell>
          <cell r="DV139">
            <v>0</v>
          </cell>
          <cell r="DW139">
            <v>0</v>
          </cell>
          <cell r="DX139">
            <v>0</v>
          </cell>
          <cell r="DY139">
            <v>0</v>
          </cell>
          <cell r="DZ139">
            <v>0</v>
          </cell>
          <cell r="EA139">
            <v>0</v>
          </cell>
          <cell r="EB139">
            <v>0</v>
          </cell>
          <cell r="EC139">
            <v>9</v>
          </cell>
          <cell r="ED139">
            <v>7.25</v>
          </cell>
          <cell r="EE139">
            <v>8</v>
          </cell>
          <cell r="EJ139">
            <v>9</v>
          </cell>
        </row>
        <row r="140">
          <cell r="A140">
            <v>981124901</v>
          </cell>
          <cell r="B140" t="str">
            <v>KSVBS2602429</v>
          </cell>
          <cell r="C140" t="str">
            <v>95</v>
          </cell>
          <cell r="D140" t="str">
            <v>PHẠM LÊ CẨM NGỌC</v>
          </cell>
          <cell r="E140" t="str">
            <v>1</v>
          </cell>
          <cell r="F140" t="str">
            <v>23/11/2008</v>
          </cell>
          <cell r="G140" t="str">
            <v>camngoc231108@gmail.com</v>
          </cell>
          <cell r="H140" t="str">
            <v>0981124901</v>
          </cell>
          <cell r="I140" t="str">
            <v>089308016017</v>
          </cell>
          <cell r="J140" t="str">
            <v>Tổ 15,Ấp 2</v>
          </cell>
          <cell r="K140" t="str">
            <v>KV2</v>
          </cell>
          <cell r="M140" t="str">
            <v>Không có</v>
          </cell>
          <cell r="N140" t="str">
            <v>Kinh</v>
          </cell>
          <cell r="P140" t="str">
            <v>2026</v>
          </cell>
          <cell r="Q140" t="str">
            <v>91021824</v>
          </cell>
          <cell r="R140" t="str">
            <v>Không có</v>
          </cell>
          <cell r="S140" t="str">
            <v>Không có</v>
          </cell>
          <cell r="T140" t="str">
            <v>Không có</v>
          </cell>
          <cell r="AA140" t="str">
            <v>Không có</v>
          </cell>
          <cell r="AF140" t="str">
            <v>89N</v>
          </cell>
          <cell r="AG140" t="str">
            <v>115</v>
          </cell>
          <cell r="AH140" t="str">
            <v>Trường THPT Long Xuyên</v>
          </cell>
          <cell r="AI140" t="str">
            <v>89N</v>
          </cell>
          <cell r="AJ140" t="str">
            <v>115</v>
          </cell>
          <cell r="AK140" t="str">
            <v>Trường THPT Long Xuyên</v>
          </cell>
          <cell r="AL140" t="str">
            <v>89N</v>
          </cell>
          <cell r="AM140" t="str">
            <v>115</v>
          </cell>
          <cell r="AN140" t="str">
            <v>Trường THPT Long Xuyên</v>
          </cell>
          <cell r="AO140" t="str">
            <v>GDPT2018</v>
          </cell>
          <cell r="AP140" t="str">
            <v>Giỏi</v>
          </cell>
          <cell r="AQ140" t="str">
            <v>8.42</v>
          </cell>
          <cell r="AR140" t="str">
            <v>8.10</v>
          </cell>
          <cell r="AS140" t="str">
            <v>8.40</v>
          </cell>
          <cell r="AT140" t="str">
            <v>8.54</v>
          </cell>
          <cell r="AU140" t="str">
            <v>False</v>
          </cell>
          <cell r="AW140" t="str">
            <v>7380107</v>
          </cell>
          <cell r="AX140" t="str">
            <v>Luật kinh tế</v>
          </cell>
          <cell r="AY140" t="str">
            <v>7480107</v>
          </cell>
          <cell r="AZ140" t="str">
            <v>Robot và Trí tuệ nhân tạo (hệ kỹ sư)</v>
          </cell>
          <cell r="BA140" t="str">
            <v>7480201</v>
          </cell>
          <cell r="BB140" t="str">
            <v>Công nghệ và đổi mới sáng tạo</v>
          </cell>
          <cell r="BC140" t="str">
            <v>quynhlx</v>
          </cell>
          <cell r="BD140" t="str">
            <v>Bổ sung minh chứng</v>
          </cell>
          <cell r="BE140" t="str">
            <v>Em bổ sung học bạ có mộc đỏ nha</v>
          </cell>
          <cell r="BF140" t="str">
            <v>3</v>
          </cell>
          <cell r="BM140" t="str">
            <v>True</v>
          </cell>
          <cell r="BN140" t="str">
            <v>False</v>
          </cell>
          <cell r="BO140" t="str">
            <v>KQTHPT_138_089308016017.pdf</v>
          </cell>
          <cell r="BR140">
            <v>6.9</v>
          </cell>
          <cell r="BS140">
            <v>8.1</v>
          </cell>
          <cell r="BT140">
            <v>7</v>
          </cell>
          <cell r="BU140">
            <v>8.8000000000000007</v>
          </cell>
          <cell r="BV140">
            <v>8</v>
          </cell>
          <cell r="BW140">
            <v>7.9</v>
          </cell>
          <cell r="BX140">
            <v>9.1</v>
          </cell>
          <cell r="BY140">
            <v>0</v>
          </cell>
          <cell r="BZ140">
            <v>0</v>
          </cell>
          <cell r="CA140">
            <v>8.1</v>
          </cell>
          <cell r="CB140">
            <v>9</v>
          </cell>
          <cell r="CC140">
            <v>0</v>
          </cell>
          <cell r="CD140">
            <v>0</v>
          </cell>
          <cell r="CE140">
            <v>0</v>
          </cell>
          <cell r="CF140">
            <v>0</v>
          </cell>
          <cell r="CG140">
            <v>0</v>
          </cell>
          <cell r="CH140">
            <v>0</v>
          </cell>
          <cell r="CI140">
            <v>0</v>
          </cell>
          <cell r="CJ140">
            <v>0</v>
          </cell>
          <cell r="CK140">
            <v>0</v>
          </cell>
          <cell r="CL140">
            <v>0</v>
          </cell>
          <cell r="CM140">
            <v>7.5</v>
          </cell>
          <cell r="CN140">
            <v>8.6999999999999993</v>
          </cell>
          <cell r="CO140">
            <v>6.9</v>
          </cell>
          <cell r="CP140">
            <v>10</v>
          </cell>
          <cell r="CQ140">
            <v>8</v>
          </cell>
          <cell r="CR140">
            <v>8.6</v>
          </cell>
          <cell r="CS140">
            <v>9.1</v>
          </cell>
          <cell r="CT140">
            <v>0</v>
          </cell>
          <cell r="CU140">
            <v>0</v>
          </cell>
          <cell r="CV140">
            <v>8</v>
          </cell>
          <cell r="CW140">
            <v>8.8000000000000007</v>
          </cell>
          <cell r="CX140">
            <v>0</v>
          </cell>
          <cell r="CY140">
            <v>0</v>
          </cell>
          <cell r="CZ140">
            <v>0</v>
          </cell>
          <cell r="DA140">
            <v>0</v>
          </cell>
          <cell r="DB140">
            <v>0</v>
          </cell>
          <cell r="DC140">
            <v>0</v>
          </cell>
          <cell r="DD140">
            <v>0</v>
          </cell>
          <cell r="DE140">
            <v>0</v>
          </cell>
          <cell r="DF140">
            <v>0</v>
          </cell>
          <cell r="DG140">
            <v>0</v>
          </cell>
          <cell r="DH140">
            <v>8.3000000000000007</v>
          </cell>
          <cell r="DI140">
            <v>7.2</v>
          </cell>
          <cell r="DJ140">
            <v>6.5</v>
          </cell>
          <cell r="DK140">
            <v>9.5</v>
          </cell>
          <cell r="DL140">
            <v>9.6999999999999993</v>
          </cell>
          <cell r="DM140">
            <v>9.1999999999999993</v>
          </cell>
          <cell r="DN140">
            <v>9.1999999999999993</v>
          </cell>
          <cell r="DO140">
            <v>0</v>
          </cell>
          <cell r="DP140">
            <v>0</v>
          </cell>
          <cell r="DQ140">
            <v>8.1999999999999993</v>
          </cell>
          <cell r="DR140">
            <v>9.1</v>
          </cell>
          <cell r="DS140">
            <v>0</v>
          </cell>
          <cell r="DT140">
            <v>0</v>
          </cell>
          <cell r="DU140">
            <v>0</v>
          </cell>
          <cell r="DV140">
            <v>0</v>
          </cell>
          <cell r="DW140">
            <v>0</v>
          </cell>
          <cell r="DX140">
            <v>0</v>
          </cell>
          <cell r="DY140">
            <v>0</v>
          </cell>
          <cell r="DZ140">
            <v>0</v>
          </cell>
          <cell r="EA140">
            <v>0</v>
          </cell>
          <cell r="EB140">
            <v>0</v>
          </cell>
          <cell r="EC140">
            <v>3</v>
          </cell>
          <cell r="ED140">
            <v>6.5</v>
          </cell>
          <cell r="EG140">
            <v>6.6</v>
          </cell>
          <cell r="EI140">
            <v>5.25</v>
          </cell>
        </row>
        <row r="141">
          <cell r="A141">
            <v>382731611</v>
          </cell>
          <cell r="B141" t="str">
            <v>KSVBS2626461</v>
          </cell>
          <cell r="C141" t="str">
            <v>98</v>
          </cell>
          <cell r="D141" t="str">
            <v>NGUYỄN TRUNG VŨ</v>
          </cell>
          <cell r="E141" t="str">
            <v>0</v>
          </cell>
          <cell r="F141" t="str">
            <v>09/05/2008</v>
          </cell>
          <cell r="G141" t="str">
            <v>nguyenvux95@gmail.com</v>
          </cell>
          <cell r="H141" t="str">
            <v>0382731611</v>
          </cell>
          <cell r="I141" t="str">
            <v>038208002727</v>
          </cell>
          <cell r="J141" t="str">
            <v>Khu phố 1 Đức Thắng</v>
          </cell>
          <cell r="K141" t="str">
            <v>KV2</v>
          </cell>
          <cell r="M141" t="str">
            <v>Không có</v>
          </cell>
          <cell r="N141" t="str">
            <v>Kinh</v>
          </cell>
          <cell r="P141" t="str">
            <v>2026</v>
          </cell>
          <cell r="Q141" t="str">
            <v>68024623</v>
          </cell>
          <cell r="R141" t="str">
            <v>Không có</v>
          </cell>
          <cell r="S141" t="str">
            <v>Không có</v>
          </cell>
          <cell r="T141" t="str">
            <v>Không có</v>
          </cell>
          <cell r="U141" t="str">
            <v>400926</v>
          </cell>
          <cell r="V141" t="str">
            <v>D26381761</v>
          </cell>
          <cell r="W141" t="str">
            <v>575.00</v>
          </cell>
          <cell r="X141" t="str">
            <v>032320</v>
          </cell>
          <cell r="Y141" t="str">
            <v>D26139324</v>
          </cell>
          <cell r="Z141" t="str">
            <v>725.00</v>
          </cell>
          <cell r="AA141" t="str">
            <v>Không có</v>
          </cell>
          <cell r="AF141" t="str">
            <v>68N</v>
          </cell>
          <cell r="AG141" t="str">
            <v>323</v>
          </cell>
          <cell r="AH141" t="str">
            <v>THPT Phan Thiết</v>
          </cell>
          <cell r="AI141" t="str">
            <v>68N</v>
          </cell>
          <cell r="AJ141" t="str">
            <v>323</v>
          </cell>
          <cell r="AK141" t="str">
            <v>THPT Phan Thiết</v>
          </cell>
          <cell r="AL141" t="str">
            <v>68N</v>
          </cell>
          <cell r="AM141" t="str">
            <v>323</v>
          </cell>
          <cell r="AN141" t="str">
            <v>THPT Phan Thiết</v>
          </cell>
          <cell r="AO141" t="str">
            <v>GDPT2018</v>
          </cell>
          <cell r="AP141" t="str">
            <v>Khá</v>
          </cell>
          <cell r="AQ141" t="str">
            <v>7.22</v>
          </cell>
          <cell r="AR141" t="str">
            <v>6.36</v>
          </cell>
          <cell r="AS141" t="str">
            <v>6.37</v>
          </cell>
          <cell r="AT141" t="str">
            <v>7.22</v>
          </cell>
          <cell r="AU141" t="str">
            <v>True</v>
          </cell>
          <cell r="AW141" t="str">
            <v>7340201_3</v>
          </cell>
          <cell r="AX141" t="str">
            <v>Thuế</v>
          </cell>
          <cell r="AY141" t="str">
            <v>7380107</v>
          </cell>
          <cell r="AZ141" t="str">
            <v>Luật kinh tế</v>
          </cell>
          <cell r="BC141" t="str">
            <v>quynhlx</v>
          </cell>
          <cell r="BD141" t="str">
            <v>Bổ sung minh chứng</v>
          </cell>
          <cell r="BE141" t="str">
            <v>Bổ sung học bạ có mộc đỏ nha em</v>
          </cell>
          <cell r="BF141" t="str">
            <v>3</v>
          </cell>
          <cell r="BM141" t="str">
            <v>True</v>
          </cell>
          <cell r="BN141" t="str">
            <v>False</v>
          </cell>
          <cell r="BO141" t="str">
            <v>KQTHPT_139_038208002727.pdf</v>
          </cell>
          <cell r="BP141" t="str">
            <v>KQDGNL_139_038208002727.pdf</v>
          </cell>
          <cell r="BR141">
            <v>5.0999999999999996</v>
          </cell>
          <cell r="BS141">
            <v>5.9</v>
          </cell>
          <cell r="BT141">
            <v>5.8</v>
          </cell>
          <cell r="BU141">
            <v>7.7</v>
          </cell>
          <cell r="BV141">
            <v>5.8</v>
          </cell>
          <cell r="BW141">
            <v>7.4</v>
          </cell>
          <cell r="BX141">
            <v>0</v>
          </cell>
          <cell r="BY141">
            <v>6.6</v>
          </cell>
          <cell r="BZ141">
            <v>0</v>
          </cell>
          <cell r="CA141">
            <v>0</v>
          </cell>
          <cell r="CB141">
            <v>6.7</v>
          </cell>
          <cell r="CC141">
            <v>6.2</v>
          </cell>
          <cell r="CD141">
            <v>0</v>
          </cell>
          <cell r="CE141">
            <v>0</v>
          </cell>
          <cell r="CF141">
            <v>0</v>
          </cell>
          <cell r="CG141">
            <v>0</v>
          </cell>
          <cell r="CH141">
            <v>0</v>
          </cell>
          <cell r="CI141">
            <v>0</v>
          </cell>
          <cell r="CJ141">
            <v>0</v>
          </cell>
          <cell r="CK141">
            <v>0</v>
          </cell>
          <cell r="CL141">
            <v>0</v>
          </cell>
          <cell r="CM141">
            <v>5.4</v>
          </cell>
          <cell r="CN141">
            <v>5.3</v>
          </cell>
          <cell r="CO141">
            <v>5.8</v>
          </cell>
          <cell r="CP141">
            <v>7.4</v>
          </cell>
          <cell r="CQ141">
            <v>6.6</v>
          </cell>
          <cell r="CR141">
            <v>7.6</v>
          </cell>
          <cell r="CS141">
            <v>0</v>
          </cell>
          <cell r="CT141">
            <v>5.5</v>
          </cell>
          <cell r="CU141">
            <v>0</v>
          </cell>
          <cell r="CV141">
            <v>0</v>
          </cell>
          <cell r="CW141">
            <v>6.9</v>
          </cell>
          <cell r="CX141">
            <v>6.8</v>
          </cell>
          <cell r="CY141">
            <v>0</v>
          </cell>
          <cell r="CZ141">
            <v>0</v>
          </cell>
          <cell r="DA141">
            <v>0</v>
          </cell>
          <cell r="DB141">
            <v>0</v>
          </cell>
          <cell r="DC141">
            <v>0</v>
          </cell>
          <cell r="DD141">
            <v>0</v>
          </cell>
          <cell r="DE141">
            <v>0</v>
          </cell>
          <cell r="DF141">
            <v>0</v>
          </cell>
          <cell r="DG141">
            <v>0</v>
          </cell>
          <cell r="DH141">
            <v>7.1</v>
          </cell>
          <cell r="DI141">
            <v>5.5</v>
          </cell>
          <cell r="DJ141">
            <v>6.4</v>
          </cell>
          <cell r="DK141">
            <v>7.6</v>
          </cell>
          <cell r="DL141">
            <v>7.4</v>
          </cell>
          <cell r="DM141">
            <v>7.7</v>
          </cell>
          <cell r="DN141">
            <v>0</v>
          </cell>
          <cell r="DO141">
            <v>6.4</v>
          </cell>
          <cell r="DP141">
            <v>0</v>
          </cell>
          <cell r="DQ141">
            <v>0</v>
          </cell>
          <cell r="DR141">
            <v>8.5</v>
          </cell>
          <cell r="DS141">
            <v>8.4</v>
          </cell>
          <cell r="DT141">
            <v>0</v>
          </cell>
          <cell r="DU141">
            <v>0</v>
          </cell>
          <cell r="DV141">
            <v>0</v>
          </cell>
          <cell r="DW141">
            <v>0</v>
          </cell>
          <cell r="DX141">
            <v>0</v>
          </cell>
          <cell r="DY141">
            <v>0</v>
          </cell>
          <cell r="DZ141">
            <v>0</v>
          </cell>
          <cell r="EA141">
            <v>0</v>
          </cell>
          <cell r="EB141">
            <v>0</v>
          </cell>
          <cell r="EC141">
            <v>6.25</v>
          </cell>
          <cell r="ED141">
            <v>6.25</v>
          </cell>
          <cell r="EE141">
            <v>3.75</v>
          </cell>
          <cell r="EG141">
            <v>6.35</v>
          </cell>
        </row>
        <row r="142">
          <cell r="A142">
            <v>325730409</v>
          </cell>
          <cell r="B142" t="str">
            <v>KSVBS2610292</v>
          </cell>
          <cell r="C142" t="str">
            <v>108</v>
          </cell>
          <cell r="D142" t="str">
            <v>LÊ BẢO TRÂM</v>
          </cell>
          <cell r="E142" t="str">
            <v>1</v>
          </cell>
          <cell r="F142" t="str">
            <v>17/07/2008</v>
          </cell>
          <cell r="G142" t="str">
            <v>tramlebao118@gmail.com</v>
          </cell>
          <cell r="H142" t="str">
            <v>0325730409</v>
          </cell>
          <cell r="I142" t="str">
            <v>066308009933</v>
          </cell>
          <cell r="J142" t="str">
            <v>thôn Quỳnh Ngọc</v>
          </cell>
          <cell r="K142" t="str">
            <v>KV1</v>
          </cell>
          <cell r="M142" t="str">
            <v>Không có</v>
          </cell>
          <cell r="N142" t="str">
            <v>Kinh</v>
          </cell>
          <cell r="P142" t="str">
            <v>2026</v>
          </cell>
          <cell r="Q142" t="str">
            <v>66012061</v>
          </cell>
          <cell r="R142" t="str">
            <v>Không có</v>
          </cell>
          <cell r="S142" t="str">
            <v>Không có</v>
          </cell>
          <cell r="T142" t="str">
            <v>Không có</v>
          </cell>
          <cell r="W142" t="str">
            <v>0.00</v>
          </cell>
          <cell r="X142" t="str">
            <v>450488</v>
          </cell>
          <cell r="Y142" t="str">
            <v>D26860710</v>
          </cell>
          <cell r="Z142" t="str">
            <v>757.00</v>
          </cell>
          <cell r="AA142" t="str">
            <v>Không có</v>
          </cell>
          <cell r="AF142" t="str">
            <v>66N</v>
          </cell>
          <cell r="AG142" t="str">
            <v>039</v>
          </cell>
          <cell r="AH142" t="str">
            <v>Trường THPT số 1 Phạm Văn Đồng</v>
          </cell>
          <cell r="AI142" t="str">
            <v>66N</v>
          </cell>
          <cell r="AJ142" t="str">
            <v>039</v>
          </cell>
          <cell r="AK142" t="str">
            <v>Trường THPT số 1 Phạm Văn Đồng</v>
          </cell>
          <cell r="AL142" t="str">
            <v>66N</v>
          </cell>
          <cell r="AM142" t="str">
            <v>039</v>
          </cell>
          <cell r="AN142" t="str">
            <v>Trường THPT số 1 Phạm Văn Đồng</v>
          </cell>
          <cell r="AO142" t="str">
            <v>GDPT2018</v>
          </cell>
          <cell r="AP142" t="str">
            <v>Giỏi</v>
          </cell>
          <cell r="AQ142" t="str">
            <v>8.01</v>
          </cell>
          <cell r="AR142" t="str">
            <v>8.30</v>
          </cell>
          <cell r="AS142" t="str">
            <v>8.17</v>
          </cell>
          <cell r="AT142" t="str">
            <v>8.54</v>
          </cell>
          <cell r="AU142" t="str">
            <v>True</v>
          </cell>
          <cell r="AW142" t="str">
            <v>7380107</v>
          </cell>
          <cell r="AX142" t="str">
            <v>Luật kinh tế</v>
          </cell>
          <cell r="AY142" t="str">
            <v>7340201_3</v>
          </cell>
          <cell r="AZ142" t="str">
            <v>Thuế</v>
          </cell>
          <cell r="BC142" t="str">
            <v>phamhuong</v>
          </cell>
          <cell r="BD142" t="str">
            <v>Đã được tiếp nhận</v>
          </cell>
          <cell r="BF142" t="str">
            <v>3</v>
          </cell>
          <cell r="BM142" t="str">
            <v>True</v>
          </cell>
          <cell r="BN142" t="str">
            <v>False</v>
          </cell>
          <cell r="BO142" t="str">
            <v>KQTHPT_140_066308009933.pdf</v>
          </cell>
          <cell r="BP142" t="str">
            <v>KQDGNL_140_066308009933.pdf</v>
          </cell>
          <cell r="BR142">
            <v>8</v>
          </cell>
          <cell r="BS142">
            <v>8.1999999999999993</v>
          </cell>
          <cell r="BT142">
            <v>7.6</v>
          </cell>
          <cell r="BU142">
            <v>8.3000000000000007</v>
          </cell>
          <cell r="BV142">
            <v>8.5</v>
          </cell>
          <cell r="BW142">
            <v>0</v>
          </cell>
          <cell r="BX142">
            <v>0</v>
          </cell>
          <cell r="BY142">
            <v>8.8000000000000007</v>
          </cell>
          <cell r="BZ142">
            <v>8.1</v>
          </cell>
          <cell r="CA142">
            <v>8.3000000000000007</v>
          </cell>
          <cell r="CB142">
            <v>0</v>
          </cell>
          <cell r="CC142">
            <v>8.9</v>
          </cell>
          <cell r="CD142">
            <v>0</v>
          </cell>
          <cell r="CE142">
            <v>0</v>
          </cell>
          <cell r="CF142">
            <v>0</v>
          </cell>
          <cell r="CG142">
            <v>0</v>
          </cell>
          <cell r="CH142">
            <v>0</v>
          </cell>
          <cell r="CI142">
            <v>0</v>
          </cell>
          <cell r="CJ142">
            <v>0</v>
          </cell>
          <cell r="CK142">
            <v>0</v>
          </cell>
          <cell r="CL142">
            <v>0</v>
          </cell>
          <cell r="CM142">
            <v>8</v>
          </cell>
          <cell r="CN142">
            <v>7.1</v>
          </cell>
          <cell r="CO142">
            <v>8.6</v>
          </cell>
          <cell r="CP142">
            <v>7.8</v>
          </cell>
          <cell r="CQ142">
            <v>8.3000000000000007</v>
          </cell>
          <cell r="CR142">
            <v>0</v>
          </cell>
          <cell r="CS142">
            <v>0</v>
          </cell>
          <cell r="CT142">
            <v>8.6999999999999993</v>
          </cell>
          <cell r="CU142">
            <v>8.3000000000000007</v>
          </cell>
          <cell r="CV142">
            <v>8.4</v>
          </cell>
          <cell r="CW142">
            <v>0</v>
          </cell>
          <cell r="CX142">
            <v>8.3000000000000007</v>
          </cell>
          <cell r="CY142">
            <v>0</v>
          </cell>
          <cell r="CZ142">
            <v>0</v>
          </cell>
          <cell r="DA142">
            <v>0</v>
          </cell>
          <cell r="DB142">
            <v>0</v>
          </cell>
          <cell r="DC142">
            <v>0</v>
          </cell>
          <cell r="DD142">
            <v>0</v>
          </cell>
          <cell r="DE142">
            <v>0</v>
          </cell>
          <cell r="DF142">
            <v>0</v>
          </cell>
          <cell r="DG142">
            <v>0</v>
          </cell>
          <cell r="DH142">
            <v>8.5</v>
          </cell>
          <cell r="DI142">
            <v>7</v>
          </cell>
          <cell r="DJ142">
            <v>8.8000000000000007</v>
          </cell>
          <cell r="DK142">
            <v>9.1999999999999993</v>
          </cell>
          <cell r="DL142">
            <v>8.3000000000000007</v>
          </cell>
          <cell r="DM142">
            <v>0</v>
          </cell>
          <cell r="DN142">
            <v>0</v>
          </cell>
          <cell r="DO142">
            <v>9.1</v>
          </cell>
          <cell r="DP142">
            <v>8.3000000000000007</v>
          </cell>
          <cell r="DQ142">
            <v>8.8000000000000007</v>
          </cell>
          <cell r="DR142">
            <v>0</v>
          </cell>
          <cell r="DS142">
            <v>8.9</v>
          </cell>
          <cell r="DT142">
            <v>0</v>
          </cell>
          <cell r="DU142">
            <v>0</v>
          </cell>
          <cell r="DV142">
            <v>0</v>
          </cell>
          <cell r="DW142">
            <v>0</v>
          </cell>
          <cell r="DX142">
            <v>0</v>
          </cell>
          <cell r="DY142">
            <v>0</v>
          </cell>
          <cell r="DZ142">
            <v>0</v>
          </cell>
          <cell r="EA142">
            <v>0</v>
          </cell>
          <cell r="EB142">
            <v>0</v>
          </cell>
          <cell r="EC142">
            <v>7.5</v>
          </cell>
          <cell r="ED142">
            <v>6.5</v>
          </cell>
          <cell r="EE142">
            <v>4.5</v>
          </cell>
          <cell r="EJ142">
            <v>6.25</v>
          </cell>
        </row>
        <row r="143">
          <cell r="A143">
            <v>0</v>
          </cell>
          <cell r="D143" t="str">
            <v>LÊ THẢO VI</v>
          </cell>
          <cell r="E143" t="str">
            <v>0</v>
          </cell>
          <cell r="F143" t="str">
            <v>15/11/2008</v>
          </cell>
          <cell r="G143" t="str">
            <v>levi38118@gmail.com</v>
          </cell>
          <cell r="I143" t="str">
            <v>034308009866</v>
          </cell>
          <cell r="BD143" t="str">
            <v>Chưa hoàn thành</v>
          </cell>
          <cell r="BF143" t="str">
            <v>3</v>
          </cell>
          <cell r="BR143">
            <v>8.1</v>
          </cell>
          <cell r="BS143">
            <v>7.3</v>
          </cell>
          <cell r="BT143">
            <v>8</v>
          </cell>
          <cell r="BU143">
            <v>9.9</v>
          </cell>
          <cell r="BV143">
            <v>8.6999999999999993</v>
          </cell>
          <cell r="BW143">
            <v>0</v>
          </cell>
          <cell r="BX143">
            <v>7.6</v>
          </cell>
          <cell r="BY143">
            <v>6.8</v>
          </cell>
          <cell r="BZ143">
            <v>0</v>
          </cell>
          <cell r="CA143">
            <v>0</v>
          </cell>
          <cell r="CB143">
            <v>9.6999999999999993</v>
          </cell>
          <cell r="CC143">
            <v>9.6</v>
          </cell>
          <cell r="CD143">
            <v>0</v>
          </cell>
          <cell r="CE143">
            <v>0</v>
          </cell>
          <cell r="CF143">
            <v>0</v>
          </cell>
          <cell r="CG143">
            <v>0</v>
          </cell>
          <cell r="CH143">
            <v>0</v>
          </cell>
          <cell r="CI143">
            <v>0</v>
          </cell>
          <cell r="CJ143">
            <v>0</v>
          </cell>
          <cell r="CK143">
            <v>0</v>
          </cell>
          <cell r="CL143">
            <v>0</v>
          </cell>
          <cell r="CM143">
            <v>8.5</v>
          </cell>
          <cell r="CN143">
            <v>7.7</v>
          </cell>
          <cell r="CO143">
            <v>8.3000000000000007</v>
          </cell>
          <cell r="CP143">
            <v>9.4</v>
          </cell>
          <cell r="CQ143">
            <v>9.6999999999999993</v>
          </cell>
          <cell r="CR143">
            <v>0</v>
          </cell>
          <cell r="CS143">
            <v>9.4</v>
          </cell>
          <cell r="CT143">
            <v>9.1999999999999993</v>
          </cell>
          <cell r="CU143">
            <v>0</v>
          </cell>
          <cell r="CV143">
            <v>0</v>
          </cell>
          <cell r="CW143">
            <v>9.6999999999999993</v>
          </cell>
          <cell r="CX143">
            <v>9.4</v>
          </cell>
          <cell r="CY143">
            <v>0</v>
          </cell>
          <cell r="CZ143">
            <v>0</v>
          </cell>
          <cell r="DA143">
            <v>0</v>
          </cell>
          <cell r="DB143">
            <v>0</v>
          </cell>
          <cell r="DC143">
            <v>0</v>
          </cell>
          <cell r="DD143">
            <v>0</v>
          </cell>
          <cell r="DE143">
            <v>0</v>
          </cell>
          <cell r="DF143">
            <v>0</v>
          </cell>
          <cell r="DG143">
            <v>0</v>
          </cell>
          <cell r="DH143">
            <v>8.6</v>
          </cell>
          <cell r="DI143">
            <v>8</v>
          </cell>
          <cell r="DJ143">
            <v>9</v>
          </cell>
          <cell r="DK143">
            <v>9.9</v>
          </cell>
          <cell r="DL143">
            <v>8.8000000000000007</v>
          </cell>
          <cell r="DM143">
            <v>0</v>
          </cell>
          <cell r="DN143">
            <v>9.5</v>
          </cell>
          <cell r="DO143">
            <v>9.1</v>
          </cell>
          <cell r="DP143">
            <v>0</v>
          </cell>
          <cell r="DQ143">
            <v>0</v>
          </cell>
          <cell r="DR143">
            <v>9.8000000000000007</v>
          </cell>
          <cell r="DS143">
            <v>9.6</v>
          </cell>
          <cell r="DT143">
            <v>0</v>
          </cell>
          <cell r="DU143">
            <v>0</v>
          </cell>
          <cell r="DV143">
            <v>0</v>
          </cell>
          <cell r="DW143">
            <v>0</v>
          </cell>
          <cell r="DX143">
            <v>0</v>
          </cell>
          <cell r="DY143">
            <v>0</v>
          </cell>
          <cell r="DZ143">
            <v>0</v>
          </cell>
          <cell r="EA143">
            <v>0</v>
          </cell>
          <cell r="EB143">
            <v>0</v>
          </cell>
        </row>
        <row r="144">
          <cell r="A144">
            <v>365857417</v>
          </cell>
          <cell r="B144" t="str">
            <v>KSVBS2613966</v>
          </cell>
          <cell r="C144" t="str">
            <v>99</v>
          </cell>
          <cell r="D144" t="str">
            <v>NGUYỄN NGỌC BẢO LOAN</v>
          </cell>
          <cell r="E144" t="str">
            <v>1</v>
          </cell>
          <cell r="F144" t="str">
            <v>31/01/2007</v>
          </cell>
          <cell r="G144" t="str">
            <v>nguyenngocbaoloan910@gmail.com</v>
          </cell>
          <cell r="H144" t="str">
            <v>0365857417</v>
          </cell>
          <cell r="I144" t="str">
            <v>038307007810</v>
          </cell>
          <cell r="J144" t="str">
            <v xml:space="preserve">tổ 5, khu phố Tân Phú, phường Tân Triều, tỉnh Đồng Nai </v>
          </cell>
          <cell r="K144" t="str">
            <v>KV2-NT</v>
          </cell>
          <cell r="M144" t="str">
            <v>Không có</v>
          </cell>
          <cell r="N144" t="str">
            <v>Kinh</v>
          </cell>
          <cell r="P144" t="str">
            <v>2025</v>
          </cell>
          <cell r="Q144" t="str">
            <v>75003150</v>
          </cell>
          <cell r="R144" t="str">
            <v>Không có</v>
          </cell>
          <cell r="S144" t="str">
            <v>Không có</v>
          </cell>
          <cell r="T144" t="str">
            <v>Không có</v>
          </cell>
          <cell r="AA144" t="str">
            <v>Không có</v>
          </cell>
          <cell r="AF144" t="str">
            <v>75N</v>
          </cell>
          <cell r="AG144" t="str">
            <v>025</v>
          </cell>
          <cell r="AH144" t="str">
            <v>THPT Vĩnh Cửu</v>
          </cell>
          <cell r="AI144" t="str">
            <v>75N</v>
          </cell>
          <cell r="AJ144" t="str">
            <v>025</v>
          </cell>
          <cell r="AK144" t="str">
            <v>THPT Vĩnh Cửu</v>
          </cell>
          <cell r="AL144" t="str">
            <v>75N</v>
          </cell>
          <cell r="AM144" t="str">
            <v>025</v>
          </cell>
          <cell r="AN144" t="str">
            <v>THPT Vĩnh Cửu</v>
          </cell>
          <cell r="AO144" t="str">
            <v>GDPT2018</v>
          </cell>
          <cell r="AP144" t="str">
            <v>Tốt</v>
          </cell>
          <cell r="AQ144" t="str">
            <v>8.74</v>
          </cell>
          <cell r="AR144" t="str">
            <v>8.18</v>
          </cell>
          <cell r="AS144" t="str">
            <v>8.72</v>
          </cell>
          <cell r="AT144" t="str">
            <v>8.74</v>
          </cell>
          <cell r="AU144" t="str">
            <v>False</v>
          </cell>
          <cell r="AW144" t="str">
            <v>7480201</v>
          </cell>
          <cell r="AX144" t="str">
            <v>Công nghệ và đổi mới sáng tạo</v>
          </cell>
          <cell r="AY144" t="str">
            <v>7620114</v>
          </cell>
          <cell r="AZ144" t="str">
            <v>Kinh doanh nông nghiệp</v>
          </cell>
          <cell r="BA144" t="str">
            <v>7340201_3</v>
          </cell>
          <cell r="BB144" t="str">
            <v>Thuế</v>
          </cell>
          <cell r="BC144" t="str">
            <v>quynhlx</v>
          </cell>
          <cell r="BD144" t="str">
            <v>Đã được tiếp nhận</v>
          </cell>
          <cell r="BE144" t="str">
            <v>Lưu ý UEH Mekong chỉ xét điểm thi VSAT do Đại học Cần Thơ tổ chức nha em</v>
          </cell>
          <cell r="BF144" t="str">
            <v>3</v>
          </cell>
          <cell r="BM144" t="str">
            <v>True</v>
          </cell>
          <cell r="BN144" t="str">
            <v>True</v>
          </cell>
          <cell r="BO144" t="str">
            <v>KQTHPT_142_038307007810.pdf</v>
          </cell>
          <cell r="BQ144" t="str">
            <v>KQVSAT_142_038307007810.pdf</v>
          </cell>
          <cell r="BR144">
            <v>7.8</v>
          </cell>
          <cell r="BS144">
            <v>7.7</v>
          </cell>
          <cell r="BT144">
            <v>8.1</v>
          </cell>
          <cell r="BU144">
            <v>8.5</v>
          </cell>
          <cell r="BV144">
            <v>8.3000000000000007</v>
          </cell>
          <cell r="BW144">
            <v>0</v>
          </cell>
          <cell r="BX144">
            <v>8.1</v>
          </cell>
          <cell r="BY144">
            <v>7.6</v>
          </cell>
          <cell r="BZ144">
            <v>0</v>
          </cell>
          <cell r="CA144">
            <v>8</v>
          </cell>
          <cell r="CB144">
            <v>9.5</v>
          </cell>
          <cell r="CC144">
            <v>0</v>
          </cell>
          <cell r="CD144">
            <v>0</v>
          </cell>
          <cell r="CE144">
            <v>0</v>
          </cell>
          <cell r="CF144">
            <v>0</v>
          </cell>
          <cell r="CG144">
            <v>0</v>
          </cell>
          <cell r="CH144">
            <v>0</v>
          </cell>
          <cell r="CI144">
            <v>0</v>
          </cell>
          <cell r="CJ144">
            <v>0</v>
          </cell>
          <cell r="CK144">
            <v>0</v>
          </cell>
          <cell r="CL144">
            <v>0</v>
          </cell>
          <cell r="CM144">
            <v>8.3000000000000007</v>
          </cell>
          <cell r="CN144">
            <v>8.4</v>
          </cell>
          <cell r="CO144">
            <v>9</v>
          </cell>
          <cell r="CP144">
            <v>9.4</v>
          </cell>
          <cell r="CQ144">
            <v>9.1</v>
          </cell>
          <cell r="CR144">
            <v>0</v>
          </cell>
          <cell r="CS144">
            <v>8.9</v>
          </cell>
          <cell r="CT144">
            <v>9.3000000000000007</v>
          </cell>
          <cell r="CU144">
            <v>0</v>
          </cell>
          <cell r="CV144">
            <v>7.6</v>
          </cell>
          <cell r="CW144">
            <v>8.5</v>
          </cell>
          <cell r="CX144">
            <v>0</v>
          </cell>
          <cell r="CY144">
            <v>0</v>
          </cell>
          <cell r="CZ144">
            <v>0</v>
          </cell>
          <cell r="DA144">
            <v>0</v>
          </cell>
          <cell r="DB144">
            <v>0</v>
          </cell>
          <cell r="DC144">
            <v>0</v>
          </cell>
          <cell r="DD144">
            <v>0</v>
          </cell>
          <cell r="DE144">
            <v>0</v>
          </cell>
          <cell r="DF144">
            <v>0</v>
          </cell>
          <cell r="DG144">
            <v>0</v>
          </cell>
          <cell r="DH144">
            <v>8.6</v>
          </cell>
          <cell r="DI144">
            <v>8.1</v>
          </cell>
          <cell r="DJ144">
            <v>8.6999999999999993</v>
          </cell>
          <cell r="DK144">
            <v>9.6999999999999993</v>
          </cell>
          <cell r="DL144">
            <v>8.6999999999999993</v>
          </cell>
          <cell r="DM144">
            <v>0</v>
          </cell>
          <cell r="DN144">
            <v>8.6999999999999993</v>
          </cell>
          <cell r="DO144">
            <v>9.3000000000000007</v>
          </cell>
          <cell r="DP144">
            <v>0</v>
          </cell>
          <cell r="DQ144">
            <v>8.1</v>
          </cell>
          <cell r="DR144">
            <v>8.8000000000000007</v>
          </cell>
          <cell r="DS144">
            <v>0</v>
          </cell>
          <cell r="DT144">
            <v>0</v>
          </cell>
          <cell r="DU144">
            <v>0</v>
          </cell>
          <cell r="DV144">
            <v>0</v>
          </cell>
          <cell r="DW144">
            <v>0</v>
          </cell>
          <cell r="DX144">
            <v>0</v>
          </cell>
          <cell r="DY144">
            <v>0</v>
          </cell>
          <cell r="DZ144">
            <v>0</v>
          </cell>
          <cell r="EA144">
            <v>0</v>
          </cell>
          <cell r="EB144">
            <v>0</v>
          </cell>
          <cell r="EC144">
            <v>6.75</v>
          </cell>
          <cell r="ED144">
            <v>6.25</v>
          </cell>
          <cell r="EE144">
            <v>4.25</v>
          </cell>
          <cell r="EJ144">
            <v>7.25</v>
          </cell>
          <cell r="EW144">
            <v>86</v>
          </cell>
          <cell r="EY144">
            <v>83.5</v>
          </cell>
          <cell r="FB144">
            <v>105.5</v>
          </cell>
        </row>
        <row r="145">
          <cell r="A145">
            <v>962190726</v>
          </cell>
          <cell r="B145" t="str">
            <v>KSVBS2631437</v>
          </cell>
          <cell r="C145" t="str">
            <v>101</v>
          </cell>
          <cell r="D145" t="str">
            <v>VÕ TUYẾT LÊ</v>
          </cell>
          <cell r="E145" t="str">
            <v>1</v>
          </cell>
          <cell r="F145" t="str">
            <v>08/02/2007</v>
          </cell>
          <cell r="G145" t="str">
            <v>votuyetle2007@gmail.com</v>
          </cell>
          <cell r="H145" t="str">
            <v>0962190726</v>
          </cell>
          <cell r="I145" t="str">
            <v>058307004501</v>
          </cell>
          <cell r="J145" t="str">
            <v>97/3 G ấp 65, đường Phạm Thị Giây, xã Đông Thạnh, thành phố Hồ Chí Minh</v>
          </cell>
          <cell r="K145" t="str">
            <v>KV2</v>
          </cell>
          <cell r="M145" t="str">
            <v>Không có</v>
          </cell>
          <cell r="N145" t="str">
            <v>Kinh</v>
          </cell>
          <cell r="P145" t="str">
            <v>2025</v>
          </cell>
          <cell r="Q145" t="str">
            <v>79088789</v>
          </cell>
          <cell r="R145" t="str">
            <v>Không có</v>
          </cell>
          <cell r="S145" t="str">
            <v>Không có</v>
          </cell>
          <cell r="T145" t="str">
            <v>Không có</v>
          </cell>
          <cell r="AA145" t="str">
            <v>Không có</v>
          </cell>
          <cell r="AF145" t="str">
            <v>79N</v>
          </cell>
          <cell r="AG145" t="str">
            <v>100</v>
          </cell>
          <cell r="AH145" t="str">
            <v>THPT Nguyễn Hữu Tiến</v>
          </cell>
          <cell r="AI145" t="str">
            <v>79N</v>
          </cell>
          <cell r="AJ145" t="str">
            <v>100</v>
          </cell>
          <cell r="AK145" t="str">
            <v>THPT Nguyễn Hữu Tiến</v>
          </cell>
          <cell r="AL145" t="str">
            <v>79N</v>
          </cell>
          <cell r="AM145" t="str">
            <v>100</v>
          </cell>
          <cell r="AN145" t="str">
            <v>THPT Nguyễn Hữu Tiến</v>
          </cell>
          <cell r="AO145" t="str">
            <v>GDPT2018</v>
          </cell>
          <cell r="AP145" t="str">
            <v>Khá</v>
          </cell>
          <cell r="AQ145" t="str">
            <v>7.06</v>
          </cell>
          <cell r="AR145" t="str">
            <v>7.48</v>
          </cell>
          <cell r="AS145" t="str">
            <v>7.71</v>
          </cell>
          <cell r="AT145" t="str">
            <v>7.58</v>
          </cell>
          <cell r="AU145" t="str">
            <v>False</v>
          </cell>
          <cell r="AW145" t="str">
            <v>7340201_3</v>
          </cell>
          <cell r="AX145" t="str">
            <v>Thuế</v>
          </cell>
          <cell r="AY145" t="str">
            <v>7380107</v>
          </cell>
          <cell r="AZ145" t="str">
            <v>Luật kinh tế</v>
          </cell>
          <cell r="BA145" t="str">
            <v>7340122</v>
          </cell>
          <cell r="BB145" t="str">
            <v>Thương mại điện tử</v>
          </cell>
          <cell r="BC145" t="str">
            <v>quynhlx</v>
          </cell>
          <cell r="BD145" t="str">
            <v>Đã được tiếp nhận</v>
          </cell>
          <cell r="BE145" t="str">
            <v xml:space="preserve">- Bổ sung học bạ THPT Em chụp đầy đủ tất cả các trang trong học bạ:
• Trang thông tin học sinh
• Kết quả học tập 10,11,12
• Kết quả rèn luyện, nhận xét lớp 10, 11, 12
=&gt; Hình ảnh phải rõ nét, đầy đủ chữ ký và dấu mộc trường THPT
- Bổ sung tệp Giấy chứng nhận kết quả thi tốt nghiệp THPT năm 2026 (định dạng PDF)
</v>
          </cell>
          <cell r="BF145" t="str">
            <v>3</v>
          </cell>
          <cell r="BM145" t="str">
            <v>True</v>
          </cell>
          <cell r="BN145" t="str">
            <v>False</v>
          </cell>
          <cell r="BO145" t="str">
            <v>KQTHPT_143_058307004501.pdf</v>
          </cell>
          <cell r="BR145">
            <v>7.7</v>
          </cell>
          <cell r="BS145">
            <v>7</v>
          </cell>
          <cell r="BT145">
            <v>4.8</v>
          </cell>
          <cell r="BU145">
            <v>8.3000000000000007</v>
          </cell>
          <cell r="BV145">
            <v>7.6</v>
          </cell>
          <cell r="BW145">
            <v>9.1</v>
          </cell>
          <cell r="BX145">
            <v>0</v>
          </cell>
          <cell r="BY145">
            <v>6.5</v>
          </cell>
          <cell r="BZ145">
            <v>0</v>
          </cell>
          <cell r="CA145">
            <v>7.9</v>
          </cell>
          <cell r="CB145">
            <v>0</v>
          </cell>
          <cell r="CC145">
            <v>8.4</v>
          </cell>
          <cell r="CD145">
            <v>0</v>
          </cell>
          <cell r="CE145">
            <v>0</v>
          </cell>
          <cell r="CF145">
            <v>0</v>
          </cell>
          <cell r="CG145">
            <v>0</v>
          </cell>
          <cell r="CH145">
            <v>0</v>
          </cell>
          <cell r="CI145">
            <v>0</v>
          </cell>
          <cell r="CJ145">
            <v>0</v>
          </cell>
          <cell r="CK145">
            <v>0</v>
          </cell>
          <cell r="CL145">
            <v>0</v>
          </cell>
          <cell r="CM145">
            <v>7.2</v>
          </cell>
          <cell r="CN145">
            <v>7.6</v>
          </cell>
          <cell r="CO145">
            <v>5.2</v>
          </cell>
          <cell r="CP145">
            <v>8.1</v>
          </cell>
          <cell r="CQ145">
            <v>8.4</v>
          </cell>
          <cell r="CR145">
            <v>9</v>
          </cell>
          <cell r="CS145">
            <v>0</v>
          </cell>
          <cell r="CT145">
            <v>6.3</v>
          </cell>
          <cell r="CU145">
            <v>0</v>
          </cell>
          <cell r="CV145">
            <v>8.1</v>
          </cell>
          <cell r="CW145">
            <v>0</v>
          </cell>
          <cell r="CX145">
            <v>9.5</v>
          </cell>
          <cell r="CY145">
            <v>0</v>
          </cell>
          <cell r="CZ145">
            <v>0</v>
          </cell>
          <cell r="DA145">
            <v>0</v>
          </cell>
          <cell r="DB145">
            <v>0</v>
          </cell>
          <cell r="DC145">
            <v>0</v>
          </cell>
          <cell r="DD145">
            <v>0</v>
          </cell>
          <cell r="DE145">
            <v>0</v>
          </cell>
          <cell r="DF145">
            <v>0</v>
          </cell>
          <cell r="DG145">
            <v>0</v>
          </cell>
          <cell r="DH145">
            <v>6.3</v>
          </cell>
          <cell r="DI145">
            <v>8.4</v>
          </cell>
          <cell r="DJ145">
            <v>6.2</v>
          </cell>
          <cell r="DK145">
            <v>8.4</v>
          </cell>
          <cell r="DL145">
            <v>7.7</v>
          </cell>
          <cell r="DM145">
            <v>8</v>
          </cell>
          <cell r="DN145">
            <v>0</v>
          </cell>
          <cell r="DO145">
            <v>6.5</v>
          </cell>
          <cell r="DP145">
            <v>0</v>
          </cell>
          <cell r="DQ145">
            <v>7.7</v>
          </cell>
          <cell r="DR145">
            <v>0</v>
          </cell>
          <cell r="DS145">
            <v>9</v>
          </cell>
          <cell r="DT145">
            <v>0</v>
          </cell>
          <cell r="DU145">
            <v>0</v>
          </cell>
          <cell r="DV145">
            <v>0</v>
          </cell>
          <cell r="DW145">
            <v>0</v>
          </cell>
          <cell r="DX145">
            <v>0</v>
          </cell>
          <cell r="DY145">
            <v>0</v>
          </cell>
          <cell r="DZ145">
            <v>0</v>
          </cell>
          <cell r="EA145">
            <v>0</v>
          </cell>
          <cell r="EB145">
            <v>0</v>
          </cell>
          <cell r="EC145">
            <v>7</v>
          </cell>
          <cell r="EE145">
            <v>4.75</v>
          </cell>
          <cell r="EJ145">
            <v>5.35</v>
          </cell>
        </row>
        <row r="146">
          <cell r="A146">
            <v>0</v>
          </cell>
          <cell r="D146" t="str">
            <v>NGUYỄN HOÀNG GIA BẢO</v>
          </cell>
          <cell r="E146" t="str">
            <v>0</v>
          </cell>
          <cell r="F146" t="str">
            <v>13/08/2008</v>
          </cell>
          <cell r="G146" t="str">
            <v>bao13080800@gmail.com</v>
          </cell>
          <cell r="I146" t="str">
            <v>080208009583</v>
          </cell>
          <cell r="BD146" t="str">
            <v>Chưa hoàn thành</v>
          </cell>
          <cell r="BF146" t="str">
            <v>3</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v>0</v>
          </cell>
          <cell r="DU146">
            <v>0</v>
          </cell>
          <cell r="DV146">
            <v>0</v>
          </cell>
          <cell r="DW146">
            <v>0</v>
          </cell>
          <cell r="DX146">
            <v>0</v>
          </cell>
          <cell r="DY146">
            <v>0</v>
          </cell>
          <cell r="DZ146">
            <v>0</v>
          </cell>
          <cell r="EA146">
            <v>0</v>
          </cell>
          <cell r="EB146">
            <v>0</v>
          </cell>
        </row>
        <row r="147">
          <cell r="A147">
            <v>972505985</v>
          </cell>
          <cell r="B147" t="str">
            <v>KSVBS2621873</v>
          </cell>
          <cell r="C147" t="str">
            <v>106</v>
          </cell>
          <cell r="D147" t="str">
            <v>NGUYỄN THU HẰNG</v>
          </cell>
          <cell r="E147" t="str">
            <v>1</v>
          </cell>
          <cell r="F147" t="str">
            <v>20/04/2008</v>
          </cell>
          <cell r="G147" t="str">
            <v>nhhang2@gmail.com</v>
          </cell>
          <cell r="H147" t="str">
            <v>0972505985</v>
          </cell>
          <cell r="I147" t="str">
            <v>033308007672</v>
          </cell>
          <cell r="J147" t="str">
            <v xml:space="preserve">Tổ dân phố Phúc Xá </v>
          </cell>
          <cell r="K147" t="str">
            <v>KV2</v>
          </cell>
          <cell r="M147" t="str">
            <v>Không có</v>
          </cell>
          <cell r="N147" t="str">
            <v>Kinh</v>
          </cell>
          <cell r="P147" t="str">
            <v>2026</v>
          </cell>
          <cell r="Q147" t="str">
            <v>33005334</v>
          </cell>
          <cell r="R147" t="str">
            <v>Không có</v>
          </cell>
          <cell r="S147" t="str">
            <v>Không có</v>
          </cell>
          <cell r="T147" t="str">
            <v>Không có</v>
          </cell>
          <cell r="AA147" t="str">
            <v>Không có</v>
          </cell>
          <cell r="AF147" t="str">
            <v>33N</v>
          </cell>
          <cell r="AG147" t="str">
            <v>011</v>
          </cell>
          <cell r="AH147" t="str">
            <v>Trường THPT Mỹ Hào</v>
          </cell>
          <cell r="AI147" t="str">
            <v>33N</v>
          </cell>
          <cell r="AJ147" t="str">
            <v>011</v>
          </cell>
          <cell r="AK147" t="str">
            <v>Trường THPT Mỹ Hào</v>
          </cell>
          <cell r="AL147" t="str">
            <v>33N</v>
          </cell>
          <cell r="AM147" t="str">
            <v>011</v>
          </cell>
          <cell r="AN147" t="str">
            <v>Trường THPT Mỹ Hào</v>
          </cell>
          <cell r="AO147" t="str">
            <v>GDPT2018</v>
          </cell>
          <cell r="AP147" t="str">
            <v>Giỏi</v>
          </cell>
          <cell r="AQ147" t="str">
            <v>8.21</v>
          </cell>
          <cell r="AR147" t="str">
            <v>8.59</v>
          </cell>
          <cell r="AS147" t="str">
            <v>8.52</v>
          </cell>
          <cell r="AT147" t="str">
            <v>8.66</v>
          </cell>
          <cell r="AU147" t="str">
            <v>False</v>
          </cell>
          <cell r="AW147" t="str">
            <v>7220201</v>
          </cell>
          <cell r="AX147" t="str">
            <v>Tiếng Anh thương mại</v>
          </cell>
          <cell r="BC147" t="str">
            <v>phamhuong</v>
          </cell>
          <cell r="BD147" t="str">
            <v>Đã được tiếp nhận</v>
          </cell>
          <cell r="BF147" t="str">
            <v>3</v>
          </cell>
          <cell r="BM147" t="str">
            <v>True</v>
          </cell>
          <cell r="BN147" t="str">
            <v>False</v>
          </cell>
          <cell r="BO147" t="str">
            <v>KQTHPT_145_033308007672.pdf</v>
          </cell>
          <cell r="BR147">
            <v>8.9</v>
          </cell>
          <cell r="BS147">
            <v>7.6</v>
          </cell>
          <cell r="BT147">
            <v>9.4</v>
          </cell>
          <cell r="BU147">
            <v>9</v>
          </cell>
          <cell r="BV147">
            <v>8.6</v>
          </cell>
          <cell r="BW147">
            <v>8.9</v>
          </cell>
          <cell r="BX147">
            <v>8.4</v>
          </cell>
          <cell r="BY147">
            <v>7.7</v>
          </cell>
          <cell r="BZ147">
            <v>0</v>
          </cell>
          <cell r="CA147">
            <v>0</v>
          </cell>
          <cell r="CB147">
            <v>0</v>
          </cell>
          <cell r="CC147">
            <v>8.8000000000000007</v>
          </cell>
          <cell r="CD147">
            <v>0</v>
          </cell>
          <cell r="CE147">
            <v>0</v>
          </cell>
          <cell r="CF147">
            <v>0</v>
          </cell>
          <cell r="CG147">
            <v>0</v>
          </cell>
          <cell r="CH147">
            <v>0</v>
          </cell>
          <cell r="CI147">
            <v>0</v>
          </cell>
          <cell r="CJ147">
            <v>0</v>
          </cell>
          <cell r="CK147">
            <v>0</v>
          </cell>
          <cell r="CL147">
            <v>0</v>
          </cell>
          <cell r="CM147">
            <v>8.5</v>
          </cell>
          <cell r="CN147">
            <v>7.9</v>
          </cell>
          <cell r="CO147">
            <v>9.5</v>
          </cell>
          <cell r="CP147">
            <v>9.3000000000000007</v>
          </cell>
          <cell r="CQ147">
            <v>8.1999999999999993</v>
          </cell>
          <cell r="CR147">
            <v>8.8000000000000007</v>
          </cell>
          <cell r="CS147">
            <v>9.1999999999999993</v>
          </cell>
          <cell r="CT147">
            <v>6.7</v>
          </cell>
          <cell r="CU147">
            <v>0</v>
          </cell>
          <cell r="CV147">
            <v>0</v>
          </cell>
          <cell r="CW147">
            <v>0</v>
          </cell>
          <cell r="CX147">
            <v>8.6</v>
          </cell>
          <cell r="CY147">
            <v>0</v>
          </cell>
          <cell r="CZ147">
            <v>0</v>
          </cell>
          <cell r="DA147">
            <v>0</v>
          </cell>
          <cell r="DB147">
            <v>0</v>
          </cell>
          <cell r="DC147">
            <v>0</v>
          </cell>
          <cell r="DD147">
            <v>0</v>
          </cell>
          <cell r="DE147">
            <v>0</v>
          </cell>
          <cell r="DF147">
            <v>0</v>
          </cell>
          <cell r="DG147">
            <v>0</v>
          </cell>
          <cell r="DH147">
            <v>8.9</v>
          </cell>
          <cell r="DI147">
            <v>7.7</v>
          </cell>
          <cell r="DJ147">
            <v>9.6</v>
          </cell>
          <cell r="DK147">
            <v>9</v>
          </cell>
          <cell r="DL147">
            <v>8.9</v>
          </cell>
          <cell r="DM147">
            <v>8.4</v>
          </cell>
          <cell r="DN147">
            <v>8.6</v>
          </cell>
          <cell r="DO147">
            <v>8</v>
          </cell>
          <cell r="DP147">
            <v>0</v>
          </cell>
          <cell r="DQ147">
            <v>0</v>
          </cell>
          <cell r="DR147">
            <v>0</v>
          </cell>
          <cell r="DS147">
            <v>8.8000000000000007</v>
          </cell>
          <cell r="DT147">
            <v>0</v>
          </cell>
          <cell r="DU147">
            <v>0</v>
          </cell>
          <cell r="DV147">
            <v>0</v>
          </cell>
          <cell r="DW147">
            <v>0</v>
          </cell>
          <cell r="DX147">
            <v>0</v>
          </cell>
          <cell r="DY147">
            <v>0</v>
          </cell>
          <cell r="DZ147">
            <v>0</v>
          </cell>
          <cell r="EA147">
            <v>0</v>
          </cell>
          <cell r="EB147">
            <v>0</v>
          </cell>
          <cell r="EC147">
            <v>7.75</v>
          </cell>
          <cell r="ED147">
            <v>8.25</v>
          </cell>
          <cell r="EE147">
            <v>7.5</v>
          </cell>
          <cell r="EI147">
            <v>5.75</v>
          </cell>
        </row>
        <row r="148">
          <cell r="A148">
            <v>345159319</v>
          </cell>
          <cell r="B148" t="str">
            <v>KSVBS2649039</v>
          </cell>
          <cell r="C148" t="str">
            <v>100</v>
          </cell>
          <cell r="D148" t="str">
            <v>NGUYỄN THỊ NHÃ THƠ</v>
          </cell>
          <cell r="E148" t="str">
            <v>1</v>
          </cell>
          <cell r="F148" t="str">
            <v>12/01/2008</v>
          </cell>
          <cell r="G148" t="str">
            <v>nhatho1218@gmail.com</v>
          </cell>
          <cell r="H148" t="str">
            <v>0345159319</v>
          </cell>
          <cell r="I148" t="str">
            <v>084308001622</v>
          </cell>
          <cell r="J148" t="str">
            <v xml:space="preserve">Ấp Chợ </v>
          </cell>
          <cell r="K148" t="str">
            <v>KV1</v>
          </cell>
          <cell r="M148" t="str">
            <v>Không có</v>
          </cell>
          <cell r="N148" t="str">
            <v>Kinh</v>
          </cell>
          <cell r="P148" t="str">
            <v>2026</v>
          </cell>
          <cell r="Q148" t="str">
            <v>75050376</v>
          </cell>
          <cell r="R148" t="str">
            <v>Không có</v>
          </cell>
          <cell r="S148" t="str">
            <v>Không có</v>
          </cell>
          <cell r="T148" t="str">
            <v>Không có</v>
          </cell>
          <cell r="U148" t="str">
            <v>460886</v>
          </cell>
          <cell r="V148" t="str">
            <v>D26462782</v>
          </cell>
          <cell r="W148" t="str">
            <v>652.00</v>
          </cell>
          <cell r="X148" t="str">
            <v>172121</v>
          </cell>
          <cell r="Y148" t="str">
            <v>D26745462</v>
          </cell>
          <cell r="Z148" t="str">
            <v>580.00</v>
          </cell>
          <cell r="AA148" t="str">
            <v>Không có</v>
          </cell>
          <cell r="AF148" t="str">
            <v>75N</v>
          </cell>
          <cell r="AG148" t="str">
            <v>245</v>
          </cell>
          <cell r="AH148" t="str">
            <v>THPT Bình Long</v>
          </cell>
          <cell r="AI148" t="str">
            <v>75N</v>
          </cell>
          <cell r="AJ148" t="str">
            <v>245</v>
          </cell>
          <cell r="AK148" t="str">
            <v>THPT Bình Long</v>
          </cell>
          <cell r="AL148" t="str">
            <v>75N</v>
          </cell>
          <cell r="AM148" t="str">
            <v>245</v>
          </cell>
          <cell r="AN148" t="str">
            <v>THPT Bình Long</v>
          </cell>
          <cell r="AO148" t="str">
            <v>GDPT2018</v>
          </cell>
          <cell r="AP148" t="str">
            <v>Giỏi</v>
          </cell>
          <cell r="AQ148" t="str">
            <v>7.98</v>
          </cell>
          <cell r="AR148" t="str">
            <v>7.98</v>
          </cell>
          <cell r="AS148" t="str">
            <v>8.54</v>
          </cell>
          <cell r="AT148" t="str">
            <v>8.44</v>
          </cell>
          <cell r="AU148" t="str">
            <v>True</v>
          </cell>
          <cell r="AW148" t="str">
            <v>7340301</v>
          </cell>
          <cell r="AX148" t="str">
            <v>Kế toán doanh nghiệp</v>
          </cell>
          <cell r="BC148" t="str">
            <v>quynhlx</v>
          </cell>
          <cell r="BD148" t="str">
            <v>Đã được tiếp nhận</v>
          </cell>
          <cell r="BE148" t="str">
            <v xml:space="preserve">Em chụp đầy đủ tất cả các trang trong học bạ:
• Trang thông tin học sinh
• Kết quả học tập 10,11,12
• Kết quả rèn luyện, nhận xét lớp 10, 11, 12
=&gt; Hình ảnh phải rõ nét, đầy đủ chữ ký và dấu mộc trường THPT
</v>
          </cell>
          <cell r="BF148" t="str">
            <v>3</v>
          </cell>
          <cell r="BM148" t="str">
            <v>True</v>
          </cell>
          <cell r="BN148" t="str">
            <v>False</v>
          </cell>
          <cell r="BO148" t="str">
            <v>KQTHPT_146_084308001622.pdf</v>
          </cell>
          <cell r="BP148" t="str">
            <v>KQDGNL_146_084308001622.pdf</v>
          </cell>
          <cell r="BR148">
            <v>6.6</v>
          </cell>
          <cell r="BS148">
            <v>6.5</v>
          </cell>
          <cell r="BT148">
            <v>7.2</v>
          </cell>
          <cell r="BU148">
            <v>9</v>
          </cell>
          <cell r="BV148">
            <v>8.6999999999999993</v>
          </cell>
          <cell r="BW148">
            <v>0</v>
          </cell>
          <cell r="BX148">
            <v>8</v>
          </cell>
          <cell r="BY148">
            <v>0</v>
          </cell>
          <cell r="BZ148">
            <v>8.1</v>
          </cell>
          <cell r="CA148">
            <v>8.6999999999999993</v>
          </cell>
          <cell r="CB148">
            <v>9</v>
          </cell>
          <cell r="CC148">
            <v>0</v>
          </cell>
          <cell r="CD148">
            <v>0</v>
          </cell>
          <cell r="CE148">
            <v>0</v>
          </cell>
          <cell r="CF148">
            <v>0</v>
          </cell>
          <cell r="CG148">
            <v>0</v>
          </cell>
          <cell r="CH148">
            <v>0</v>
          </cell>
          <cell r="CI148">
            <v>0</v>
          </cell>
          <cell r="CJ148">
            <v>0</v>
          </cell>
          <cell r="CK148">
            <v>0</v>
          </cell>
          <cell r="CL148">
            <v>0</v>
          </cell>
          <cell r="CM148">
            <v>8.1999999999999993</v>
          </cell>
          <cell r="CN148">
            <v>7</v>
          </cell>
          <cell r="CO148">
            <v>7.4</v>
          </cell>
          <cell r="CP148">
            <v>9.1999999999999993</v>
          </cell>
          <cell r="CQ148">
            <v>9.4</v>
          </cell>
          <cell r="CR148">
            <v>0</v>
          </cell>
          <cell r="CS148">
            <v>9</v>
          </cell>
          <cell r="CT148">
            <v>0</v>
          </cell>
          <cell r="CU148">
            <v>8.6999999999999993</v>
          </cell>
          <cell r="CV148">
            <v>8.9</v>
          </cell>
          <cell r="CW148">
            <v>9.1</v>
          </cell>
          <cell r="CX148">
            <v>0</v>
          </cell>
          <cell r="CY148">
            <v>0</v>
          </cell>
          <cell r="CZ148">
            <v>0</v>
          </cell>
          <cell r="DA148">
            <v>0</v>
          </cell>
          <cell r="DB148">
            <v>0</v>
          </cell>
          <cell r="DC148">
            <v>0</v>
          </cell>
          <cell r="DD148">
            <v>0</v>
          </cell>
          <cell r="DE148">
            <v>0</v>
          </cell>
          <cell r="DF148">
            <v>0</v>
          </cell>
          <cell r="DG148">
            <v>0</v>
          </cell>
          <cell r="DH148">
            <v>9.4</v>
          </cell>
          <cell r="DI148">
            <v>7.3</v>
          </cell>
          <cell r="DJ148">
            <v>6.5</v>
          </cell>
          <cell r="DK148">
            <v>9.3000000000000007</v>
          </cell>
          <cell r="DL148">
            <v>9.6</v>
          </cell>
          <cell r="DM148">
            <v>0</v>
          </cell>
          <cell r="DN148">
            <v>8.3000000000000007</v>
          </cell>
          <cell r="DO148">
            <v>0</v>
          </cell>
          <cell r="DP148">
            <v>8</v>
          </cell>
          <cell r="DQ148">
            <v>8.4</v>
          </cell>
          <cell r="DR148">
            <v>9.1999999999999993</v>
          </cell>
          <cell r="DS148">
            <v>0</v>
          </cell>
          <cell r="DT148">
            <v>0</v>
          </cell>
          <cell r="DU148">
            <v>0</v>
          </cell>
          <cell r="DV148">
            <v>0</v>
          </cell>
          <cell r="DW148">
            <v>0</v>
          </cell>
          <cell r="DX148">
            <v>0</v>
          </cell>
          <cell r="DY148">
            <v>0</v>
          </cell>
          <cell r="DZ148">
            <v>0</v>
          </cell>
          <cell r="EA148">
            <v>0</v>
          </cell>
          <cell r="EB148">
            <v>0</v>
          </cell>
          <cell r="EC148">
            <v>7.5</v>
          </cell>
          <cell r="ED148">
            <v>6.5</v>
          </cell>
          <cell r="EK148">
            <v>7.5</v>
          </cell>
          <cell r="EL148">
            <v>6.75</v>
          </cell>
        </row>
        <row r="149">
          <cell r="A149">
            <v>0</v>
          </cell>
          <cell r="D149" t="str">
            <v>ANCHETA CHU THUỶ</v>
          </cell>
          <cell r="E149" t="str">
            <v>0</v>
          </cell>
          <cell r="F149" t="str">
            <v>24/06/2008</v>
          </cell>
          <cell r="G149" t="str">
            <v>chuthuy24062008@gmail.com</v>
          </cell>
          <cell r="I149" t="str">
            <v>019308000365</v>
          </cell>
          <cell r="BD149" t="str">
            <v>Chưa hoàn thành</v>
          </cell>
          <cell r="BF149" t="str">
            <v>3</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v>0</v>
          </cell>
          <cell r="CN149">
            <v>0</v>
          </cell>
          <cell r="CO149">
            <v>0</v>
          </cell>
          <cell r="CP149">
            <v>0</v>
          </cell>
          <cell r="CQ149">
            <v>0</v>
          </cell>
          <cell r="CR149">
            <v>0</v>
          </cell>
          <cell r="CS149">
            <v>0</v>
          </cell>
          <cell r="CT149">
            <v>0</v>
          </cell>
          <cell r="CU149">
            <v>0</v>
          </cell>
          <cell r="CV149">
            <v>0</v>
          </cell>
          <cell r="CW149">
            <v>0</v>
          </cell>
          <cell r="CX149">
            <v>0</v>
          </cell>
          <cell r="CY149">
            <v>0</v>
          </cell>
          <cell r="CZ149">
            <v>0</v>
          </cell>
          <cell r="DA149">
            <v>0</v>
          </cell>
          <cell r="DB149">
            <v>0</v>
          </cell>
          <cell r="DC149">
            <v>0</v>
          </cell>
          <cell r="DD149">
            <v>0</v>
          </cell>
          <cell r="DE149">
            <v>0</v>
          </cell>
          <cell r="DF149">
            <v>0</v>
          </cell>
          <cell r="DG149">
            <v>0</v>
          </cell>
          <cell r="DH149">
            <v>0</v>
          </cell>
          <cell r="DI149">
            <v>0</v>
          </cell>
          <cell r="DJ149">
            <v>0</v>
          </cell>
          <cell r="DK149">
            <v>0</v>
          </cell>
          <cell r="DL149">
            <v>0</v>
          </cell>
          <cell r="DM149">
            <v>0</v>
          </cell>
          <cell r="DN149">
            <v>0</v>
          </cell>
          <cell r="DO149">
            <v>0</v>
          </cell>
          <cell r="DP149">
            <v>0</v>
          </cell>
          <cell r="DQ149">
            <v>0</v>
          </cell>
          <cell r="DR149">
            <v>0</v>
          </cell>
          <cell r="DS149">
            <v>0</v>
          </cell>
          <cell r="DT149">
            <v>0</v>
          </cell>
          <cell r="DU149">
            <v>0</v>
          </cell>
          <cell r="DV149">
            <v>0</v>
          </cell>
          <cell r="DW149">
            <v>0</v>
          </cell>
          <cell r="DX149">
            <v>0</v>
          </cell>
          <cell r="DY149">
            <v>0</v>
          </cell>
          <cell r="DZ149">
            <v>0</v>
          </cell>
          <cell r="EA149">
            <v>0</v>
          </cell>
          <cell r="EB149">
            <v>0</v>
          </cell>
        </row>
        <row r="150">
          <cell r="A150">
            <v>0</v>
          </cell>
          <cell r="D150" t="str">
            <v>TRƯƠNG DIỄM VY</v>
          </cell>
          <cell r="E150" t="str">
            <v>0</v>
          </cell>
          <cell r="F150" t="str">
            <v>24/01/2008</v>
          </cell>
          <cell r="G150" t="str">
            <v>truongdiemvy2401@gmail.com</v>
          </cell>
          <cell r="I150" t="str">
            <v>095308008826</v>
          </cell>
          <cell r="BD150" t="str">
            <v>Chưa hoàn thành</v>
          </cell>
          <cell r="BF150" t="str">
            <v>3</v>
          </cell>
          <cell r="BR150">
            <v>6.7</v>
          </cell>
          <cell r="BS150">
            <v>8.3000000000000007</v>
          </cell>
          <cell r="BT150">
            <v>6.5</v>
          </cell>
          <cell r="BU150">
            <v>8.9</v>
          </cell>
          <cell r="BV150">
            <v>9.5</v>
          </cell>
          <cell r="BW150">
            <v>9.6</v>
          </cell>
          <cell r="BX150">
            <v>0</v>
          </cell>
          <cell r="BY150">
            <v>9</v>
          </cell>
          <cell r="BZ150">
            <v>0</v>
          </cell>
          <cell r="CA150">
            <v>9.1999999999999993</v>
          </cell>
          <cell r="CB150">
            <v>0</v>
          </cell>
          <cell r="CC150">
            <v>7.7</v>
          </cell>
          <cell r="CD150">
            <v>0</v>
          </cell>
          <cell r="CE150">
            <v>0</v>
          </cell>
          <cell r="CF150">
            <v>0</v>
          </cell>
          <cell r="CG150">
            <v>0</v>
          </cell>
          <cell r="CH150">
            <v>0</v>
          </cell>
          <cell r="CI150">
            <v>0</v>
          </cell>
          <cell r="CJ150">
            <v>0</v>
          </cell>
          <cell r="CK150">
            <v>0</v>
          </cell>
          <cell r="CL150">
            <v>0</v>
          </cell>
          <cell r="CM150">
            <v>7.2</v>
          </cell>
          <cell r="CN150">
            <v>8</v>
          </cell>
          <cell r="CO150">
            <v>7.1</v>
          </cell>
          <cell r="CP150">
            <v>9.5</v>
          </cell>
          <cell r="CQ150">
            <v>9.1999999999999993</v>
          </cell>
          <cell r="CR150">
            <v>9.5</v>
          </cell>
          <cell r="CS150">
            <v>0</v>
          </cell>
          <cell r="CT150">
            <v>7.4</v>
          </cell>
          <cell r="CU150">
            <v>0</v>
          </cell>
          <cell r="CV150">
            <v>9</v>
          </cell>
          <cell r="CW150">
            <v>0</v>
          </cell>
          <cell r="CX150">
            <v>8.9</v>
          </cell>
          <cell r="CY150">
            <v>0</v>
          </cell>
          <cell r="CZ150">
            <v>0</v>
          </cell>
          <cell r="DA150">
            <v>0</v>
          </cell>
          <cell r="DB150">
            <v>0</v>
          </cell>
          <cell r="DC150">
            <v>0</v>
          </cell>
          <cell r="DD150">
            <v>0</v>
          </cell>
          <cell r="DE150">
            <v>0</v>
          </cell>
          <cell r="DF150">
            <v>0</v>
          </cell>
          <cell r="DG150">
            <v>0</v>
          </cell>
          <cell r="DH150">
            <v>7.8</v>
          </cell>
          <cell r="DI150">
            <v>7.8</v>
          </cell>
          <cell r="DJ150">
            <v>6.9</v>
          </cell>
          <cell r="DK150">
            <v>8.3000000000000007</v>
          </cell>
          <cell r="DL150">
            <v>9.6999999999999993</v>
          </cell>
          <cell r="DM150">
            <v>9.8000000000000007</v>
          </cell>
          <cell r="DN150">
            <v>0</v>
          </cell>
          <cell r="DO150">
            <v>8.1</v>
          </cell>
          <cell r="DP150">
            <v>0</v>
          </cell>
          <cell r="DQ150">
            <v>8.6</v>
          </cell>
          <cell r="DR150">
            <v>0</v>
          </cell>
          <cell r="DS150">
            <v>8.8000000000000007</v>
          </cell>
          <cell r="DT150">
            <v>0</v>
          </cell>
          <cell r="DU150">
            <v>0</v>
          </cell>
          <cell r="DV150">
            <v>0</v>
          </cell>
          <cell r="DW150">
            <v>0</v>
          </cell>
          <cell r="DX150">
            <v>0</v>
          </cell>
          <cell r="DY150">
            <v>0</v>
          </cell>
          <cell r="DZ150">
            <v>0</v>
          </cell>
          <cell r="EA150">
            <v>0</v>
          </cell>
          <cell r="EB150">
            <v>0</v>
          </cell>
        </row>
        <row r="151">
          <cell r="A151">
            <v>0</v>
          </cell>
          <cell r="D151" t="str">
            <v>NGUYỄN THỊ NGỌC BÍCH</v>
          </cell>
          <cell r="E151" t="str">
            <v>0</v>
          </cell>
          <cell r="F151" t="str">
            <v>14/01/2004</v>
          </cell>
          <cell r="G151" t="str">
            <v>nghinhung2@gmail.com</v>
          </cell>
          <cell r="I151" t="str">
            <v>077304006274</v>
          </cell>
          <cell r="BD151" t="str">
            <v>Chưa hoàn thành</v>
          </cell>
          <cell r="BF151" t="str">
            <v>3</v>
          </cell>
          <cell r="BR151">
            <v>0</v>
          </cell>
          <cell r="BS151">
            <v>0</v>
          </cell>
          <cell r="BT151">
            <v>0</v>
          </cell>
          <cell r="BU151">
            <v>0</v>
          </cell>
          <cell r="BV151">
            <v>0</v>
          </cell>
          <cell r="BW151">
            <v>0</v>
          </cell>
          <cell r="BX151">
            <v>0</v>
          </cell>
          <cell r="BY151">
            <v>0</v>
          </cell>
          <cell r="BZ151">
            <v>0</v>
          </cell>
          <cell r="CA151">
            <v>0</v>
          </cell>
          <cell r="CB151">
            <v>0</v>
          </cell>
          <cell r="CC151">
            <v>0</v>
          </cell>
          <cell r="CD151">
            <v>0</v>
          </cell>
          <cell r="CE151">
            <v>0</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0</v>
          </cell>
          <cell r="DE151">
            <v>0</v>
          </cell>
          <cell r="DF151">
            <v>0</v>
          </cell>
          <cell r="DG151">
            <v>0</v>
          </cell>
          <cell r="DH151">
            <v>0</v>
          </cell>
          <cell r="DI151">
            <v>0</v>
          </cell>
          <cell r="DJ151">
            <v>0</v>
          </cell>
          <cell r="DK151">
            <v>0</v>
          </cell>
          <cell r="DL151">
            <v>0</v>
          </cell>
          <cell r="DM151">
            <v>0</v>
          </cell>
          <cell r="DN151">
            <v>0</v>
          </cell>
          <cell r="DO151">
            <v>0</v>
          </cell>
          <cell r="DP151">
            <v>0</v>
          </cell>
          <cell r="DQ151">
            <v>0</v>
          </cell>
          <cell r="DR151">
            <v>0</v>
          </cell>
          <cell r="DS151">
            <v>0</v>
          </cell>
          <cell r="DT151">
            <v>0</v>
          </cell>
          <cell r="DU151">
            <v>0</v>
          </cell>
          <cell r="DV151">
            <v>0</v>
          </cell>
          <cell r="DW151">
            <v>0</v>
          </cell>
          <cell r="DX151">
            <v>0</v>
          </cell>
          <cell r="DY151">
            <v>0</v>
          </cell>
          <cell r="DZ151">
            <v>0</v>
          </cell>
          <cell r="EA151">
            <v>0</v>
          </cell>
          <cell r="EB151">
            <v>0</v>
          </cell>
        </row>
        <row r="152">
          <cell r="A152">
            <v>0</v>
          </cell>
          <cell r="D152" t="str">
            <v>PHẠM THUÝ NGA</v>
          </cell>
          <cell r="E152" t="str">
            <v>0</v>
          </cell>
          <cell r="F152" t="str">
            <v>17/07/2008</v>
          </cell>
          <cell r="G152" t="str">
            <v>ngap4899@gmail.com</v>
          </cell>
          <cell r="I152" t="str">
            <v>068308007962</v>
          </cell>
          <cell r="BD152" t="str">
            <v>Chưa hoàn thành</v>
          </cell>
          <cell r="BF152" t="str">
            <v>3</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0</v>
          </cell>
          <cell r="DM152">
            <v>0</v>
          </cell>
          <cell r="DN152">
            <v>0</v>
          </cell>
          <cell r="DO152">
            <v>0</v>
          </cell>
          <cell r="DP152">
            <v>0</v>
          </cell>
          <cell r="DQ152">
            <v>0</v>
          </cell>
          <cell r="DR152">
            <v>0</v>
          </cell>
          <cell r="DS152">
            <v>0</v>
          </cell>
          <cell r="DT152">
            <v>0</v>
          </cell>
          <cell r="DU152">
            <v>0</v>
          </cell>
          <cell r="DV152">
            <v>0</v>
          </cell>
          <cell r="DW152">
            <v>0</v>
          </cell>
          <cell r="DX152">
            <v>0</v>
          </cell>
          <cell r="DY152">
            <v>0</v>
          </cell>
          <cell r="DZ152">
            <v>0</v>
          </cell>
          <cell r="EA152">
            <v>0</v>
          </cell>
          <cell r="EB152">
            <v>0</v>
          </cell>
        </row>
        <row r="153">
          <cell r="A153">
            <v>378284230</v>
          </cell>
          <cell r="B153" t="str">
            <v>KSVBS2629823</v>
          </cell>
          <cell r="C153" t="str">
            <v>104</v>
          </cell>
          <cell r="D153" t="str">
            <v>NGUYỄN THỊ DIỄM HỒNG</v>
          </cell>
          <cell r="E153" t="str">
            <v>1</v>
          </cell>
          <cell r="F153" t="str">
            <v>27/06/2008</v>
          </cell>
          <cell r="G153" t="str">
            <v>diemhongfptshop8@gmail.com</v>
          </cell>
          <cell r="H153" t="str">
            <v>0378284230</v>
          </cell>
          <cell r="I153" t="str">
            <v>087308002819</v>
          </cell>
          <cell r="J153" t="str">
            <v>Đường Ngô Quyền</v>
          </cell>
          <cell r="K153" t="str">
            <v>KV2</v>
          </cell>
          <cell r="M153" t="str">
            <v>Không có</v>
          </cell>
          <cell r="N153" t="str">
            <v>Kinh</v>
          </cell>
          <cell r="P153" t="str">
            <v>2026</v>
          </cell>
          <cell r="R153" t="str">
            <v>Không có</v>
          </cell>
          <cell r="S153" t="str">
            <v>Không có</v>
          </cell>
          <cell r="T153" t="str">
            <v>Không có</v>
          </cell>
          <cell r="AA153" t="str">
            <v>Không có</v>
          </cell>
          <cell r="AF153" t="str">
            <v>87N</v>
          </cell>
          <cell r="AG153" t="str">
            <v>312</v>
          </cell>
          <cell r="AH153" t="str">
            <v>THPT Hồng Ngự 1</v>
          </cell>
          <cell r="AI153" t="str">
            <v>87N</v>
          </cell>
          <cell r="AJ153" t="str">
            <v>312</v>
          </cell>
          <cell r="AK153" t="str">
            <v>THPT Hồng Ngự 1</v>
          </cell>
          <cell r="AL153" t="str">
            <v>87N</v>
          </cell>
          <cell r="AM153" t="str">
            <v>312</v>
          </cell>
          <cell r="AN153" t="str">
            <v>THPT Hồng Ngự 1</v>
          </cell>
          <cell r="AO153" t="str">
            <v>GDPT2018</v>
          </cell>
          <cell r="AP153" t="str">
            <v>Khá</v>
          </cell>
          <cell r="AQ153" t="str">
            <v>7.54</v>
          </cell>
          <cell r="AR153" t="str">
            <v>6.36</v>
          </cell>
          <cell r="AS153" t="str">
            <v>6.28</v>
          </cell>
          <cell r="AT153" t="str">
            <v>7.64</v>
          </cell>
          <cell r="AU153" t="str">
            <v>False</v>
          </cell>
          <cell r="AW153" t="str">
            <v>7220201</v>
          </cell>
          <cell r="AX153" t="str">
            <v>Tiếng Anh thương mại</v>
          </cell>
          <cell r="AY153" t="str">
            <v>7480107</v>
          </cell>
          <cell r="AZ153" t="str">
            <v>Robot và Trí tuệ nhân tạo (hệ kỹ sư)</v>
          </cell>
          <cell r="BA153" t="str">
            <v>7340201_3</v>
          </cell>
          <cell r="BB153" t="str">
            <v>Thuế</v>
          </cell>
          <cell r="BC153" t="str">
            <v>phamhuong</v>
          </cell>
          <cell r="BD153" t="str">
            <v>Đã được tiếp nhận</v>
          </cell>
          <cell r="BE153" t="str">
            <v xml:space="preserve">- Bổ sung tệp Giấy chứng nhận kết quả thi V-SAT năm 2026 (định dạng PDF) - Do Đại học Cần thơ tổ chức
</v>
          </cell>
          <cell r="BF153" t="str">
            <v>3</v>
          </cell>
          <cell r="BM153" t="str">
            <v>True</v>
          </cell>
          <cell r="BN153" t="str">
            <v>False</v>
          </cell>
          <cell r="BO153" t="str">
            <v>KQTHPT_151_087308002819.pdf</v>
          </cell>
          <cell r="BR153">
            <v>4.0999999999999996</v>
          </cell>
          <cell r="BS153">
            <v>7.6</v>
          </cell>
          <cell r="BT153">
            <v>6</v>
          </cell>
          <cell r="BU153">
            <v>7.5</v>
          </cell>
          <cell r="BV153">
            <v>6.9</v>
          </cell>
          <cell r="BW153">
            <v>6.5</v>
          </cell>
          <cell r="BX153">
            <v>5.9</v>
          </cell>
          <cell r="BY153">
            <v>4.5</v>
          </cell>
          <cell r="BZ153">
            <v>0</v>
          </cell>
          <cell r="CA153">
            <v>0</v>
          </cell>
          <cell r="CB153">
            <v>0</v>
          </cell>
          <cell r="CC153">
            <v>8.1999999999999993</v>
          </cell>
          <cell r="CD153">
            <v>0</v>
          </cell>
          <cell r="CE153">
            <v>0</v>
          </cell>
          <cell r="CF153">
            <v>0</v>
          </cell>
          <cell r="CG153">
            <v>0</v>
          </cell>
          <cell r="CH153">
            <v>0</v>
          </cell>
          <cell r="CI153">
            <v>0</v>
          </cell>
          <cell r="CJ153">
            <v>0</v>
          </cell>
          <cell r="CK153">
            <v>0</v>
          </cell>
          <cell r="CL153">
            <v>0</v>
          </cell>
          <cell r="CM153">
            <v>5.0999999999999996</v>
          </cell>
          <cell r="CN153">
            <v>7.1</v>
          </cell>
          <cell r="CO153">
            <v>4.0999999999999996</v>
          </cell>
          <cell r="CP153">
            <v>6.4</v>
          </cell>
          <cell r="CQ153">
            <v>7.1</v>
          </cell>
          <cell r="CR153">
            <v>7.3</v>
          </cell>
          <cell r="CS153">
            <v>6.4</v>
          </cell>
          <cell r="CT153">
            <v>4.9000000000000004</v>
          </cell>
          <cell r="CU153">
            <v>0</v>
          </cell>
          <cell r="CV153">
            <v>0</v>
          </cell>
          <cell r="CW153">
            <v>0</v>
          </cell>
          <cell r="CX153">
            <v>8.1</v>
          </cell>
          <cell r="CY153">
            <v>0</v>
          </cell>
          <cell r="CZ153">
            <v>0</v>
          </cell>
          <cell r="DA153">
            <v>0</v>
          </cell>
          <cell r="DB153">
            <v>0</v>
          </cell>
          <cell r="DC153">
            <v>0</v>
          </cell>
          <cell r="DD153">
            <v>0</v>
          </cell>
          <cell r="DE153">
            <v>0</v>
          </cell>
          <cell r="DF153">
            <v>0</v>
          </cell>
          <cell r="DG153">
            <v>0</v>
          </cell>
          <cell r="DH153">
            <v>7.2</v>
          </cell>
          <cell r="DI153">
            <v>7.5</v>
          </cell>
          <cell r="DJ153">
            <v>7.4</v>
          </cell>
          <cell r="DK153">
            <v>9.6</v>
          </cell>
          <cell r="DL153">
            <v>7</v>
          </cell>
          <cell r="DM153">
            <v>6.8</v>
          </cell>
          <cell r="DN153">
            <v>7.1</v>
          </cell>
          <cell r="DO153">
            <v>7.3</v>
          </cell>
          <cell r="DP153">
            <v>0</v>
          </cell>
          <cell r="DQ153">
            <v>0</v>
          </cell>
          <cell r="DR153">
            <v>0</v>
          </cell>
          <cell r="DS153">
            <v>8.9</v>
          </cell>
          <cell r="DT153">
            <v>0</v>
          </cell>
          <cell r="DU153">
            <v>0</v>
          </cell>
          <cell r="DV153">
            <v>0</v>
          </cell>
          <cell r="DW153">
            <v>0</v>
          </cell>
          <cell r="DX153">
            <v>0</v>
          </cell>
          <cell r="DY153">
            <v>0</v>
          </cell>
          <cell r="DZ153">
            <v>0</v>
          </cell>
          <cell r="EA153">
            <v>0</v>
          </cell>
          <cell r="EB153">
            <v>0</v>
          </cell>
          <cell r="EC153">
            <v>1.8</v>
          </cell>
          <cell r="ED153">
            <v>7.25</v>
          </cell>
          <cell r="EE153">
            <v>0</v>
          </cell>
          <cell r="EG153">
            <v>7.25</v>
          </cell>
          <cell r="EI153">
            <v>4</v>
          </cell>
          <cell r="EJ153">
            <v>0</v>
          </cell>
          <cell r="EK153">
            <v>0</v>
          </cell>
          <cell r="EL153">
            <v>0</v>
          </cell>
          <cell r="EN153">
            <v>0</v>
          </cell>
        </row>
        <row r="154">
          <cell r="A154">
            <v>965425449</v>
          </cell>
          <cell r="D154" t="str">
            <v>VÕ TRUNG TÍN</v>
          </cell>
          <cell r="E154" t="str">
            <v>0</v>
          </cell>
          <cell r="F154" t="str">
            <v>18/08/2007</v>
          </cell>
          <cell r="G154" t="str">
            <v>tin0336599625@gmail.com</v>
          </cell>
          <cell r="H154" t="str">
            <v>0965425449</v>
          </cell>
          <cell r="I154" t="str">
            <v>082207005818</v>
          </cell>
          <cell r="J154" t="str">
            <v>70</v>
          </cell>
          <cell r="K154" t="str">
            <v>KV3</v>
          </cell>
          <cell r="M154" t="str">
            <v>Không có</v>
          </cell>
          <cell r="N154" t="str">
            <v>Kinh</v>
          </cell>
          <cell r="P154" t="str">
            <v>2025</v>
          </cell>
          <cell r="Q154" t="str">
            <v>53011275</v>
          </cell>
          <cell r="R154" t="str">
            <v>Không có</v>
          </cell>
          <cell r="S154" t="str">
            <v>Không có</v>
          </cell>
          <cell r="T154" t="str">
            <v>Không có</v>
          </cell>
          <cell r="AA154" t="str">
            <v>Không có</v>
          </cell>
          <cell r="AF154" t="str">
            <v>87N</v>
          </cell>
          <cell r="AG154" t="str">
            <v>604</v>
          </cell>
          <cell r="AH154" t="str">
            <v>THPT Chợ Gạo</v>
          </cell>
          <cell r="AI154" t="str">
            <v>87N</v>
          </cell>
          <cell r="AJ154" t="str">
            <v>604</v>
          </cell>
          <cell r="AK154" t="str">
            <v>THPT Chợ Gạo</v>
          </cell>
          <cell r="AL154" t="str">
            <v>87N</v>
          </cell>
          <cell r="AM154" t="str">
            <v>604</v>
          </cell>
          <cell r="AN154" t="str">
            <v>THPT Chợ Gạo</v>
          </cell>
          <cell r="AO154" t="str">
            <v>GDPT2018</v>
          </cell>
          <cell r="AP154" t="str">
            <v>Đạt</v>
          </cell>
          <cell r="AQ154" t="str">
            <v>7.37</v>
          </cell>
          <cell r="AR154" t="str">
            <v>7.77</v>
          </cell>
          <cell r="AS154" t="str">
            <v>8.26</v>
          </cell>
          <cell r="AT154" t="str">
            <v>8.79</v>
          </cell>
          <cell r="AU154" t="str">
            <v>False</v>
          </cell>
          <cell r="AW154" t="str">
            <v>7340201_1</v>
          </cell>
          <cell r="AX154" t="str">
            <v>Ngân hàng</v>
          </cell>
          <cell r="AY154" t="str">
            <v>7380107</v>
          </cell>
          <cell r="AZ154" t="str">
            <v>Luật kinh tế</v>
          </cell>
          <cell r="BA154" t="str">
            <v>7220201</v>
          </cell>
          <cell r="BB154" t="str">
            <v>Tiếng Anh thương mại</v>
          </cell>
          <cell r="BD154" t="str">
            <v>Chưa hoàn thành</v>
          </cell>
          <cell r="BF154" t="str">
            <v>3</v>
          </cell>
          <cell r="BM154" t="str">
            <v>True</v>
          </cell>
          <cell r="BN154" t="str">
            <v>False</v>
          </cell>
          <cell r="BR154">
            <v>6.9</v>
          </cell>
          <cell r="BS154">
            <v>7.5</v>
          </cell>
          <cell r="BT154">
            <v>6.8</v>
          </cell>
          <cell r="BU154">
            <v>9.1999999999999993</v>
          </cell>
          <cell r="BV154">
            <v>8.1</v>
          </cell>
          <cell r="BW154">
            <v>0</v>
          </cell>
          <cell r="BX154">
            <v>0</v>
          </cell>
          <cell r="BY154">
            <v>7.3</v>
          </cell>
          <cell r="BZ154">
            <v>7.3</v>
          </cell>
          <cell r="CA154">
            <v>7.4</v>
          </cell>
          <cell r="CB154">
            <v>0</v>
          </cell>
          <cell r="CC154">
            <v>9.4</v>
          </cell>
          <cell r="CD154">
            <v>0</v>
          </cell>
          <cell r="CE154">
            <v>0</v>
          </cell>
          <cell r="CF154">
            <v>0</v>
          </cell>
          <cell r="CG154">
            <v>0</v>
          </cell>
          <cell r="CH154">
            <v>0</v>
          </cell>
          <cell r="CI154">
            <v>0</v>
          </cell>
          <cell r="CJ154">
            <v>0</v>
          </cell>
          <cell r="CK154">
            <v>0</v>
          </cell>
          <cell r="CL154">
            <v>0</v>
          </cell>
          <cell r="CM154">
            <v>7.8</v>
          </cell>
          <cell r="CN154">
            <v>7.6</v>
          </cell>
          <cell r="CO154">
            <v>8.1</v>
          </cell>
          <cell r="CP154">
            <v>8.4</v>
          </cell>
          <cell r="CQ154">
            <v>8.8000000000000007</v>
          </cell>
          <cell r="CR154">
            <v>0</v>
          </cell>
          <cell r="CS154">
            <v>0</v>
          </cell>
          <cell r="CT154">
            <v>7.6</v>
          </cell>
          <cell r="CU154">
            <v>8.6</v>
          </cell>
          <cell r="CV154">
            <v>8.1999999999999993</v>
          </cell>
          <cell r="CW154">
            <v>0</v>
          </cell>
          <cell r="CX154">
            <v>9.1999999999999993</v>
          </cell>
          <cell r="CY154">
            <v>0</v>
          </cell>
          <cell r="CZ154">
            <v>0</v>
          </cell>
          <cell r="DA154">
            <v>0</v>
          </cell>
          <cell r="DB154">
            <v>0</v>
          </cell>
          <cell r="DC154">
            <v>0</v>
          </cell>
          <cell r="DD154">
            <v>0</v>
          </cell>
          <cell r="DE154">
            <v>0</v>
          </cell>
          <cell r="DF154">
            <v>0</v>
          </cell>
          <cell r="DG154">
            <v>0</v>
          </cell>
          <cell r="DH154">
            <v>9.3000000000000007</v>
          </cell>
          <cell r="DI154">
            <v>8.3000000000000007</v>
          </cell>
          <cell r="DJ154">
            <v>9.4</v>
          </cell>
          <cell r="DK154">
            <v>9</v>
          </cell>
          <cell r="DL154">
            <v>9.4</v>
          </cell>
          <cell r="DM154">
            <v>0</v>
          </cell>
          <cell r="DN154">
            <v>0</v>
          </cell>
          <cell r="DO154">
            <v>8</v>
          </cell>
          <cell r="DP154">
            <v>8.6</v>
          </cell>
          <cell r="DQ154">
            <v>8.6999999999999993</v>
          </cell>
          <cell r="DR154">
            <v>0</v>
          </cell>
          <cell r="DS154">
            <v>8.4</v>
          </cell>
          <cell r="DT154">
            <v>0</v>
          </cell>
          <cell r="DU154">
            <v>0</v>
          </cell>
          <cell r="DV154">
            <v>0</v>
          </cell>
          <cell r="DW154">
            <v>0</v>
          </cell>
          <cell r="DX154">
            <v>0</v>
          </cell>
          <cell r="DY154">
            <v>0</v>
          </cell>
          <cell r="DZ154">
            <v>0</v>
          </cell>
          <cell r="EA154">
            <v>0</v>
          </cell>
          <cell r="EB154">
            <v>0</v>
          </cell>
          <cell r="EC154">
            <v>6.1</v>
          </cell>
          <cell r="EJ154">
            <v>6.1</v>
          </cell>
          <cell r="EK154">
            <v>5.75</v>
          </cell>
        </row>
        <row r="155">
          <cell r="A155">
            <v>0</v>
          </cell>
          <cell r="D155" t="str">
            <v>KHƯƠNG HOÀNG PHÚC</v>
          </cell>
          <cell r="E155" t="str">
            <v>0</v>
          </cell>
          <cell r="F155" t="str">
            <v>23/12/2007</v>
          </cell>
          <cell r="G155" t="str">
            <v>khuonghoangphuc990@gmail.com</v>
          </cell>
          <cell r="I155" t="str">
            <v>094207008191</v>
          </cell>
          <cell r="BD155" t="str">
            <v>Chưa hoàn thành</v>
          </cell>
          <cell r="BF155" t="str">
            <v>3</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v>0</v>
          </cell>
          <cell r="DU155">
            <v>0</v>
          </cell>
          <cell r="DV155">
            <v>0</v>
          </cell>
          <cell r="DW155">
            <v>0</v>
          </cell>
          <cell r="DX155">
            <v>0</v>
          </cell>
          <cell r="DY155">
            <v>0</v>
          </cell>
          <cell r="DZ155">
            <v>0</v>
          </cell>
          <cell r="EA155">
            <v>0</v>
          </cell>
          <cell r="EB155">
            <v>0</v>
          </cell>
        </row>
        <row r="156">
          <cell r="A156">
            <v>0</v>
          </cell>
          <cell r="D156" t="str">
            <v>HOÀNG VĂN HIỆP</v>
          </cell>
          <cell r="E156" t="str">
            <v>0</v>
          </cell>
          <cell r="F156" t="str">
            <v>26/07/2007</v>
          </cell>
          <cell r="G156" t="str">
            <v>khuonghoangphuc990@gmail.com</v>
          </cell>
          <cell r="I156" t="str">
            <v>094208002789</v>
          </cell>
          <cell r="BD156" t="str">
            <v>Chưa hoàn thành</v>
          </cell>
          <cell r="BF156" t="str">
            <v>3</v>
          </cell>
          <cell r="BR156">
            <v>7.6</v>
          </cell>
          <cell r="BS156">
            <v>6.9</v>
          </cell>
          <cell r="BT156">
            <v>7.8</v>
          </cell>
          <cell r="BU156">
            <v>8.8000000000000007</v>
          </cell>
          <cell r="BV156">
            <v>8.4</v>
          </cell>
          <cell r="BW156">
            <v>8.6999999999999993</v>
          </cell>
          <cell r="BX156">
            <v>7.9</v>
          </cell>
          <cell r="BY156">
            <v>0</v>
          </cell>
          <cell r="BZ156">
            <v>7.5</v>
          </cell>
          <cell r="CA156">
            <v>0</v>
          </cell>
          <cell r="CB156">
            <v>9.5</v>
          </cell>
          <cell r="CC156">
            <v>0</v>
          </cell>
          <cell r="CD156">
            <v>0</v>
          </cell>
          <cell r="CE156">
            <v>0</v>
          </cell>
          <cell r="CF156">
            <v>0</v>
          </cell>
          <cell r="CG156">
            <v>0</v>
          </cell>
          <cell r="CH156">
            <v>0</v>
          </cell>
          <cell r="CI156">
            <v>0</v>
          </cell>
          <cell r="CJ156">
            <v>0</v>
          </cell>
          <cell r="CK156">
            <v>0</v>
          </cell>
          <cell r="CL156">
            <v>0</v>
          </cell>
          <cell r="CM156">
            <v>7.2</v>
          </cell>
          <cell r="CN156">
            <v>7.8</v>
          </cell>
          <cell r="CO156">
            <v>8.3000000000000007</v>
          </cell>
          <cell r="CP156">
            <v>9.8000000000000007</v>
          </cell>
          <cell r="CQ156">
            <v>9.1</v>
          </cell>
          <cell r="CR156">
            <v>8.3000000000000007</v>
          </cell>
          <cell r="CS156">
            <v>9.1</v>
          </cell>
          <cell r="CT156">
            <v>0</v>
          </cell>
          <cell r="CU156">
            <v>9</v>
          </cell>
          <cell r="CV156">
            <v>0</v>
          </cell>
          <cell r="CW156">
            <v>10</v>
          </cell>
          <cell r="CX156">
            <v>0</v>
          </cell>
          <cell r="CY156">
            <v>0</v>
          </cell>
          <cell r="CZ156">
            <v>0</v>
          </cell>
          <cell r="DA156">
            <v>0</v>
          </cell>
          <cell r="DB156">
            <v>0</v>
          </cell>
          <cell r="DC156">
            <v>0</v>
          </cell>
          <cell r="DD156">
            <v>0</v>
          </cell>
          <cell r="DE156">
            <v>0</v>
          </cell>
          <cell r="DF156">
            <v>0</v>
          </cell>
          <cell r="DG156">
            <v>0</v>
          </cell>
          <cell r="DH156">
            <v>7.7</v>
          </cell>
          <cell r="DI156">
            <v>8.1999999999999993</v>
          </cell>
          <cell r="DJ156">
            <v>7.8</v>
          </cell>
          <cell r="DK156">
            <v>9.8000000000000007</v>
          </cell>
          <cell r="DL156">
            <v>8.8000000000000007</v>
          </cell>
          <cell r="DM156">
            <v>8.4</v>
          </cell>
          <cell r="DN156">
            <v>8.4</v>
          </cell>
          <cell r="DO156">
            <v>0</v>
          </cell>
          <cell r="DP156">
            <v>9.8000000000000007</v>
          </cell>
          <cell r="DQ156">
            <v>0</v>
          </cell>
          <cell r="DR156">
            <v>9.3000000000000007</v>
          </cell>
          <cell r="DS156">
            <v>0</v>
          </cell>
          <cell r="DT156">
            <v>0</v>
          </cell>
          <cell r="DU156">
            <v>0</v>
          </cell>
          <cell r="DV156">
            <v>0</v>
          </cell>
          <cell r="DW156">
            <v>0</v>
          </cell>
          <cell r="DX156">
            <v>0</v>
          </cell>
          <cell r="DY156">
            <v>0</v>
          </cell>
          <cell r="DZ156">
            <v>0</v>
          </cell>
          <cell r="EA156">
            <v>0</v>
          </cell>
          <cell r="EB156">
            <v>0</v>
          </cell>
        </row>
        <row r="157">
          <cell r="A157">
            <v>355973149</v>
          </cell>
          <cell r="D157" t="str">
            <v>NGUYỄN PHẠM ANH KHOA</v>
          </cell>
          <cell r="E157" t="str">
            <v>0</v>
          </cell>
          <cell r="F157" t="str">
            <v>13/10/2008</v>
          </cell>
          <cell r="G157" t="str">
            <v>kkhoa6829131028@gmail.com</v>
          </cell>
          <cell r="H157" t="str">
            <v>0355973149</v>
          </cell>
          <cell r="I157" t="str">
            <v>094208009233</v>
          </cell>
          <cell r="J157" t="str">
            <v>Cù lao dung</v>
          </cell>
          <cell r="K157" t="str">
            <v>KV3</v>
          </cell>
          <cell r="M157" t="str">
            <v>Không có</v>
          </cell>
          <cell r="N157" t="str">
            <v>Kinh</v>
          </cell>
          <cell r="P157" t="str">
            <v>2026</v>
          </cell>
          <cell r="Q157" t="str">
            <v>92033181</v>
          </cell>
          <cell r="R157" t="str">
            <v>Không có</v>
          </cell>
          <cell r="S157" t="str">
            <v>Không có</v>
          </cell>
          <cell r="T157" t="str">
            <v>Không có</v>
          </cell>
          <cell r="AA157" t="str">
            <v>Không có</v>
          </cell>
          <cell r="AF157" t="str">
            <v>92N</v>
          </cell>
          <cell r="AG157" t="str">
            <v>447</v>
          </cell>
          <cell r="AH157" t="str">
            <v>Trường THPT Đoàn Văn Tố (trước 01/7/2025)</v>
          </cell>
          <cell r="AI157" t="str">
            <v>92N</v>
          </cell>
          <cell r="AJ157" t="str">
            <v>447</v>
          </cell>
          <cell r="AK157" t="str">
            <v>Trường THPT Đoàn Văn Tố (trước 01/7/2025)</v>
          </cell>
          <cell r="AL157" t="str">
            <v>92N</v>
          </cell>
          <cell r="AM157" t="str">
            <v>220</v>
          </cell>
          <cell r="AN157" t="str">
            <v>Trường THPT Đoàn Văn Tố</v>
          </cell>
          <cell r="AO157" t="str">
            <v>GDPT2018</v>
          </cell>
          <cell r="AP157" t="str">
            <v>Đạt</v>
          </cell>
          <cell r="AQ157" t="str">
            <v>7.80</v>
          </cell>
          <cell r="AR157" t="str">
            <v>7.38</v>
          </cell>
          <cell r="AS157" t="str">
            <v>7.57</v>
          </cell>
          <cell r="AT157" t="str">
            <v>7.82</v>
          </cell>
          <cell r="AU157" t="str">
            <v>False</v>
          </cell>
          <cell r="AW157" t="str">
            <v>7340115</v>
          </cell>
          <cell r="AX157" t="str">
            <v>Marketing</v>
          </cell>
          <cell r="AY157" t="str">
            <v>7340122</v>
          </cell>
          <cell r="AZ157" t="str">
            <v>Thương mại điện tử</v>
          </cell>
          <cell r="BD157" t="str">
            <v>Chưa hoàn thành</v>
          </cell>
          <cell r="BF157" t="str">
            <v>3</v>
          </cell>
          <cell r="BM157" t="str">
            <v>True</v>
          </cell>
          <cell r="BN157" t="str">
            <v>False</v>
          </cell>
          <cell r="BR157">
            <v>5.4</v>
          </cell>
          <cell r="BS157">
            <v>6.9</v>
          </cell>
          <cell r="BT157">
            <v>7.2</v>
          </cell>
          <cell r="BU157">
            <v>9</v>
          </cell>
          <cell r="BV157">
            <v>7.7</v>
          </cell>
          <cell r="BW157">
            <v>7.9</v>
          </cell>
          <cell r="BX157">
            <v>7.2</v>
          </cell>
          <cell r="BY157">
            <v>0</v>
          </cell>
          <cell r="BZ157">
            <v>6</v>
          </cell>
          <cell r="CA157">
            <v>0</v>
          </cell>
          <cell r="CB157">
            <v>0</v>
          </cell>
          <cell r="CC157">
            <v>9.1</v>
          </cell>
          <cell r="CD157">
            <v>0</v>
          </cell>
          <cell r="CE157">
            <v>0</v>
          </cell>
          <cell r="CF157">
            <v>0</v>
          </cell>
          <cell r="CG157">
            <v>0</v>
          </cell>
          <cell r="CH157">
            <v>0</v>
          </cell>
          <cell r="CI157">
            <v>0</v>
          </cell>
          <cell r="CJ157">
            <v>0</v>
          </cell>
          <cell r="CK157">
            <v>0</v>
          </cell>
          <cell r="CL157">
            <v>0</v>
          </cell>
          <cell r="CM157">
            <v>6.3</v>
          </cell>
          <cell r="CN157">
            <v>7.5</v>
          </cell>
          <cell r="CO157">
            <v>6</v>
          </cell>
          <cell r="CP157">
            <v>9.1999999999999993</v>
          </cell>
          <cell r="CQ157">
            <v>8.3000000000000007</v>
          </cell>
          <cell r="CR157">
            <v>7.9</v>
          </cell>
          <cell r="CS157">
            <v>8</v>
          </cell>
          <cell r="CT157">
            <v>0</v>
          </cell>
          <cell r="CU157">
            <v>6.1</v>
          </cell>
          <cell r="CV157">
            <v>0</v>
          </cell>
          <cell r="CW157">
            <v>0</v>
          </cell>
          <cell r="CX157">
            <v>8.8000000000000007</v>
          </cell>
          <cell r="CY157">
            <v>0</v>
          </cell>
          <cell r="CZ157">
            <v>0</v>
          </cell>
          <cell r="DA157">
            <v>0</v>
          </cell>
          <cell r="DB157">
            <v>0</v>
          </cell>
          <cell r="DC157">
            <v>0</v>
          </cell>
          <cell r="DD157">
            <v>0</v>
          </cell>
          <cell r="DE157">
            <v>0</v>
          </cell>
          <cell r="DF157">
            <v>0</v>
          </cell>
          <cell r="DG157">
            <v>0</v>
          </cell>
          <cell r="DH157">
            <v>7.4</v>
          </cell>
          <cell r="DI157">
            <v>7.3</v>
          </cell>
          <cell r="DJ157">
            <v>6.7</v>
          </cell>
          <cell r="DK157">
            <v>9.8000000000000007</v>
          </cell>
          <cell r="DL157">
            <v>8.1</v>
          </cell>
          <cell r="DM157">
            <v>8.4</v>
          </cell>
          <cell r="DN157">
            <v>7.9</v>
          </cell>
          <cell r="DO157">
            <v>0</v>
          </cell>
          <cell r="DP157">
            <v>6.4</v>
          </cell>
          <cell r="DQ157">
            <v>0</v>
          </cell>
          <cell r="DR157">
            <v>0</v>
          </cell>
          <cell r="DS157">
            <v>8.4</v>
          </cell>
          <cell r="DT157">
            <v>0</v>
          </cell>
          <cell r="DU157">
            <v>0</v>
          </cell>
          <cell r="DV157">
            <v>0</v>
          </cell>
          <cell r="DW157">
            <v>0</v>
          </cell>
          <cell r="DX157">
            <v>0</v>
          </cell>
          <cell r="DY157">
            <v>0</v>
          </cell>
          <cell r="DZ157">
            <v>0</v>
          </cell>
          <cell r="EA157">
            <v>0</v>
          </cell>
          <cell r="EB157">
            <v>0</v>
          </cell>
          <cell r="EC157">
            <v>3.35</v>
          </cell>
          <cell r="ED157">
            <v>7</v>
          </cell>
          <cell r="EH157">
            <v>6</v>
          </cell>
          <cell r="EI157">
            <v>5.25</v>
          </cell>
        </row>
        <row r="158">
          <cell r="A158">
            <v>0</v>
          </cell>
          <cell r="D158" t="str">
            <v>HUỲNH THỊ MAI LAN</v>
          </cell>
          <cell r="E158" t="str">
            <v>0</v>
          </cell>
          <cell r="F158" t="str">
            <v>19/03/2008</v>
          </cell>
          <cell r="G158" t="str">
            <v>huynhthimailan.cktv@gmail.com</v>
          </cell>
          <cell r="I158" t="str">
            <v>084308005445</v>
          </cell>
          <cell r="BD158" t="str">
            <v>Chưa hoàn thành</v>
          </cell>
          <cell r="BF158" t="str">
            <v>3</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v>0</v>
          </cell>
          <cell r="DU158">
            <v>0</v>
          </cell>
          <cell r="DV158">
            <v>0</v>
          </cell>
          <cell r="DW158">
            <v>0</v>
          </cell>
          <cell r="DX158">
            <v>0</v>
          </cell>
          <cell r="DY158">
            <v>0</v>
          </cell>
          <cell r="DZ158">
            <v>0</v>
          </cell>
          <cell r="EA158">
            <v>0</v>
          </cell>
          <cell r="EB158">
            <v>0</v>
          </cell>
        </row>
        <row r="159">
          <cell r="A159">
            <v>0</v>
          </cell>
          <cell r="D159" t="str">
            <v>TRẦN MAI YẾN NHI</v>
          </cell>
          <cell r="E159" t="str">
            <v>0</v>
          </cell>
          <cell r="F159" t="str">
            <v>02/06/2008</v>
          </cell>
          <cell r="G159" t="str">
            <v>ynhi29086@gmail.com</v>
          </cell>
          <cell r="I159" t="str">
            <v>082308013848</v>
          </cell>
          <cell r="BD159" t="str">
            <v>Chưa hoàn thành</v>
          </cell>
          <cell r="BF159" t="str">
            <v>3</v>
          </cell>
          <cell r="BR159">
            <v>9.3000000000000007</v>
          </cell>
          <cell r="BS159">
            <v>8</v>
          </cell>
          <cell r="BT159">
            <v>8.8000000000000007</v>
          </cell>
          <cell r="BU159">
            <v>9.1</v>
          </cell>
          <cell r="BV159">
            <v>8.6999999999999993</v>
          </cell>
          <cell r="BW159">
            <v>0</v>
          </cell>
          <cell r="BX159">
            <v>0</v>
          </cell>
          <cell r="BY159">
            <v>9.5</v>
          </cell>
          <cell r="BZ159">
            <v>9.3000000000000007</v>
          </cell>
          <cell r="CA159">
            <v>9.1</v>
          </cell>
          <cell r="CB159">
            <v>9.8000000000000007</v>
          </cell>
          <cell r="CC159">
            <v>0</v>
          </cell>
          <cell r="CD159">
            <v>0</v>
          </cell>
          <cell r="CE159">
            <v>0</v>
          </cell>
          <cell r="CF159">
            <v>0</v>
          </cell>
          <cell r="CG159">
            <v>0</v>
          </cell>
          <cell r="CH159">
            <v>0</v>
          </cell>
          <cell r="CI159">
            <v>0</v>
          </cell>
          <cell r="CJ159">
            <v>0</v>
          </cell>
          <cell r="CK159">
            <v>0</v>
          </cell>
          <cell r="CL159">
            <v>0</v>
          </cell>
          <cell r="CM159">
            <v>9.5</v>
          </cell>
          <cell r="CN159">
            <v>8</v>
          </cell>
          <cell r="CO159">
            <v>8.9</v>
          </cell>
          <cell r="CP159">
            <v>9.6</v>
          </cell>
          <cell r="CQ159">
            <v>9.6</v>
          </cell>
          <cell r="CR159">
            <v>0</v>
          </cell>
          <cell r="CS159">
            <v>0</v>
          </cell>
          <cell r="CT159">
            <v>9.6999999999999993</v>
          </cell>
          <cell r="CU159">
            <v>8.9</v>
          </cell>
          <cell r="CV159">
            <v>9</v>
          </cell>
          <cell r="CW159">
            <v>9.9</v>
          </cell>
          <cell r="CX159">
            <v>0</v>
          </cell>
          <cell r="CY159">
            <v>0</v>
          </cell>
          <cell r="CZ159">
            <v>0</v>
          </cell>
          <cell r="DA159">
            <v>0</v>
          </cell>
          <cell r="DB159">
            <v>0</v>
          </cell>
          <cell r="DC159">
            <v>0</v>
          </cell>
          <cell r="DD159">
            <v>0</v>
          </cell>
          <cell r="DE159">
            <v>0</v>
          </cell>
          <cell r="DF159">
            <v>0</v>
          </cell>
          <cell r="DG159">
            <v>0</v>
          </cell>
          <cell r="DH159">
            <v>9.5</v>
          </cell>
          <cell r="DI159">
            <v>7.7</v>
          </cell>
          <cell r="DJ159">
            <v>8.6999999999999993</v>
          </cell>
          <cell r="DK159">
            <v>9.5</v>
          </cell>
          <cell r="DL159">
            <v>8.6</v>
          </cell>
          <cell r="DM159">
            <v>0</v>
          </cell>
          <cell r="DN159">
            <v>0</v>
          </cell>
          <cell r="DO159">
            <v>9.3000000000000007</v>
          </cell>
          <cell r="DP159">
            <v>9.1</v>
          </cell>
          <cell r="DQ159">
            <v>8.5</v>
          </cell>
          <cell r="DR159">
            <v>9.5</v>
          </cell>
          <cell r="DS159">
            <v>0</v>
          </cell>
          <cell r="DT159">
            <v>0</v>
          </cell>
          <cell r="DU159">
            <v>0</v>
          </cell>
          <cell r="DV159">
            <v>0</v>
          </cell>
          <cell r="DW159">
            <v>0</v>
          </cell>
          <cell r="DX159">
            <v>0</v>
          </cell>
          <cell r="DY159">
            <v>0</v>
          </cell>
          <cell r="DZ159">
            <v>0</v>
          </cell>
          <cell r="EA159">
            <v>0</v>
          </cell>
          <cell r="EB159">
            <v>0</v>
          </cell>
        </row>
        <row r="160">
          <cell r="A160">
            <v>394044338</v>
          </cell>
          <cell r="B160" t="str">
            <v>KSVBS2603875</v>
          </cell>
          <cell r="C160" t="str">
            <v>117</v>
          </cell>
          <cell r="D160" t="str">
            <v>ĐẶNG NGUYÊN GIÁP</v>
          </cell>
          <cell r="E160" t="str">
            <v>0</v>
          </cell>
          <cell r="F160" t="str">
            <v>21/12/2008</v>
          </cell>
          <cell r="G160" t="str">
            <v>giapdang122108@gmail.com</v>
          </cell>
          <cell r="H160" t="str">
            <v>0394044338</v>
          </cell>
          <cell r="I160" t="str">
            <v>066208001338</v>
          </cell>
          <cell r="J160" t="str">
            <v>Tổ Dân Phố 3, Ea Kao, Đắk Lắk</v>
          </cell>
          <cell r="K160" t="str">
            <v>KV2</v>
          </cell>
          <cell r="M160" t="str">
            <v>Không có</v>
          </cell>
          <cell r="N160" t="str">
            <v>Kinh</v>
          </cell>
          <cell r="P160" t="str">
            <v>2026</v>
          </cell>
          <cell r="Q160" t="str">
            <v>66018672</v>
          </cell>
          <cell r="R160" t="str">
            <v>Toán</v>
          </cell>
          <cell r="S160" t="str">
            <v>2026</v>
          </cell>
          <cell r="T160" t="str">
            <v>Nhì</v>
          </cell>
          <cell r="AA160" t="str">
            <v>Không có</v>
          </cell>
          <cell r="AF160" t="str">
            <v>66N</v>
          </cell>
          <cell r="AG160" t="str">
            <v>003</v>
          </cell>
          <cell r="AH160" t="str">
            <v>Trường THCS và THPT Tây Nguyên</v>
          </cell>
          <cell r="AI160" t="str">
            <v>66N</v>
          </cell>
          <cell r="AJ160" t="str">
            <v>003</v>
          </cell>
          <cell r="AK160" t="str">
            <v>Trường THCS và THPT Tây Nguyên</v>
          </cell>
          <cell r="AL160" t="str">
            <v>66N</v>
          </cell>
          <cell r="AM160" t="str">
            <v>003</v>
          </cell>
          <cell r="AN160" t="str">
            <v>Trường THCS và THPT Tây Nguyên</v>
          </cell>
          <cell r="AO160" t="str">
            <v>GDPT2018</v>
          </cell>
          <cell r="AP160" t="str">
            <v>Đạt</v>
          </cell>
          <cell r="AQ160" t="str">
            <v>8.20</v>
          </cell>
          <cell r="AR160" t="str">
            <v>8.13</v>
          </cell>
          <cell r="AS160" t="str">
            <v>8.34</v>
          </cell>
          <cell r="AT160" t="str">
            <v>8.54</v>
          </cell>
          <cell r="AU160" t="str">
            <v>False</v>
          </cell>
          <cell r="AW160" t="str">
            <v>7380107</v>
          </cell>
          <cell r="AX160" t="str">
            <v>Luật kinh tế</v>
          </cell>
          <cell r="BC160" t="str">
            <v>quynhlx</v>
          </cell>
          <cell r="BD160" t="str">
            <v>Đã được tiếp nhận</v>
          </cell>
          <cell r="BF160" t="str">
            <v>3</v>
          </cell>
          <cell r="BM160" t="str">
            <v>True</v>
          </cell>
          <cell r="BN160" t="str">
            <v>False</v>
          </cell>
          <cell r="BO160" t="str">
            <v>KQTHPT_158_066208001338.pdf</v>
          </cell>
          <cell r="BR160">
            <v>9.5</v>
          </cell>
          <cell r="BS160">
            <v>6.8</v>
          </cell>
          <cell r="BT160">
            <v>7.9</v>
          </cell>
          <cell r="BU160">
            <v>6.6</v>
          </cell>
          <cell r="BV160">
            <v>8.5</v>
          </cell>
          <cell r="BW160">
            <v>8.8000000000000007</v>
          </cell>
          <cell r="BX160">
            <v>0</v>
          </cell>
          <cell r="BY160">
            <v>8.4</v>
          </cell>
          <cell r="BZ160">
            <v>7.9</v>
          </cell>
          <cell r="CA160">
            <v>0</v>
          </cell>
          <cell r="CB160">
            <v>0</v>
          </cell>
          <cell r="CC160">
            <v>8.8000000000000007</v>
          </cell>
          <cell r="CD160">
            <v>0</v>
          </cell>
          <cell r="CE160">
            <v>0</v>
          </cell>
          <cell r="CF160">
            <v>0</v>
          </cell>
          <cell r="CG160">
            <v>0</v>
          </cell>
          <cell r="CH160">
            <v>0</v>
          </cell>
          <cell r="CI160">
            <v>0</v>
          </cell>
          <cell r="CJ160">
            <v>0</v>
          </cell>
          <cell r="CK160">
            <v>0</v>
          </cell>
          <cell r="CL160">
            <v>0</v>
          </cell>
          <cell r="CM160">
            <v>9.1999999999999993</v>
          </cell>
          <cell r="CN160">
            <v>6.9</v>
          </cell>
          <cell r="CO160">
            <v>8.4</v>
          </cell>
          <cell r="CP160">
            <v>7.2</v>
          </cell>
          <cell r="CQ160">
            <v>8.1999999999999993</v>
          </cell>
          <cell r="CR160">
            <v>9.1999999999999993</v>
          </cell>
          <cell r="CS160">
            <v>0</v>
          </cell>
          <cell r="CT160">
            <v>8.9</v>
          </cell>
          <cell r="CU160">
            <v>8.1999999999999993</v>
          </cell>
          <cell r="CV160">
            <v>0</v>
          </cell>
          <cell r="CW160">
            <v>0</v>
          </cell>
          <cell r="CX160">
            <v>8.9</v>
          </cell>
          <cell r="CY160">
            <v>0</v>
          </cell>
          <cell r="CZ160">
            <v>0</v>
          </cell>
          <cell r="DA160">
            <v>0</v>
          </cell>
          <cell r="DB160">
            <v>0</v>
          </cell>
          <cell r="DC160">
            <v>0</v>
          </cell>
          <cell r="DD160">
            <v>0</v>
          </cell>
          <cell r="DE160">
            <v>0</v>
          </cell>
          <cell r="DF160">
            <v>0</v>
          </cell>
          <cell r="DG160">
            <v>0</v>
          </cell>
          <cell r="DH160">
            <v>8.8000000000000007</v>
          </cell>
          <cell r="DI160">
            <v>6.5</v>
          </cell>
          <cell r="DJ160">
            <v>9</v>
          </cell>
          <cell r="DK160">
            <v>8.6</v>
          </cell>
          <cell r="DL160">
            <v>8.1</v>
          </cell>
          <cell r="DM160">
            <v>9</v>
          </cell>
          <cell r="DN160">
            <v>0</v>
          </cell>
          <cell r="DO160">
            <v>9.3000000000000007</v>
          </cell>
          <cell r="DP160">
            <v>8.5</v>
          </cell>
          <cell r="DQ160">
            <v>0</v>
          </cell>
          <cell r="DR160">
            <v>0</v>
          </cell>
          <cell r="DS160">
            <v>9.1</v>
          </cell>
          <cell r="DT160">
            <v>0</v>
          </cell>
          <cell r="DU160">
            <v>0</v>
          </cell>
          <cell r="DV160">
            <v>0</v>
          </cell>
          <cell r="DW160">
            <v>0</v>
          </cell>
          <cell r="DX160">
            <v>0</v>
          </cell>
          <cell r="DY160">
            <v>0</v>
          </cell>
          <cell r="DZ160">
            <v>0</v>
          </cell>
          <cell r="EA160">
            <v>0</v>
          </cell>
          <cell r="EB160">
            <v>0</v>
          </cell>
          <cell r="EC160">
            <v>8.75</v>
          </cell>
          <cell r="ED160">
            <v>6.25</v>
          </cell>
          <cell r="EJ160">
            <v>7.75</v>
          </cell>
          <cell r="EK160">
            <v>7.5</v>
          </cell>
        </row>
        <row r="161">
          <cell r="A161">
            <v>0</v>
          </cell>
          <cell r="D161" t="str">
            <v>BÙI MỸ HẠNH</v>
          </cell>
          <cell r="E161" t="str">
            <v>0</v>
          </cell>
          <cell r="F161" t="str">
            <v>29/01/2008</v>
          </cell>
          <cell r="G161" t="str">
            <v>buimyhanh0108@gmail.com</v>
          </cell>
          <cell r="I161" t="str">
            <v>051308003567</v>
          </cell>
          <cell r="BD161" t="str">
            <v>Chưa hoàn thành</v>
          </cell>
          <cell r="BF161" t="str">
            <v>3</v>
          </cell>
          <cell r="BR161">
            <v>9.5</v>
          </cell>
          <cell r="BS161">
            <v>8</v>
          </cell>
          <cell r="BT161">
            <v>0</v>
          </cell>
          <cell r="BU161">
            <v>0</v>
          </cell>
          <cell r="BV161">
            <v>7.8</v>
          </cell>
          <cell r="BW161">
            <v>0</v>
          </cell>
          <cell r="BX161">
            <v>0</v>
          </cell>
          <cell r="BY161">
            <v>8.8000000000000007</v>
          </cell>
          <cell r="BZ161">
            <v>9.4</v>
          </cell>
          <cell r="CA161">
            <v>0</v>
          </cell>
          <cell r="CB161">
            <v>9.5</v>
          </cell>
          <cell r="CC161">
            <v>9.1999999999999993</v>
          </cell>
          <cell r="CD161">
            <v>0</v>
          </cell>
          <cell r="CE161">
            <v>0</v>
          </cell>
          <cell r="CF161">
            <v>0</v>
          </cell>
          <cell r="CG161">
            <v>0</v>
          </cell>
          <cell r="CH161">
            <v>0</v>
          </cell>
          <cell r="CI161">
            <v>0</v>
          </cell>
          <cell r="CJ161">
            <v>0</v>
          </cell>
          <cell r="CK161">
            <v>0</v>
          </cell>
          <cell r="CL161">
            <v>0</v>
          </cell>
          <cell r="CM161">
            <v>9.6</v>
          </cell>
          <cell r="CN161">
            <v>7.4</v>
          </cell>
          <cell r="CO161">
            <v>0</v>
          </cell>
          <cell r="CP161">
            <v>0</v>
          </cell>
          <cell r="CQ161">
            <v>9.4</v>
          </cell>
          <cell r="CR161">
            <v>0</v>
          </cell>
          <cell r="CS161">
            <v>0</v>
          </cell>
          <cell r="CT161">
            <v>9</v>
          </cell>
          <cell r="CU161">
            <v>9.1</v>
          </cell>
          <cell r="CV161">
            <v>0</v>
          </cell>
          <cell r="CW161">
            <v>9</v>
          </cell>
          <cell r="CX161">
            <v>9.4</v>
          </cell>
          <cell r="CY161">
            <v>0</v>
          </cell>
          <cell r="CZ161">
            <v>0</v>
          </cell>
          <cell r="DA161">
            <v>0</v>
          </cell>
          <cell r="DB161">
            <v>0</v>
          </cell>
          <cell r="DC161">
            <v>0</v>
          </cell>
          <cell r="DD161">
            <v>0</v>
          </cell>
          <cell r="DE161">
            <v>0</v>
          </cell>
          <cell r="DF161">
            <v>0</v>
          </cell>
          <cell r="DG161">
            <v>0</v>
          </cell>
          <cell r="DH161">
            <v>9.5</v>
          </cell>
          <cell r="DI161">
            <v>8.3000000000000007</v>
          </cell>
          <cell r="DJ161">
            <v>0</v>
          </cell>
          <cell r="DK161">
            <v>0</v>
          </cell>
          <cell r="DL161">
            <v>9.9</v>
          </cell>
          <cell r="DM161">
            <v>0</v>
          </cell>
          <cell r="DN161">
            <v>0</v>
          </cell>
          <cell r="DO161">
            <v>9.6</v>
          </cell>
          <cell r="DP161">
            <v>8</v>
          </cell>
          <cell r="DQ161">
            <v>0</v>
          </cell>
          <cell r="DR161">
            <v>9.6</v>
          </cell>
          <cell r="DS161">
            <v>8.6999999999999993</v>
          </cell>
          <cell r="DT161">
            <v>0</v>
          </cell>
          <cell r="DU161">
            <v>0</v>
          </cell>
          <cell r="DV161">
            <v>0</v>
          </cell>
          <cell r="DW161">
            <v>0</v>
          </cell>
          <cell r="DX161">
            <v>0</v>
          </cell>
          <cell r="DY161">
            <v>0</v>
          </cell>
          <cell r="DZ161">
            <v>0</v>
          </cell>
          <cell r="EA161">
            <v>0</v>
          </cell>
          <cell r="EB161">
            <v>0</v>
          </cell>
        </row>
        <row r="162">
          <cell r="A162">
            <v>832105502</v>
          </cell>
          <cell r="B162" t="str">
            <v>KSVBS2642494</v>
          </cell>
          <cell r="C162" t="str">
            <v>105</v>
          </cell>
          <cell r="D162" t="str">
            <v>NGUYỄN CÔNG DANH</v>
          </cell>
          <cell r="E162" t="str">
            <v>0</v>
          </cell>
          <cell r="F162" t="str">
            <v>19/12/2007</v>
          </cell>
          <cell r="G162" t="str">
            <v>congdanhcreative.work@gmail.com</v>
          </cell>
          <cell r="H162" t="str">
            <v>0832105502</v>
          </cell>
          <cell r="I162" t="str">
            <v>082207003641</v>
          </cell>
          <cell r="J162" t="str">
            <v xml:space="preserve">Ấp Hậu Vinh Xã Hội Cư Tỉnh Đồng Tháp </v>
          </cell>
          <cell r="K162" t="str">
            <v>KV2-NT</v>
          </cell>
          <cell r="M162" t="str">
            <v>Không có</v>
          </cell>
          <cell r="N162" t="str">
            <v>Kinh</v>
          </cell>
          <cell r="P162" t="str">
            <v>2025</v>
          </cell>
          <cell r="R162" t="str">
            <v>Không có</v>
          </cell>
          <cell r="S162" t="str">
            <v>Không có</v>
          </cell>
          <cell r="T162" t="str">
            <v>Không có</v>
          </cell>
          <cell r="AA162" t="str">
            <v>Không có</v>
          </cell>
          <cell r="AF162" t="str">
            <v>87N</v>
          </cell>
          <cell r="AG162" t="str">
            <v>611</v>
          </cell>
          <cell r="AH162" t="str">
            <v>THPT Huỳnh Văn Sâm</v>
          </cell>
          <cell r="AI162" t="str">
            <v>87N</v>
          </cell>
          <cell r="AJ162" t="str">
            <v>611</v>
          </cell>
          <cell r="AK162" t="str">
            <v>THPT Huỳnh Văn Sâm</v>
          </cell>
          <cell r="AL162" t="str">
            <v>87N</v>
          </cell>
          <cell r="AM162" t="str">
            <v>611</v>
          </cell>
          <cell r="AN162" t="str">
            <v>THPT Huỳnh Văn Sâm</v>
          </cell>
          <cell r="AO162" t="str">
            <v>GDPT2018</v>
          </cell>
          <cell r="AP162" t="str">
            <v>Giỏi</v>
          </cell>
          <cell r="AQ162" t="str">
            <v>7.70</v>
          </cell>
          <cell r="AR162" t="str">
            <v>7.60</v>
          </cell>
          <cell r="AS162" t="str">
            <v>7.37</v>
          </cell>
          <cell r="AT162" t="str">
            <v>8.83</v>
          </cell>
          <cell r="AU162" t="str">
            <v>False</v>
          </cell>
          <cell r="AW162" t="str">
            <v>7340120</v>
          </cell>
          <cell r="AX162" t="str">
            <v>Kinh doanh quốc tế</v>
          </cell>
          <cell r="AY162" t="str">
            <v>7480107</v>
          </cell>
          <cell r="AZ162" t="str">
            <v>Robot và Trí tuệ nhân tạo (hệ kỹ sư)</v>
          </cell>
          <cell r="BA162" t="str">
            <v>7340115</v>
          </cell>
          <cell r="BB162" t="str">
            <v>Marketing</v>
          </cell>
          <cell r="BC162" t="str">
            <v>phamhuong</v>
          </cell>
          <cell r="BD162" t="str">
            <v>Bổ sung minh chứng</v>
          </cell>
          <cell r="BE162" t="str">
            <v>Em chụp đầy đủ tất cả các trang trong học bạ:
• Trang thông tin học sinh
• Kết quả học tập 10,11,12
• Kết quả rèn luyện, nhận xét lớp 10, 11, 12
=&gt; Hình ảnh phải rõ nét, đầy đủ chữ ký và dấu mộc trường THPT
Bổ sung Điểm thi tốt nghiệp và Giấy chứng nhận kết quả thi THPT 2026 nữa nha e</v>
          </cell>
          <cell r="BF162" t="str">
            <v>3</v>
          </cell>
          <cell r="BM162" t="str">
            <v>False</v>
          </cell>
          <cell r="BN162" t="str">
            <v>False</v>
          </cell>
          <cell r="BR162">
            <v>4.7</v>
          </cell>
          <cell r="BS162">
            <v>8.5</v>
          </cell>
          <cell r="BT162">
            <v>6.1</v>
          </cell>
          <cell r="BU162">
            <v>7.8</v>
          </cell>
          <cell r="BV162">
            <v>7.7</v>
          </cell>
          <cell r="BW162">
            <v>8.4</v>
          </cell>
          <cell r="BX162">
            <v>0</v>
          </cell>
          <cell r="BY162">
            <v>0</v>
          </cell>
          <cell r="BZ162">
            <v>0</v>
          </cell>
          <cell r="CA162">
            <v>0</v>
          </cell>
          <cell r="CB162">
            <v>0</v>
          </cell>
          <cell r="CC162">
            <v>0</v>
          </cell>
          <cell r="CD162">
            <v>10</v>
          </cell>
          <cell r="CE162">
            <v>0</v>
          </cell>
          <cell r="CF162">
            <v>0</v>
          </cell>
          <cell r="CG162">
            <v>0</v>
          </cell>
          <cell r="CH162">
            <v>0</v>
          </cell>
          <cell r="CI162">
            <v>0</v>
          </cell>
          <cell r="CJ162">
            <v>0</v>
          </cell>
          <cell r="CK162">
            <v>0</v>
          </cell>
          <cell r="CL162">
            <v>0</v>
          </cell>
          <cell r="CM162">
            <v>4.7</v>
          </cell>
          <cell r="CN162">
            <v>7.5</v>
          </cell>
          <cell r="CO162">
            <v>6</v>
          </cell>
          <cell r="CP162">
            <v>7.5</v>
          </cell>
          <cell r="CQ162">
            <v>7.3</v>
          </cell>
          <cell r="CR162">
            <v>8.6</v>
          </cell>
          <cell r="CS162">
            <v>0</v>
          </cell>
          <cell r="CT162">
            <v>0</v>
          </cell>
          <cell r="CU162">
            <v>0</v>
          </cell>
          <cell r="CV162">
            <v>0</v>
          </cell>
          <cell r="CW162">
            <v>0</v>
          </cell>
          <cell r="CX162">
            <v>0</v>
          </cell>
          <cell r="CY162">
            <v>10</v>
          </cell>
          <cell r="CZ162">
            <v>0</v>
          </cell>
          <cell r="DA162">
            <v>0</v>
          </cell>
          <cell r="DB162">
            <v>0</v>
          </cell>
          <cell r="DC162">
            <v>0</v>
          </cell>
          <cell r="DD162">
            <v>0</v>
          </cell>
          <cell r="DE162">
            <v>0</v>
          </cell>
          <cell r="DF162">
            <v>0</v>
          </cell>
          <cell r="DG162">
            <v>0</v>
          </cell>
          <cell r="DH162">
            <v>7.9</v>
          </cell>
          <cell r="DI162">
            <v>8.4</v>
          </cell>
          <cell r="DJ162">
            <v>7.5</v>
          </cell>
          <cell r="DK162">
            <v>8.9</v>
          </cell>
          <cell r="DL162">
            <v>9</v>
          </cell>
          <cell r="DM162">
            <v>8.9</v>
          </cell>
          <cell r="DN162">
            <v>0</v>
          </cell>
          <cell r="DO162">
            <v>0</v>
          </cell>
          <cell r="DP162">
            <v>0</v>
          </cell>
          <cell r="DQ162">
            <v>0</v>
          </cell>
          <cell r="DR162">
            <v>10</v>
          </cell>
          <cell r="DS162">
            <v>0</v>
          </cell>
          <cell r="DT162">
            <v>10</v>
          </cell>
          <cell r="DU162">
            <v>0</v>
          </cell>
          <cell r="DV162">
            <v>0</v>
          </cell>
          <cell r="DW162">
            <v>0</v>
          </cell>
          <cell r="DX162">
            <v>0</v>
          </cell>
          <cell r="DY162">
            <v>0</v>
          </cell>
          <cell r="DZ162">
            <v>0</v>
          </cell>
          <cell r="EA162">
            <v>0</v>
          </cell>
          <cell r="EB162">
            <v>0</v>
          </cell>
        </row>
        <row r="163">
          <cell r="A163">
            <v>926814889</v>
          </cell>
          <cell r="D163" t="str">
            <v>NGUYỄN NGỌC MINH THƯ</v>
          </cell>
          <cell r="E163" t="str">
            <v>1</v>
          </cell>
          <cell r="F163" t="str">
            <v>03/08/2008</v>
          </cell>
          <cell r="G163" t="str">
            <v>tn3188623@gmail.com</v>
          </cell>
          <cell r="H163" t="str">
            <v>0926814889</v>
          </cell>
          <cell r="I163" t="str">
            <v>089308002210</v>
          </cell>
          <cell r="J163" t="str">
            <v>146/4B Thoại Ngọc Hầu khóm Mỹ Long 2</v>
          </cell>
          <cell r="K163" t="str">
            <v>KV2</v>
          </cell>
          <cell r="M163" t="str">
            <v>Không có</v>
          </cell>
          <cell r="N163" t="str">
            <v>Kinh</v>
          </cell>
          <cell r="P163" t="str">
            <v>2026</v>
          </cell>
          <cell r="Q163" t="str">
            <v>91016468</v>
          </cell>
          <cell r="R163" t="str">
            <v>Không có</v>
          </cell>
          <cell r="S163" t="str">
            <v>Không có</v>
          </cell>
          <cell r="T163" t="str">
            <v>Không có</v>
          </cell>
          <cell r="W163" t="str">
            <v>0.00</v>
          </cell>
          <cell r="X163" t="str">
            <v>610645</v>
          </cell>
          <cell r="Y163" t="str">
            <v>D26WUDGC8</v>
          </cell>
          <cell r="Z163" t="str">
            <v>686.00</v>
          </cell>
          <cell r="AA163" t="str">
            <v>Không có</v>
          </cell>
          <cell r="AF163" t="str">
            <v>89N</v>
          </cell>
          <cell r="AG163" t="str">
            <v>186</v>
          </cell>
          <cell r="AH163" t="str">
            <v>Trung tâm GDTX An Giang 2</v>
          </cell>
          <cell r="AI163" t="str">
            <v>89N</v>
          </cell>
          <cell r="AJ163" t="str">
            <v>186</v>
          </cell>
          <cell r="AK163" t="str">
            <v>Trung tâm GDTX An Giang 2</v>
          </cell>
          <cell r="AL163" t="str">
            <v>89N</v>
          </cell>
          <cell r="AM163" t="str">
            <v>186</v>
          </cell>
          <cell r="AN163" t="str">
            <v>Trung tâm GDTX An Giang 2</v>
          </cell>
          <cell r="AO163" t="str">
            <v>GDPT2018</v>
          </cell>
          <cell r="AP163" t="str">
            <v>Tốt</v>
          </cell>
          <cell r="AQ163" t="str">
            <v>7.24</v>
          </cell>
          <cell r="AR163" t="str">
            <v>7.96</v>
          </cell>
          <cell r="AS163" t="str">
            <v>8.14</v>
          </cell>
          <cell r="AT163" t="str">
            <v>8.44</v>
          </cell>
          <cell r="AU163" t="str">
            <v>True</v>
          </cell>
          <cell r="AW163" t="str">
            <v>7340115</v>
          </cell>
          <cell r="AX163" t="str">
            <v>Marketing</v>
          </cell>
          <cell r="AY163" t="str">
            <v>7340120</v>
          </cell>
          <cell r="AZ163" t="str">
            <v>Kinh doanh quốc tế</v>
          </cell>
          <cell r="BA163" t="str">
            <v>7810201</v>
          </cell>
          <cell r="BB163" t="str">
            <v>Quản trị khách sạn</v>
          </cell>
          <cell r="BD163" t="str">
            <v>Chưa hoàn thành</v>
          </cell>
          <cell r="BF163" t="str">
            <v>3</v>
          </cell>
          <cell r="BM163" t="str">
            <v>True</v>
          </cell>
          <cell r="BN163" t="str">
            <v>False</v>
          </cell>
          <cell r="BR163">
            <v>8.5</v>
          </cell>
          <cell r="BS163">
            <v>7.7</v>
          </cell>
          <cell r="BT163">
            <v>0</v>
          </cell>
          <cell r="BU163">
            <v>0</v>
          </cell>
          <cell r="BV163">
            <v>7.8</v>
          </cell>
          <cell r="BW163">
            <v>8.3000000000000007</v>
          </cell>
          <cell r="BX163">
            <v>6.2</v>
          </cell>
          <cell r="BY163">
            <v>0</v>
          </cell>
          <cell r="BZ163">
            <v>0</v>
          </cell>
          <cell r="CA163">
            <v>8.4</v>
          </cell>
          <cell r="CB163">
            <v>8.8000000000000007</v>
          </cell>
          <cell r="CC163">
            <v>0</v>
          </cell>
          <cell r="CD163">
            <v>0</v>
          </cell>
          <cell r="CE163">
            <v>0</v>
          </cell>
          <cell r="CF163">
            <v>0</v>
          </cell>
          <cell r="CG163">
            <v>0</v>
          </cell>
          <cell r="CH163">
            <v>0</v>
          </cell>
          <cell r="CI163">
            <v>0</v>
          </cell>
          <cell r="CJ163">
            <v>0</v>
          </cell>
          <cell r="CK163">
            <v>0</v>
          </cell>
          <cell r="CL163">
            <v>0</v>
          </cell>
          <cell r="CM163">
            <v>8.5</v>
          </cell>
          <cell r="CN163">
            <v>7</v>
          </cell>
          <cell r="CO163">
            <v>0</v>
          </cell>
          <cell r="CP163">
            <v>0</v>
          </cell>
          <cell r="CQ163">
            <v>8</v>
          </cell>
          <cell r="CR163">
            <v>7.6</v>
          </cell>
          <cell r="CS163">
            <v>8.1</v>
          </cell>
          <cell r="CT163">
            <v>0</v>
          </cell>
          <cell r="CU163">
            <v>0</v>
          </cell>
          <cell r="CV163">
            <v>9.3000000000000007</v>
          </cell>
          <cell r="CW163">
            <v>8.5</v>
          </cell>
          <cell r="CX163">
            <v>0</v>
          </cell>
          <cell r="CY163">
            <v>0</v>
          </cell>
          <cell r="CZ163">
            <v>0</v>
          </cell>
          <cell r="DA163">
            <v>0</v>
          </cell>
          <cell r="DB163">
            <v>0</v>
          </cell>
          <cell r="DC163">
            <v>0</v>
          </cell>
          <cell r="DD163">
            <v>0</v>
          </cell>
          <cell r="DE163">
            <v>0</v>
          </cell>
          <cell r="DF163">
            <v>0</v>
          </cell>
          <cell r="DG163">
            <v>0</v>
          </cell>
          <cell r="DH163">
            <v>8.1</v>
          </cell>
          <cell r="DI163">
            <v>8.1999999999999993</v>
          </cell>
          <cell r="DJ163">
            <v>0</v>
          </cell>
          <cell r="DK163">
            <v>0</v>
          </cell>
          <cell r="DL163">
            <v>8.6</v>
          </cell>
          <cell r="DM163">
            <v>8.9</v>
          </cell>
          <cell r="DN163">
            <v>7.6</v>
          </cell>
          <cell r="DO163">
            <v>0</v>
          </cell>
          <cell r="DP163">
            <v>0</v>
          </cell>
          <cell r="DQ163">
            <v>8.1</v>
          </cell>
          <cell r="DR163">
            <v>9.6</v>
          </cell>
          <cell r="DS163">
            <v>0</v>
          </cell>
          <cell r="DT163">
            <v>0</v>
          </cell>
          <cell r="DU163">
            <v>0</v>
          </cell>
          <cell r="DV163">
            <v>0</v>
          </cell>
          <cell r="DW163">
            <v>0</v>
          </cell>
          <cell r="DX163">
            <v>0</v>
          </cell>
          <cell r="DY163">
            <v>0</v>
          </cell>
          <cell r="DZ163">
            <v>0</v>
          </cell>
          <cell r="EA163">
            <v>0</v>
          </cell>
          <cell r="EB163">
            <v>0</v>
          </cell>
          <cell r="EC163">
            <v>5.75</v>
          </cell>
          <cell r="ED163">
            <v>6.5</v>
          </cell>
          <cell r="EE163">
            <v>0</v>
          </cell>
          <cell r="EG163">
            <v>5.5</v>
          </cell>
          <cell r="EH163">
            <v>5.0999999999999996</v>
          </cell>
          <cell r="EI163">
            <v>0</v>
          </cell>
          <cell r="EJ163">
            <v>0</v>
          </cell>
          <cell r="EK163">
            <v>0</v>
          </cell>
          <cell r="EL163">
            <v>0</v>
          </cell>
          <cell r="EN163">
            <v>0</v>
          </cell>
        </row>
        <row r="164">
          <cell r="A164">
            <v>763525668</v>
          </cell>
          <cell r="D164" t="str">
            <v>LƯƠNG HỒ KIM NGỌC</v>
          </cell>
          <cell r="E164" t="str">
            <v>0</v>
          </cell>
          <cell r="F164" t="str">
            <v>03/05/2008</v>
          </cell>
          <cell r="G164" t="str">
            <v>kimngoc5668@gmail.com</v>
          </cell>
          <cell r="H164" t="str">
            <v>0763525668</v>
          </cell>
          <cell r="I164" t="str">
            <v>080308001595</v>
          </cell>
          <cell r="J164" t="str">
            <v>Số 161, Ấp Nguyễn Tán</v>
          </cell>
          <cell r="K164" t="str">
            <v>KV2-NT</v>
          </cell>
          <cell r="M164" t="str">
            <v>Không có</v>
          </cell>
          <cell r="N164" t="str">
            <v>Kinh</v>
          </cell>
          <cell r="P164" t="str">
            <v>2026</v>
          </cell>
          <cell r="Q164" t="str">
            <v>80002119</v>
          </cell>
          <cell r="R164" t="str">
            <v>Không có</v>
          </cell>
          <cell r="S164" t="str">
            <v>Không có</v>
          </cell>
          <cell r="T164" t="str">
            <v>Không có</v>
          </cell>
          <cell r="U164" t="str">
            <v>031694</v>
          </cell>
          <cell r="V164" t="str">
            <v>D26189832</v>
          </cell>
          <cell r="W164" t="str">
            <v>633.00</v>
          </cell>
          <cell r="X164" t="str">
            <v>580759</v>
          </cell>
          <cell r="Y164" t="str">
            <v>D26459172</v>
          </cell>
          <cell r="Z164" t="str">
            <v>597.00</v>
          </cell>
          <cell r="AA164" t="str">
            <v>Không có</v>
          </cell>
          <cell r="AF164" t="str">
            <v>72N</v>
          </cell>
          <cell r="AG164" t="str">
            <v>209</v>
          </cell>
          <cell r="AH164" t="str">
            <v>THCS&amp;THPT Hậu Thạnh Đông</v>
          </cell>
          <cell r="AI164" t="str">
            <v>72N</v>
          </cell>
          <cell r="AJ164" t="str">
            <v>209</v>
          </cell>
          <cell r="AK164" t="str">
            <v>THCS&amp;THPT Hậu Thạnh Đông</v>
          </cell>
          <cell r="AL164" t="str">
            <v>72N</v>
          </cell>
          <cell r="AM164" t="str">
            <v>209</v>
          </cell>
          <cell r="AN164" t="str">
            <v>THCS&amp;THPT Hậu Thạnh Đông</v>
          </cell>
          <cell r="AO164" t="str">
            <v>GDPT2018</v>
          </cell>
          <cell r="AP164" t="str">
            <v>Đạt</v>
          </cell>
          <cell r="AQ164" t="str">
            <v>8.37</v>
          </cell>
          <cell r="AR164" t="str">
            <v>9.32</v>
          </cell>
          <cell r="AS164" t="str">
            <v>9.32</v>
          </cell>
          <cell r="AT164" t="str">
            <v>9.53</v>
          </cell>
          <cell r="AU164" t="str">
            <v>True</v>
          </cell>
          <cell r="AW164" t="str">
            <v>7340122</v>
          </cell>
          <cell r="AX164" t="str">
            <v>Thương mại điện tử</v>
          </cell>
          <cell r="AY164" t="str">
            <v>7340115</v>
          </cell>
          <cell r="AZ164" t="str">
            <v>Marketing</v>
          </cell>
          <cell r="BD164" t="str">
            <v>Chưa hoàn thành</v>
          </cell>
          <cell r="BF164" t="str">
            <v>3</v>
          </cell>
          <cell r="BM164" t="str">
            <v>True</v>
          </cell>
          <cell r="BN164" t="str">
            <v>True</v>
          </cell>
          <cell r="BR164">
            <v>9.6</v>
          </cell>
          <cell r="BS164">
            <v>9.1</v>
          </cell>
          <cell r="BT164">
            <v>9.1</v>
          </cell>
          <cell r="BU164">
            <v>9.6</v>
          </cell>
          <cell r="BV164">
            <v>9.1</v>
          </cell>
          <cell r="BW164">
            <v>0</v>
          </cell>
          <cell r="BX164">
            <v>0</v>
          </cell>
          <cell r="BY164">
            <v>9.4</v>
          </cell>
          <cell r="BZ164">
            <v>9.6</v>
          </cell>
          <cell r="CA164">
            <v>9.1999999999999993</v>
          </cell>
          <cell r="CB164">
            <v>0</v>
          </cell>
          <cell r="CC164">
            <v>9.1999999999999993</v>
          </cell>
          <cell r="CD164">
            <v>0</v>
          </cell>
          <cell r="CE164">
            <v>0</v>
          </cell>
          <cell r="CF164">
            <v>0</v>
          </cell>
          <cell r="CG164">
            <v>0</v>
          </cell>
          <cell r="CH164">
            <v>0</v>
          </cell>
          <cell r="CI164">
            <v>0</v>
          </cell>
          <cell r="CJ164">
            <v>0</v>
          </cell>
          <cell r="CK164">
            <v>0</v>
          </cell>
          <cell r="CL164">
            <v>0</v>
          </cell>
          <cell r="CM164">
            <v>9.1</v>
          </cell>
          <cell r="CN164">
            <v>9</v>
          </cell>
          <cell r="CO164">
            <v>9.4</v>
          </cell>
          <cell r="CP164">
            <v>9.3000000000000007</v>
          </cell>
          <cell r="CQ164">
            <v>8.8000000000000007</v>
          </cell>
          <cell r="CR164">
            <v>0</v>
          </cell>
          <cell r="CS164">
            <v>0</v>
          </cell>
          <cell r="CT164">
            <v>9.6999999999999993</v>
          </cell>
          <cell r="CU164">
            <v>9.3000000000000007</v>
          </cell>
          <cell r="CV164">
            <v>9.5</v>
          </cell>
          <cell r="CW164">
            <v>0</v>
          </cell>
          <cell r="CX164">
            <v>9.8000000000000007</v>
          </cell>
          <cell r="CY164">
            <v>0</v>
          </cell>
          <cell r="CZ164">
            <v>0</v>
          </cell>
          <cell r="DA164">
            <v>0</v>
          </cell>
          <cell r="DB164">
            <v>0</v>
          </cell>
          <cell r="DC164">
            <v>0</v>
          </cell>
          <cell r="DD164">
            <v>0</v>
          </cell>
          <cell r="DE164">
            <v>0</v>
          </cell>
          <cell r="DF164">
            <v>0</v>
          </cell>
          <cell r="DG164">
            <v>0</v>
          </cell>
          <cell r="DH164">
            <v>10</v>
          </cell>
          <cell r="DI164">
            <v>9.1999999999999993</v>
          </cell>
          <cell r="DJ164">
            <v>9.1999999999999993</v>
          </cell>
          <cell r="DK164">
            <v>9.6</v>
          </cell>
          <cell r="DL164">
            <v>9.1</v>
          </cell>
          <cell r="DM164">
            <v>0</v>
          </cell>
          <cell r="DN164">
            <v>0</v>
          </cell>
          <cell r="DO164">
            <v>9.8000000000000007</v>
          </cell>
          <cell r="DP164">
            <v>9.6</v>
          </cell>
          <cell r="DQ164">
            <v>9.5</v>
          </cell>
          <cell r="DR164">
            <v>0</v>
          </cell>
          <cell r="DS164">
            <v>9.8000000000000007</v>
          </cell>
          <cell r="DT164">
            <v>0</v>
          </cell>
          <cell r="DU164">
            <v>0</v>
          </cell>
          <cell r="DV164">
            <v>0</v>
          </cell>
          <cell r="DW164">
            <v>0</v>
          </cell>
          <cell r="DX164">
            <v>0</v>
          </cell>
          <cell r="DY164">
            <v>0</v>
          </cell>
          <cell r="DZ164">
            <v>0</v>
          </cell>
          <cell r="EA164">
            <v>0</v>
          </cell>
          <cell r="EB164">
            <v>0</v>
          </cell>
          <cell r="EC164">
            <v>8.5</v>
          </cell>
          <cell r="ED164">
            <v>7.25</v>
          </cell>
          <cell r="EJ164">
            <v>5.5</v>
          </cell>
          <cell r="EK164">
            <v>8</v>
          </cell>
          <cell r="EW164">
            <v>124.5</v>
          </cell>
          <cell r="FB164">
            <v>89</v>
          </cell>
          <cell r="FC164">
            <v>92</v>
          </cell>
        </row>
        <row r="165">
          <cell r="A165">
            <v>0</v>
          </cell>
          <cell r="D165" t="str">
            <v>ĐỖ ANH VŨ</v>
          </cell>
          <cell r="E165" t="str">
            <v>0</v>
          </cell>
          <cell r="F165" t="str">
            <v>03/07/2008</v>
          </cell>
          <cell r="G165" t="str">
            <v>dovu203204@gmail.com</v>
          </cell>
          <cell r="I165" t="str">
            <v>089208010756</v>
          </cell>
          <cell r="BD165" t="str">
            <v>Chưa hoàn thành</v>
          </cell>
          <cell r="BF165" t="str">
            <v>3</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0</v>
          </cell>
          <cell r="CO165">
            <v>0</v>
          </cell>
          <cell r="CP165">
            <v>0</v>
          </cell>
          <cell r="CQ165">
            <v>0</v>
          </cell>
          <cell r="CR165">
            <v>0</v>
          </cell>
          <cell r="CS165">
            <v>0</v>
          </cell>
          <cell r="CT165">
            <v>0</v>
          </cell>
          <cell r="CU165">
            <v>0</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0</v>
          </cell>
          <cell r="DM165">
            <v>0</v>
          </cell>
          <cell r="DN165">
            <v>0</v>
          </cell>
          <cell r="DO165">
            <v>0</v>
          </cell>
          <cell r="DP165">
            <v>0</v>
          </cell>
          <cell r="DQ165">
            <v>0</v>
          </cell>
          <cell r="DR165">
            <v>0</v>
          </cell>
          <cell r="DS165">
            <v>0</v>
          </cell>
          <cell r="DT165">
            <v>0</v>
          </cell>
          <cell r="DU165">
            <v>0</v>
          </cell>
          <cell r="DV165">
            <v>0</v>
          </cell>
          <cell r="DW165">
            <v>0</v>
          </cell>
          <cell r="DX165">
            <v>0</v>
          </cell>
          <cell r="DY165">
            <v>0</v>
          </cell>
          <cell r="DZ165">
            <v>0</v>
          </cell>
          <cell r="EA165">
            <v>0</v>
          </cell>
          <cell r="EB165">
            <v>0</v>
          </cell>
        </row>
        <row r="166">
          <cell r="A166">
            <v>0</v>
          </cell>
          <cell r="D166" t="str">
            <v>PHAN TƯỜNG THÔNG</v>
          </cell>
          <cell r="E166" t="str">
            <v>0</v>
          </cell>
          <cell r="F166" t="str">
            <v>19/10/2008</v>
          </cell>
          <cell r="G166" t="str">
            <v>phantuongthongnc2008@gmail.com</v>
          </cell>
          <cell r="I166" t="str">
            <v>096208010695</v>
          </cell>
          <cell r="BD166" t="str">
            <v>Chưa hoàn thành</v>
          </cell>
          <cell r="BF166" t="str">
            <v>3</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v>0</v>
          </cell>
          <cell r="DU166">
            <v>0</v>
          </cell>
          <cell r="DV166">
            <v>0</v>
          </cell>
          <cell r="DW166">
            <v>0</v>
          </cell>
          <cell r="DX166">
            <v>0</v>
          </cell>
          <cell r="DY166">
            <v>0</v>
          </cell>
          <cell r="DZ166">
            <v>0</v>
          </cell>
          <cell r="EA166">
            <v>0</v>
          </cell>
          <cell r="EB166">
            <v>0</v>
          </cell>
        </row>
        <row r="167">
          <cell r="A167">
            <v>0</v>
          </cell>
          <cell r="D167" t="str">
            <v>TRẦN MINH LỘC</v>
          </cell>
          <cell r="E167" t="str">
            <v>0</v>
          </cell>
          <cell r="F167" t="str">
            <v>12/04/2008</v>
          </cell>
          <cell r="G167" t="str">
            <v>mloc1248@gmail.com</v>
          </cell>
          <cell r="I167" t="str">
            <v>084208007736</v>
          </cell>
          <cell r="BD167" t="str">
            <v>Chưa hoàn thành</v>
          </cell>
          <cell r="BF167" t="str">
            <v>3</v>
          </cell>
          <cell r="BR167">
            <v>5.0999999999999996</v>
          </cell>
          <cell r="BS167">
            <v>5</v>
          </cell>
          <cell r="BT167">
            <v>5.0999999999999996</v>
          </cell>
          <cell r="BU167">
            <v>7.8</v>
          </cell>
          <cell r="BV167">
            <v>7.6</v>
          </cell>
          <cell r="BW167">
            <v>7</v>
          </cell>
          <cell r="BX167">
            <v>0</v>
          </cell>
          <cell r="BY167">
            <v>6.6</v>
          </cell>
          <cell r="BZ167">
            <v>0</v>
          </cell>
          <cell r="CA167">
            <v>7.3</v>
          </cell>
          <cell r="CB167">
            <v>0</v>
          </cell>
          <cell r="CC167">
            <v>7.3</v>
          </cell>
          <cell r="CD167">
            <v>0</v>
          </cell>
          <cell r="CE167">
            <v>0</v>
          </cell>
          <cell r="CF167">
            <v>0</v>
          </cell>
          <cell r="CG167">
            <v>0</v>
          </cell>
          <cell r="CH167">
            <v>0</v>
          </cell>
          <cell r="CI167">
            <v>0</v>
          </cell>
          <cell r="CJ167">
            <v>0</v>
          </cell>
          <cell r="CK167">
            <v>0</v>
          </cell>
          <cell r="CL167">
            <v>0</v>
          </cell>
          <cell r="CM167">
            <v>7.1</v>
          </cell>
          <cell r="CN167">
            <v>7.5</v>
          </cell>
          <cell r="CO167">
            <v>5.7</v>
          </cell>
          <cell r="CP167">
            <v>7.8</v>
          </cell>
          <cell r="CQ167">
            <v>7.9</v>
          </cell>
          <cell r="CR167">
            <v>7.6</v>
          </cell>
          <cell r="CS167">
            <v>0</v>
          </cell>
          <cell r="CT167">
            <v>5.7</v>
          </cell>
          <cell r="CU167">
            <v>0</v>
          </cell>
          <cell r="CV167">
            <v>8.3000000000000007</v>
          </cell>
          <cell r="CW167">
            <v>0</v>
          </cell>
          <cell r="CX167">
            <v>6.9</v>
          </cell>
          <cell r="CY167">
            <v>0</v>
          </cell>
          <cell r="CZ167">
            <v>0</v>
          </cell>
          <cell r="DA167">
            <v>0</v>
          </cell>
          <cell r="DB167">
            <v>0</v>
          </cell>
          <cell r="DC167">
            <v>0</v>
          </cell>
          <cell r="DD167">
            <v>0</v>
          </cell>
          <cell r="DE167">
            <v>0</v>
          </cell>
          <cell r="DF167">
            <v>0</v>
          </cell>
          <cell r="DG167">
            <v>0</v>
          </cell>
          <cell r="DH167">
            <v>7.9</v>
          </cell>
          <cell r="DI167">
            <v>7.3</v>
          </cell>
          <cell r="DJ167">
            <v>6.2</v>
          </cell>
          <cell r="DK167">
            <v>8.1999999999999993</v>
          </cell>
          <cell r="DL167">
            <v>8.6</v>
          </cell>
          <cell r="DM167">
            <v>7.9</v>
          </cell>
          <cell r="DN167">
            <v>0</v>
          </cell>
          <cell r="DO167">
            <v>6.2</v>
          </cell>
          <cell r="DP167">
            <v>0</v>
          </cell>
          <cell r="DQ167">
            <v>7.6</v>
          </cell>
          <cell r="DR167">
            <v>0</v>
          </cell>
          <cell r="DS167">
            <v>8.5</v>
          </cell>
          <cell r="DT167">
            <v>0</v>
          </cell>
          <cell r="DU167">
            <v>0</v>
          </cell>
          <cell r="DV167">
            <v>0</v>
          </cell>
          <cell r="DW167">
            <v>0</v>
          </cell>
          <cell r="DX167">
            <v>0</v>
          </cell>
          <cell r="DY167">
            <v>0</v>
          </cell>
          <cell r="DZ167">
            <v>0</v>
          </cell>
          <cell r="EA167">
            <v>0</v>
          </cell>
          <cell r="EB167">
            <v>0</v>
          </cell>
        </row>
        <row r="168">
          <cell r="A168">
            <v>0</v>
          </cell>
          <cell r="D168" t="str">
            <v>HỒ THỊ NGỌC DIỆU</v>
          </cell>
          <cell r="E168" t="str">
            <v>0</v>
          </cell>
          <cell r="F168" t="str">
            <v>16/02/2008</v>
          </cell>
          <cell r="G168" t="str">
            <v>ngocdieuag2025@gmail.com</v>
          </cell>
          <cell r="I168" t="str">
            <v>089308004554</v>
          </cell>
          <cell r="BD168" t="str">
            <v>Chưa hoàn thành</v>
          </cell>
          <cell r="BF168" t="str">
            <v>3</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0</v>
          </cell>
          <cell r="CG168">
            <v>0</v>
          </cell>
          <cell r="CH168">
            <v>0</v>
          </cell>
          <cell r="CI168">
            <v>0</v>
          </cell>
          <cell r="CJ168">
            <v>0</v>
          </cell>
          <cell r="CK168">
            <v>0</v>
          </cell>
          <cell r="CL168">
            <v>0</v>
          </cell>
          <cell r="CM168">
            <v>0</v>
          </cell>
          <cell r="CN168">
            <v>0</v>
          </cell>
          <cell r="CO168">
            <v>0</v>
          </cell>
          <cell r="CP168">
            <v>0</v>
          </cell>
          <cell r="CQ168">
            <v>0</v>
          </cell>
          <cell r="CR168">
            <v>0</v>
          </cell>
          <cell r="CS168">
            <v>0</v>
          </cell>
          <cell r="CT168">
            <v>0</v>
          </cell>
          <cell r="CU168">
            <v>0</v>
          </cell>
          <cell r="CV168">
            <v>0</v>
          </cell>
          <cell r="CW168">
            <v>0</v>
          </cell>
          <cell r="CX168">
            <v>0</v>
          </cell>
          <cell r="CY168">
            <v>0</v>
          </cell>
          <cell r="CZ168">
            <v>0</v>
          </cell>
          <cell r="DA168">
            <v>0</v>
          </cell>
          <cell r="DB168">
            <v>0</v>
          </cell>
          <cell r="DC168">
            <v>0</v>
          </cell>
          <cell r="DD168">
            <v>0</v>
          </cell>
          <cell r="DE168">
            <v>0</v>
          </cell>
          <cell r="DF168">
            <v>0</v>
          </cell>
          <cell r="DG168">
            <v>0</v>
          </cell>
          <cell r="DH168">
            <v>0</v>
          </cell>
          <cell r="DI168">
            <v>0</v>
          </cell>
          <cell r="DJ168">
            <v>0</v>
          </cell>
          <cell r="DK168">
            <v>0</v>
          </cell>
          <cell r="DL168">
            <v>0</v>
          </cell>
          <cell r="DM168">
            <v>0</v>
          </cell>
          <cell r="DN168">
            <v>0</v>
          </cell>
          <cell r="DO168">
            <v>0</v>
          </cell>
          <cell r="DP168">
            <v>0</v>
          </cell>
          <cell r="DQ168">
            <v>0</v>
          </cell>
          <cell r="DR168">
            <v>0</v>
          </cell>
          <cell r="DS168">
            <v>0</v>
          </cell>
          <cell r="DT168">
            <v>0</v>
          </cell>
          <cell r="DU168">
            <v>0</v>
          </cell>
          <cell r="DV168">
            <v>0</v>
          </cell>
          <cell r="DW168">
            <v>0</v>
          </cell>
          <cell r="DX168">
            <v>0</v>
          </cell>
          <cell r="DY168">
            <v>0</v>
          </cell>
          <cell r="DZ168">
            <v>0</v>
          </cell>
          <cell r="EA168">
            <v>0</v>
          </cell>
          <cell r="EB168">
            <v>0</v>
          </cell>
        </row>
        <row r="169">
          <cell r="A169">
            <v>347605264</v>
          </cell>
          <cell r="D169" t="str">
            <v>NGUYỄN ANH ĐÀO</v>
          </cell>
          <cell r="E169" t="str">
            <v>1</v>
          </cell>
          <cell r="F169" t="str">
            <v>02/04/2007</v>
          </cell>
          <cell r="G169" t="str">
            <v>nguyenanhdao020407@gmail.com</v>
          </cell>
          <cell r="H169" t="str">
            <v>0347605264</v>
          </cell>
          <cell r="I169" t="str">
            <v>091307014219</v>
          </cell>
          <cell r="J169" t="str">
            <v>Số nhà 104b , tổ 1 , Ấp lương trực , xã Long thạnh , Tỉnh Ăn Giang</v>
          </cell>
          <cell r="K169" t="str">
            <v>KV1</v>
          </cell>
          <cell r="M169" t="str">
            <v>Không có</v>
          </cell>
          <cell r="N169" t="str">
            <v>Kinh</v>
          </cell>
          <cell r="P169" t="str">
            <v>2026</v>
          </cell>
          <cell r="Q169" t="str">
            <v>91003514</v>
          </cell>
          <cell r="R169" t="str">
            <v>Không có</v>
          </cell>
          <cell r="S169" t="str">
            <v>Không có</v>
          </cell>
          <cell r="T169" t="str">
            <v>Không có</v>
          </cell>
          <cell r="AA169" t="str">
            <v>Không có</v>
          </cell>
          <cell r="AF169" t="str">
            <v>89N</v>
          </cell>
          <cell r="AG169" t="str">
            <v>034</v>
          </cell>
          <cell r="AH169" t="str">
            <v>Trường THCS&amp;THPT Định An</v>
          </cell>
          <cell r="AI169" t="str">
            <v>89N</v>
          </cell>
          <cell r="AJ169" t="str">
            <v>034</v>
          </cell>
          <cell r="AK169" t="str">
            <v>Trường THCS&amp;THPT Định An</v>
          </cell>
          <cell r="AL169" t="str">
            <v>89N</v>
          </cell>
          <cell r="AM169" t="str">
            <v>034</v>
          </cell>
          <cell r="AN169" t="str">
            <v>Trường THCS&amp;THPT Định An</v>
          </cell>
          <cell r="AO169" t="str">
            <v>GDPT2018</v>
          </cell>
          <cell r="AP169" t="str">
            <v>Giỏi</v>
          </cell>
          <cell r="AQ169" t="str">
            <v>6.43</v>
          </cell>
          <cell r="AR169" t="str">
            <v>6.96</v>
          </cell>
          <cell r="AS169" t="str">
            <v>7.42</v>
          </cell>
          <cell r="AT169" t="str">
            <v>8.38</v>
          </cell>
          <cell r="AU169" t="str">
            <v>False</v>
          </cell>
          <cell r="AW169" t="str">
            <v>7340122</v>
          </cell>
          <cell r="AX169" t="str">
            <v>Thương mại điện tử</v>
          </cell>
          <cell r="AY169" t="str">
            <v>7340115</v>
          </cell>
          <cell r="AZ169" t="str">
            <v>Marketing</v>
          </cell>
          <cell r="BA169" t="str">
            <v>7340101</v>
          </cell>
          <cell r="BB169" t="str">
            <v>Quản trị</v>
          </cell>
          <cell r="BD169" t="str">
            <v>Chưa hoàn thành</v>
          </cell>
          <cell r="BF169" t="str">
            <v>3</v>
          </cell>
          <cell r="BM169" t="str">
            <v>False</v>
          </cell>
          <cell r="BN169" t="str">
            <v>False</v>
          </cell>
          <cell r="BR169">
            <v>5.6</v>
          </cell>
          <cell r="BS169">
            <v>6.8</v>
          </cell>
          <cell r="BT169">
            <v>5.2</v>
          </cell>
          <cell r="BU169">
            <v>6.7</v>
          </cell>
          <cell r="BV169">
            <v>9</v>
          </cell>
          <cell r="BW169">
            <v>0</v>
          </cell>
          <cell r="BX169">
            <v>0</v>
          </cell>
          <cell r="BY169">
            <v>7.3</v>
          </cell>
          <cell r="BZ169">
            <v>5.7</v>
          </cell>
          <cell r="CA169">
            <v>8.1</v>
          </cell>
          <cell r="CB169">
            <v>0</v>
          </cell>
          <cell r="CC169">
            <v>8.1999999999999993</v>
          </cell>
          <cell r="CD169">
            <v>0</v>
          </cell>
          <cell r="CE169">
            <v>0</v>
          </cell>
          <cell r="CF169">
            <v>0</v>
          </cell>
          <cell r="CG169">
            <v>0</v>
          </cell>
          <cell r="CH169">
            <v>0</v>
          </cell>
          <cell r="CI169">
            <v>0</v>
          </cell>
          <cell r="CJ169">
            <v>0</v>
          </cell>
          <cell r="CK169">
            <v>0</v>
          </cell>
          <cell r="CL169">
            <v>0</v>
          </cell>
          <cell r="CM169">
            <v>6.4</v>
          </cell>
          <cell r="CN169">
            <v>6.8</v>
          </cell>
          <cell r="CO169">
            <v>7.4</v>
          </cell>
          <cell r="CP169">
            <v>7.6</v>
          </cell>
          <cell r="CQ169">
            <v>8.1999999999999993</v>
          </cell>
          <cell r="CR169">
            <v>0</v>
          </cell>
          <cell r="CS169">
            <v>0</v>
          </cell>
          <cell r="CT169">
            <v>5.8</v>
          </cell>
          <cell r="CU169">
            <v>6.9</v>
          </cell>
          <cell r="CV169">
            <v>8.6999999999999993</v>
          </cell>
          <cell r="CW169">
            <v>0</v>
          </cell>
          <cell r="CX169">
            <v>9</v>
          </cell>
          <cell r="CY169">
            <v>0</v>
          </cell>
          <cell r="CZ169">
            <v>0</v>
          </cell>
          <cell r="DA169">
            <v>0</v>
          </cell>
          <cell r="DB169">
            <v>0</v>
          </cell>
          <cell r="DC169">
            <v>0</v>
          </cell>
          <cell r="DD169">
            <v>0</v>
          </cell>
          <cell r="DE169">
            <v>0</v>
          </cell>
          <cell r="DF169">
            <v>0</v>
          </cell>
          <cell r="DG169">
            <v>0</v>
          </cell>
          <cell r="DH169">
            <v>8.3000000000000007</v>
          </cell>
          <cell r="DI169">
            <v>7.9</v>
          </cell>
          <cell r="DJ169">
            <v>8.4</v>
          </cell>
          <cell r="DK169">
            <v>7.9</v>
          </cell>
          <cell r="DL169">
            <v>8.6</v>
          </cell>
          <cell r="DM169">
            <v>0</v>
          </cell>
          <cell r="DN169">
            <v>0</v>
          </cell>
          <cell r="DO169">
            <v>9.1</v>
          </cell>
          <cell r="DP169">
            <v>7.8</v>
          </cell>
          <cell r="DQ169">
            <v>8.5</v>
          </cell>
          <cell r="DR169">
            <v>0</v>
          </cell>
          <cell r="DS169">
            <v>8.9</v>
          </cell>
          <cell r="DT169">
            <v>0</v>
          </cell>
          <cell r="DU169">
            <v>0</v>
          </cell>
          <cell r="DV169">
            <v>0</v>
          </cell>
          <cell r="DW169">
            <v>0</v>
          </cell>
          <cell r="DX169">
            <v>0</v>
          </cell>
          <cell r="DY169">
            <v>0</v>
          </cell>
          <cell r="DZ169">
            <v>0</v>
          </cell>
          <cell r="EA169">
            <v>0</v>
          </cell>
          <cell r="EB169">
            <v>0</v>
          </cell>
        </row>
        <row r="170">
          <cell r="A170">
            <v>333709867</v>
          </cell>
          <cell r="B170" t="str">
            <v>KSVBS2616527</v>
          </cell>
          <cell r="C170" t="str">
            <v>107</v>
          </cell>
          <cell r="D170" t="str">
            <v>NGUYỄN THỊ MỸ HẠNH</v>
          </cell>
          <cell r="E170" t="str">
            <v>1</v>
          </cell>
          <cell r="F170" t="str">
            <v>01/12/2008</v>
          </cell>
          <cell r="G170" t="str">
            <v>nmyhanh100@gmail.com</v>
          </cell>
          <cell r="H170" t="str">
            <v>0333709867</v>
          </cell>
          <cell r="I170" t="str">
            <v>089308015401</v>
          </cell>
          <cell r="J170" t="str">
            <v>ấp Sơn Tân, xã Óc Eo, Tỉnh An Giang</v>
          </cell>
          <cell r="K170" t="str">
            <v>KV2-NT</v>
          </cell>
          <cell r="M170" t="str">
            <v>Không có</v>
          </cell>
          <cell r="N170" t="str">
            <v>Kinh</v>
          </cell>
          <cell r="P170" t="str">
            <v>2026</v>
          </cell>
          <cell r="Q170" t="str">
            <v>91030538</v>
          </cell>
          <cell r="R170" t="str">
            <v>Không có</v>
          </cell>
          <cell r="S170" t="str">
            <v>Không có</v>
          </cell>
          <cell r="T170" t="str">
            <v>Không có</v>
          </cell>
          <cell r="W170" t="str">
            <v>0.00</v>
          </cell>
          <cell r="X170" t="str">
            <v>615247</v>
          </cell>
          <cell r="Y170" t="str">
            <v>D26RA6YD2</v>
          </cell>
          <cell r="Z170" t="str">
            <v>541.00</v>
          </cell>
          <cell r="AA170" t="str">
            <v>Không có</v>
          </cell>
          <cell r="AF170" t="str">
            <v>89N</v>
          </cell>
          <cell r="AG170" t="str">
            <v>127</v>
          </cell>
          <cell r="AH170" t="str">
            <v>Trường THPT Nguyễn Văn Thoại</v>
          </cell>
          <cell r="AI170" t="str">
            <v>89N</v>
          </cell>
          <cell r="AJ170" t="str">
            <v>127</v>
          </cell>
          <cell r="AK170" t="str">
            <v>Trường THPT Nguyễn Văn Thoại</v>
          </cell>
          <cell r="AL170" t="str">
            <v>89N</v>
          </cell>
          <cell r="AM170" t="str">
            <v>127</v>
          </cell>
          <cell r="AN170" t="str">
            <v>Trường THPT Nguyễn Văn Thoại</v>
          </cell>
          <cell r="AO170" t="str">
            <v>GDPT2018</v>
          </cell>
          <cell r="AP170" t="str">
            <v>Tốt</v>
          </cell>
          <cell r="AQ170" t="str">
            <v>7.14</v>
          </cell>
          <cell r="AR170" t="str">
            <v>7.69</v>
          </cell>
          <cell r="AS170" t="str">
            <v>8.12</v>
          </cell>
          <cell r="AT170" t="str">
            <v>8.58</v>
          </cell>
          <cell r="AU170" t="str">
            <v>True</v>
          </cell>
          <cell r="AW170" t="str">
            <v>7340201_1</v>
          </cell>
          <cell r="AX170" t="str">
            <v>Ngân hàng</v>
          </cell>
          <cell r="AY170" t="str">
            <v>7340201_2</v>
          </cell>
          <cell r="AZ170" t="str">
            <v>Tài chính</v>
          </cell>
          <cell r="BA170" t="str">
            <v>7340101</v>
          </cell>
          <cell r="BB170" t="str">
            <v>Quản trị</v>
          </cell>
          <cell r="BC170" t="str">
            <v>quynhlx</v>
          </cell>
          <cell r="BD170" t="str">
            <v>Đã được tiếp nhận</v>
          </cell>
          <cell r="BF170" t="str">
            <v>3</v>
          </cell>
          <cell r="BM170" t="str">
            <v>True</v>
          </cell>
          <cell r="BN170" t="str">
            <v>False</v>
          </cell>
          <cell r="BO170" t="str">
            <v>KQTHPT_168_089308015401.pdf</v>
          </cell>
          <cell r="BP170" t="str">
            <v>KQDGNL_168_089308015401.pdf</v>
          </cell>
          <cell r="BR170">
            <v>7.9</v>
          </cell>
          <cell r="BS170">
            <v>6.1</v>
          </cell>
          <cell r="BT170">
            <v>7.7</v>
          </cell>
          <cell r="BU170">
            <v>8.9</v>
          </cell>
          <cell r="BV170">
            <v>7.2</v>
          </cell>
          <cell r="BW170">
            <v>0</v>
          </cell>
          <cell r="BX170">
            <v>0</v>
          </cell>
          <cell r="BY170">
            <v>7.7</v>
          </cell>
          <cell r="BZ170">
            <v>7.2</v>
          </cell>
          <cell r="CA170">
            <v>8.5</v>
          </cell>
          <cell r="CB170">
            <v>0</v>
          </cell>
          <cell r="CC170">
            <v>8</v>
          </cell>
          <cell r="CD170">
            <v>0</v>
          </cell>
          <cell r="CE170">
            <v>0</v>
          </cell>
          <cell r="CF170">
            <v>0</v>
          </cell>
          <cell r="CG170">
            <v>0</v>
          </cell>
          <cell r="CH170">
            <v>0</v>
          </cell>
          <cell r="CI170">
            <v>0</v>
          </cell>
          <cell r="CJ170">
            <v>0</v>
          </cell>
          <cell r="CK170">
            <v>0</v>
          </cell>
          <cell r="CL170">
            <v>0</v>
          </cell>
          <cell r="CM170">
            <v>7.3</v>
          </cell>
          <cell r="CN170">
            <v>7.2</v>
          </cell>
          <cell r="CO170">
            <v>7.9</v>
          </cell>
          <cell r="CP170">
            <v>9.1999999999999993</v>
          </cell>
          <cell r="CQ170">
            <v>8.3000000000000007</v>
          </cell>
          <cell r="CR170">
            <v>0</v>
          </cell>
          <cell r="CS170">
            <v>0</v>
          </cell>
          <cell r="CT170">
            <v>8.6999999999999993</v>
          </cell>
          <cell r="CU170">
            <v>8.4</v>
          </cell>
          <cell r="CV170">
            <v>9.1</v>
          </cell>
          <cell r="CW170">
            <v>0</v>
          </cell>
          <cell r="CX170">
            <v>7</v>
          </cell>
          <cell r="CY170">
            <v>0</v>
          </cell>
          <cell r="CZ170">
            <v>0</v>
          </cell>
          <cell r="DA170">
            <v>0</v>
          </cell>
          <cell r="DB170">
            <v>0</v>
          </cell>
          <cell r="DC170">
            <v>0</v>
          </cell>
          <cell r="DD170">
            <v>0</v>
          </cell>
          <cell r="DE170">
            <v>0</v>
          </cell>
          <cell r="DF170">
            <v>0</v>
          </cell>
          <cell r="DG170">
            <v>0</v>
          </cell>
          <cell r="DH170">
            <v>8.5</v>
          </cell>
          <cell r="DI170">
            <v>7.9</v>
          </cell>
          <cell r="DJ170">
            <v>7.5</v>
          </cell>
          <cell r="DK170">
            <v>9.1999999999999993</v>
          </cell>
          <cell r="DL170">
            <v>8.3000000000000007</v>
          </cell>
          <cell r="DM170">
            <v>0</v>
          </cell>
          <cell r="DN170">
            <v>0</v>
          </cell>
          <cell r="DO170">
            <v>9.1</v>
          </cell>
          <cell r="DP170">
            <v>8.9</v>
          </cell>
          <cell r="DQ170">
            <v>8.5</v>
          </cell>
          <cell r="DR170">
            <v>0</v>
          </cell>
          <cell r="DS170">
            <v>9.3000000000000007</v>
          </cell>
          <cell r="DT170">
            <v>0</v>
          </cell>
          <cell r="DU170">
            <v>0</v>
          </cell>
          <cell r="DV170">
            <v>0</v>
          </cell>
          <cell r="DW170">
            <v>0</v>
          </cell>
          <cell r="DX170">
            <v>0</v>
          </cell>
          <cell r="DY170">
            <v>0</v>
          </cell>
          <cell r="DZ170">
            <v>0</v>
          </cell>
          <cell r="EA170">
            <v>0</v>
          </cell>
          <cell r="EB170">
            <v>0</v>
          </cell>
          <cell r="EC170">
            <v>5</v>
          </cell>
          <cell r="ED170">
            <v>7.25</v>
          </cell>
          <cell r="EJ170">
            <v>5.25</v>
          </cell>
          <cell r="EK170">
            <v>6.5</v>
          </cell>
        </row>
        <row r="171">
          <cell r="A171">
            <v>0</v>
          </cell>
          <cell r="D171" t="str">
            <v>NGUYỄN THỊ KIM LAN</v>
          </cell>
          <cell r="E171" t="str">
            <v>0</v>
          </cell>
          <cell r="F171" t="str">
            <v>16/07/2008</v>
          </cell>
          <cell r="G171" t="str">
            <v>Nguyenthikimlan1607207@gmail.com</v>
          </cell>
          <cell r="I171" t="str">
            <v>044308008794</v>
          </cell>
          <cell r="BD171" t="str">
            <v>Chưa hoàn thành</v>
          </cell>
          <cell r="BF171" t="str">
            <v>3</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v>0</v>
          </cell>
          <cell r="DU171">
            <v>0</v>
          </cell>
          <cell r="DV171">
            <v>0</v>
          </cell>
          <cell r="DW171">
            <v>0</v>
          </cell>
          <cell r="DX171">
            <v>0</v>
          </cell>
          <cell r="DY171">
            <v>0</v>
          </cell>
          <cell r="DZ171">
            <v>0</v>
          </cell>
          <cell r="EA171">
            <v>0</v>
          </cell>
          <cell r="EB171">
            <v>0</v>
          </cell>
        </row>
        <row r="172">
          <cell r="A172">
            <v>0</v>
          </cell>
          <cell r="D172" t="str">
            <v>NGUYỄN VĂN CHÍ VĨ</v>
          </cell>
          <cell r="E172" t="str">
            <v>0</v>
          </cell>
          <cell r="F172" t="str">
            <v>03/11/2008</v>
          </cell>
          <cell r="G172" t="str">
            <v>nguyenvanchivi835@gmail.com</v>
          </cell>
          <cell r="I172" t="str">
            <v>067208005489</v>
          </cell>
          <cell r="BD172" t="str">
            <v>Chưa hoàn thành</v>
          </cell>
          <cell r="BF172" t="str">
            <v>3</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cell r="DN172">
            <v>0</v>
          </cell>
          <cell r="DO172">
            <v>0</v>
          </cell>
          <cell r="DP172">
            <v>0</v>
          </cell>
          <cell r="DQ172">
            <v>0</v>
          </cell>
          <cell r="DR172">
            <v>0</v>
          </cell>
          <cell r="DS172">
            <v>0</v>
          </cell>
          <cell r="DT172">
            <v>0</v>
          </cell>
          <cell r="DU172">
            <v>0</v>
          </cell>
          <cell r="DV172">
            <v>0</v>
          </cell>
          <cell r="DW172">
            <v>0</v>
          </cell>
          <cell r="DX172">
            <v>0</v>
          </cell>
          <cell r="DY172">
            <v>0</v>
          </cell>
          <cell r="DZ172">
            <v>0</v>
          </cell>
          <cell r="EA172">
            <v>0</v>
          </cell>
          <cell r="EB172">
            <v>0</v>
          </cell>
        </row>
        <row r="173">
          <cell r="A173">
            <v>949848299</v>
          </cell>
          <cell r="B173" t="str">
            <v>KSVBS2630961</v>
          </cell>
          <cell r="C173" t="str">
            <v>113</v>
          </cell>
          <cell r="D173" t="str">
            <v>NGUYỄN THIÊN ĐỨC</v>
          </cell>
          <cell r="E173" t="str">
            <v>0</v>
          </cell>
          <cell r="F173" t="str">
            <v>17/11/2008</v>
          </cell>
          <cell r="G173" t="str">
            <v>thienducnguyen996@gmail.com</v>
          </cell>
          <cell r="H173" t="str">
            <v>0949848299</v>
          </cell>
          <cell r="I173" t="str">
            <v>096208012431</v>
          </cell>
          <cell r="J173" t="str">
            <v>ấp 2, xã Cái Nước, Cà Mau</v>
          </cell>
          <cell r="K173" t="str">
            <v>KV2-NT</v>
          </cell>
          <cell r="M173" t="str">
            <v>Không có</v>
          </cell>
          <cell r="N173" t="str">
            <v>Kinh</v>
          </cell>
          <cell r="P173" t="str">
            <v>2026</v>
          </cell>
          <cell r="Q173" t="str">
            <v>96008338</v>
          </cell>
          <cell r="R173" t="str">
            <v>Tiếng Anh</v>
          </cell>
          <cell r="S173" t="str">
            <v>2024</v>
          </cell>
          <cell r="T173" t="str">
            <v>Ba</v>
          </cell>
          <cell r="AA173" t="str">
            <v>Không có</v>
          </cell>
          <cell r="AF173" t="str">
            <v>96N</v>
          </cell>
          <cell r="AG173" t="str">
            <v>397</v>
          </cell>
          <cell r="AH173" t="str">
            <v>THPT Cái Nước</v>
          </cell>
          <cell r="AI173" t="str">
            <v>96N</v>
          </cell>
          <cell r="AJ173" t="str">
            <v>397</v>
          </cell>
          <cell r="AK173" t="str">
            <v>THPT Cái Nước</v>
          </cell>
          <cell r="AL173" t="str">
            <v>96N</v>
          </cell>
          <cell r="AM173" t="str">
            <v>011</v>
          </cell>
          <cell r="AN173" t="str">
            <v>THPT Cái Nước</v>
          </cell>
          <cell r="AO173" t="str">
            <v>GDPT2018</v>
          </cell>
          <cell r="AP173" t="str">
            <v>Giỏi</v>
          </cell>
          <cell r="AQ173" t="str">
            <v>8.78</v>
          </cell>
          <cell r="AR173" t="str">
            <v>8.66</v>
          </cell>
          <cell r="AS173" t="str">
            <v>8.77</v>
          </cell>
          <cell r="AT173" t="str">
            <v>8.78</v>
          </cell>
          <cell r="AU173" t="str">
            <v>False</v>
          </cell>
          <cell r="AW173" t="str">
            <v>7480107</v>
          </cell>
          <cell r="AX173" t="str">
            <v>Robot và Trí tuệ nhân tạo (hệ kỹ sư)</v>
          </cell>
          <cell r="BC173" t="str">
            <v>quynhlx</v>
          </cell>
          <cell r="BD173" t="str">
            <v>Đã được tiếp nhận</v>
          </cell>
          <cell r="BE173" t="str">
            <v>em kê và up thêm giấy chứng nhận kết quả thi tốt nghiệp 2026 nha</v>
          </cell>
          <cell r="BF173" t="str">
            <v>3</v>
          </cell>
          <cell r="BM173" t="str">
            <v>True</v>
          </cell>
          <cell r="BN173" t="str">
            <v>True</v>
          </cell>
          <cell r="BO173" t="str">
            <v>KQTHPT_171_096208012431.pdf</v>
          </cell>
          <cell r="BQ173" t="str">
            <v>KQVSAT_171_096208012431.pdf</v>
          </cell>
          <cell r="BR173">
            <v>8.3000000000000007</v>
          </cell>
          <cell r="BS173">
            <v>8.1</v>
          </cell>
          <cell r="BT173">
            <v>8.3000000000000007</v>
          </cell>
          <cell r="BU173">
            <v>9</v>
          </cell>
          <cell r="BV173">
            <v>8.9</v>
          </cell>
          <cell r="BW173">
            <v>9.1999999999999993</v>
          </cell>
          <cell r="BX173">
            <v>8.4</v>
          </cell>
          <cell r="BY173">
            <v>0</v>
          </cell>
          <cell r="BZ173">
            <v>0</v>
          </cell>
          <cell r="CA173">
            <v>0</v>
          </cell>
          <cell r="CB173">
            <v>8.6</v>
          </cell>
          <cell r="CC173">
            <v>9.1</v>
          </cell>
          <cell r="CD173">
            <v>0</v>
          </cell>
          <cell r="CE173">
            <v>0</v>
          </cell>
          <cell r="CF173">
            <v>0</v>
          </cell>
          <cell r="CG173">
            <v>0</v>
          </cell>
          <cell r="CH173">
            <v>0</v>
          </cell>
          <cell r="CI173">
            <v>0</v>
          </cell>
          <cell r="CJ173">
            <v>0</v>
          </cell>
          <cell r="CK173">
            <v>0</v>
          </cell>
          <cell r="CL173">
            <v>0</v>
          </cell>
          <cell r="CM173">
            <v>7.2</v>
          </cell>
          <cell r="CN173">
            <v>8.5</v>
          </cell>
          <cell r="CO173">
            <v>9</v>
          </cell>
          <cell r="CP173">
            <v>9.1999999999999993</v>
          </cell>
          <cell r="CQ173">
            <v>9.5</v>
          </cell>
          <cell r="CR173">
            <v>9.1999999999999993</v>
          </cell>
          <cell r="CS173">
            <v>8.1999999999999993</v>
          </cell>
          <cell r="CT173">
            <v>0</v>
          </cell>
          <cell r="CU173">
            <v>0</v>
          </cell>
          <cell r="CV173">
            <v>0</v>
          </cell>
          <cell r="CW173">
            <v>9.1</v>
          </cell>
          <cell r="CX173">
            <v>9</v>
          </cell>
          <cell r="CY173">
            <v>0</v>
          </cell>
          <cell r="CZ173">
            <v>0</v>
          </cell>
          <cell r="DA173">
            <v>0</v>
          </cell>
          <cell r="DB173">
            <v>0</v>
          </cell>
          <cell r="DC173">
            <v>0</v>
          </cell>
          <cell r="DD173">
            <v>0</v>
          </cell>
          <cell r="DE173">
            <v>0</v>
          </cell>
          <cell r="DF173">
            <v>0</v>
          </cell>
          <cell r="DG173">
            <v>0</v>
          </cell>
          <cell r="DH173">
            <v>9</v>
          </cell>
          <cell r="DI173">
            <v>8.6999999999999993</v>
          </cell>
          <cell r="DJ173">
            <v>9.1999999999999993</v>
          </cell>
          <cell r="DK173">
            <v>9.4</v>
          </cell>
          <cell r="DL173">
            <v>9.1999999999999993</v>
          </cell>
          <cell r="DM173">
            <v>8.6</v>
          </cell>
          <cell r="DN173">
            <v>7.8</v>
          </cell>
          <cell r="DO173">
            <v>0</v>
          </cell>
          <cell r="DP173">
            <v>0</v>
          </cell>
          <cell r="DQ173">
            <v>0</v>
          </cell>
          <cell r="DR173">
            <v>8.5</v>
          </cell>
          <cell r="DS173">
            <v>8.6</v>
          </cell>
          <cell r="DT173">
            <v>0</v>
          </cell>
          <cell r="DU173">
            <v>0</v>
          </cell>
          <cell r="DV173">
            <v>0</v>
          </cell>
          <cell r="DW173">
            <v>0</v>
          </cell>
          <cell r="DX173">
            <v>0</v>
          </cell>
          <cell r="DY173">
            <v>0</v>
          </cell>
          <cell r="DZ173">
            <v>0</v>
          </cell>
          <cell r="EA173">
            <v>0</v>
          </cell>
          <cell r="EB173">
            <v>0</v>
          </cell>
          <cell r="EC173">
            <v>8.25</v>
          </cell>
          <cell r="ED173">
            <v>8.5</v>
          </cell>
          <cell r="EE173">
            <v>6.25</v>
          </cell>
          <cell r="EG173">
            <v>7.35</v>
          </cell>
          <cell r="EW173">
            <v>103</v>
          </cell>
          <cell r="EX173">
            <v>122</v>
          </cell>
          <cell r="EY173">
            <v>120.5</v>
          </cell>
        </row>
        <row r="174">
          <cell r="A174">
            <v>832977008</v>
          </cell>
          <cell r="B174" t="str">
            <v>KSVBS2600064</v>
          </cell>
          <cell r="C174" t="str">
            <v>114</v>
          </cell>
          <cell r="D174" t="str">
            <v>LÊ THÁI NGỌC</v>
          </cell>
          <cell r="E174" t="str">
            <v>0</v>
          </cell>
          <cell r="F174" t="str">
            <v>22/01/2008</v>
          </cell>
          <cell r="G174" t="str">
            <v>ngocxinhtrainhatvutru@gmail.com</v>
          </cell>
          <cell r="H174" t="str">
            <v>0832977008</v>
          </cell>
          <cell r="I174" t="str">
            <v>082208007608</v>
          </cell>
          <cell r="J174" t="str">
            <v>Ấp 1</v>
          </cell>
          <cell r="K174" t="str">
            <v>KV2-NT</v>
          </cell>
          <cell r="M174" t="str">
            <v>Không có</v>
          </cell>
          <cell r="N174" t="str">
            <v>Kinh</v>
          </cell>
          <cell r="P174" t="str">
            <v>2026</v>
          </cell>
          <cell r="Q174" t="str">
            <v>82025020</v>
          </cell>
          <cell r="R174" t="str">
            <v>Không có</v>
          </cell>
          <cell r="S174" t="str">
            <v>Không có</v>
          </cell>
          <cell r="T174" t="str">
            <v>Không có</v>
          </cell>
          <cell r="AA174" t="str">
            <v>Không có</v>
          </cell>
          <cell r="AF174" t="str">
            <v>87N</v>
          </cell>
          <cell r="AG174" t="str">
            <v>627</v>
          </cell>
          <cell r="AH174" t="str">
            <v>THPT Tân Phước</v>
          </cell>
          <cell r="AI174" t="str">
            <v>87N</v>
          </cell>
          <cell r="AJ174" t="str">
            <v>627</v>
          </cell>
          <cell r="AK174" t="str">
            <v>THPT Tân Phước</v>
          </cell>
          <cell r="AL174" t="str">
            <v>87N</v>
          </cell>
          <cell r="AM174" t="str">
            <v>627</v>
          </cell>
          <cell r="AN174" t="str">
            <v>THPT Tân Phước</v>
          </cell>
          <cell r="AO174" t="str">
            <v>GDPT2018</v>
          </cell>
          <cell r="AP174" t="str">
            <v>Tốt</v>
          </cell>
          <cell r="AQ174" t="str">
            <v>7.34</v>
          </cell>
          <cell r="AR174" t="str">
            <v>8.13</v>
          </cell>
          <cell r="AS174" t="str">
            <v>8.82</v>
          </cell>
          <cell r="AT174" t="str">
            <v>9.13</v>
          </cell>
          <cell r="AU174" t="str">
            <v>False</v>
          </cell>
          <cell r="AW174" t="str">
            <v>7380107</v>
          </cell>
          <cell r="AX174" t="str">
            <v>Luật kinh tế</v>
          </cell>
          <cell r="AY174" t="str">
            <v>7340201_2</v>
          </cell>
          <cell r="AZ174" t="str">
            <v>Tài chính</v>
          </cell>
          <cell r="BA174" t="str">
            <v>7340201_1</v>
          </cell>
          <cell r="BB174" t="str">
            <v>Ngân hàng</v>
          </cell>
          <cell r="BC174" t="str">
            <v>quynhlx</v>
          </cell>
          <cell r="BD174" t="str">
            <v>Đã được tiếp nhận</v>
          </cell>
          <cell r="BF174" t="str">
            <v>3</v>
          </cell>
          <cell r="BM174" t="str">
            <v>True</v>
          </cell>
          <cell r="BN174" t="str">
            <v>False</v>
          </cell>
          <cell r="BO174" t="str">
            <v>KQTHPT_172_082208007608.pdf</v>
          </cell>
          <cell r="BR174">
            <v>8.6</v>
          </cell>
          <cell r="BS174">
            <v>6.6</v>
          </cell>
          <cell r="BT174">
            <v>7.3</v>
          </cell>
          <cell r="BU174">
            <v>8.3000000000000007</v>
          </cell>
          <cell r="BV174">
            <v>9.1</v>
          </cell>
          <cell r="BW174">
            <v>0</v>
          </cell>
          <cell r="BX174">
            <v>0</v>
          </cell>
          <cell r="BY174">
            <v>7.5</v>
          </cell>
          <cell r="BZ174">
            <v>8.4</v>
          </cell>
          <cell r="CA174">
            <v>8.5</v>
          </cell>
          <cell r="CB174">
            <v>0</v>
          </cell>
          <cell r="CC174">
            <v>8.9</v>
          </cell>
          <cell r="CD174">
            <v>0</v>
          </cell>
          <cell r="CE174">
            <v>0</v>
          </cell>
          <cell r="CF174">
            <v>0</v>
          </cell>
          <cell r="CG174">
            <v>0</v>
          </cell>
          <cell r="CH174">
            <v>0</v>
          </cell>
          <cell r="CI174">
            <v>0</v>
          </cell>
          <cell r="CJ174">
            <v>0</v>
          </cell>
          <cell r="CK174">
            <v>0</v>
          </cell>
          <cell r="CL174">
            <v>0</v>
          </cell>
          <cell r="CM174">
            <v>9.3000000000000007</v>
          </cell>
          <cell r="CN174">
            <v>7.8</v>
          </cell>
          <cell r="CO174">
            <v>8.9</v>
          </cell>
          <cell r="CP174">
            <v>8.6999999999999993</v>
          </cell>
          <cell r="CQ174">
            <v>9.5</v>
          </cell>
          <cell r="CR174">
            <v>0</v>
          </cell>
          <cell r="CS174">
            <v>0</v>
          </cell>
          <cell r="CT174">
            <v>7.6</v>
          </cell>
          <cell r="CU174">
            <v>8.8000000000000007</v>
          </cell>
          <cell r="CV174">
            <v>9.4</v>
          </cell>
          <cell r="CW174">
            <v>0</v>
          </cell>
          <cell r="CX174">
            <v>9.4</v>
          </cell>
          <cell r="CY174">
            <v>0</v>
          </cell>
          <cell r="CZ174">
            <v>0</v>
          </cell>
          <cell r="DA174">
            <v>0</v>
          </cell>
          <cell r="DB174">
            <v>0</v>
          </cell>
          <cell r="DC174">
            <v>0</v>
          </cell>
          <cell r="DD174">
            <v>0</v>
          </cell>
          <cell r="DE174">
            <v>0</v>
          </cell>
          <cell r="DF174">
            <v>0</v>
          </cell>
          <cell r="DG174">
            <v>0</v>
          </cell>
          <cell r="DH174">
            <v>9.6999999999999993</v>
          </cell>
          <cell r="DI174">
            <v>7.4</v>
          </cell>
          <cell r="DJ174">
            <v>9</v>
          </cell>
          <cell r="DK174">
            <v>9.1999999999999993</v>
          </cell>
          <cell r="DL174">
            <v>9.3000000000000007</v>
          </cell>
          <cell r="DM174">
            <v>0</v>
          </cell>
          <cell r="DN174">
            <v>0</v>
          </cell>
          <cell r="DO174">
            <v>8.6999999999999993</v>
          </cell>
          <cell r="DP174">
            <v>9.6999999999999993</v>
          </cell>
          <cell r="DQ174">
            <v>9.5</v>
          </cell>
          <cell r="DR174">
            <v>0</v>
          </cell>
          <cell r="DS174">
            <v>9.6999999999999993</v>
          </cell>
          <cell r="DT174">
            <v>0</v>
          </cell>
          <cell r="DU174">
            <v>0</v>
          </cell>
          <cell r="DV174">
            <v>0</v>
          </cell>
          <cell r="DW174">
            <v>0</v>
          </cell>
          <cell r="DX174">
            <v>0</v>
          </cell>
          <cell r="DY174">
            <v>0</v>
          </cell>
          <cell r="DZ174">
            <v>0</v>
          </cell>
          <cell r="EA174">
            <v>0</v>
          </cell>
          <cell r="EB174">
            <v>0</v>
          </cell>
          <cell r="EC174">
            <v>4.25</v>
          </cell>
          <cell r="ED174">
            <v>7</v>
          </cell>
          <cell r="EJ174">
            <v>5.5</v>
          </cell>
          <cell r="EK174">
            <v>6.5</v>
          </cell>
        </row>
        <row r="175">
          <cell r="A175">
            <v>0</v>
          </cell>
          <cell r="D175" t="str">
            <v>NGÔ THỊ PHƯƠNG THẢO</v>
          </cell>
          <cell r="E175" t="str">
            <v>0</v>
          </cell>
          <cell r="F175" t="str">
            <v>30/06/2008</v>
          </cell>
          <cell r="G175" t="str">
            <v>ngothiphuongthao208@gmail.com</v>
          </cell>
          <cell r="I175" t="str">
            <v>075308013470</v>
          </cell>
          <cell r="BD175" t="str">
            <v>Chưa hoàn thành</v>
          </cell>
          <cell r="BF175" t="str">
            <v>3</v>
          </cell>
          <cell r="BR175">
            <v>0</v>
          </cell>
          <cell r="BS175">
            <v>0</v>
          </cell>
          <cell r="BT175">
            <v>0</v>
          </cell>
          <cell r="BU175">
            <v>0</v>
          </cell>
          <cell r="BV175">
            <v>0</v>
          </cell>
          <cell r="BW175">
            <v>0</v>
          </cell>
          <cell r="BX175">
            <v>0</v>
          </cell>
          <cell r="BY175">
            <v>0</v>
          </cell>
          <cell r="BZ175">
            <v>0</v>
          </cell>
          <cell r="CA175">
            <v>0</v>
          </cell>
          <cell r="CB175">
            <v>0</v>
          </cell>
          <cell r="CC175">
            <v>0</v>
          </cell>
          <cell r="CD175">
            <v>0</v>
          </cell>
          <cell r="CE175">
            <v>0</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0</v>
          </cell>
          <cell r="DN175">
            <v>0</v>
          </cell>
          <cell r="DO175">
            <v>0</v>
          </cell>
          <cell r="DP175">
            <v>0</v>
          </cell>
          <cell r="DQ175">
            <v>0</v>
          </cell>
          <cell r="DR175">
            <v>0</v>
          </cell>
          <cell r="DS175">
            <v>0</v>
          </cell>
          <cell r="DT175">
            <v>0</v>
          </cell>
          <cell r="DU175">
            <v>0</v>
          </cell>
          <cell r="DV175">
            <v>0</v>
          </cell>
          <cell r="DW175">
            <v>0</v>
          </cell>
          <cell r="DX175">
            <v>0</v>
          </cell>
          <cell r="DY175">
            <v>0</v>
          </cell>
          <cell r="DZ175">
            <v>0</v>
          </cell>
          <cell r="EA175">
            <v>0</v>
          </cell>
          <cell r="EB175">
            <v>0</v>
          </cell>
        </row>
        <row r="176">
          <cell r="A176">
            <v>865065722</v>
          </cell>
          <cell r="B176" t="str">
            <v>KSVBS2622908</v>
          </cell>
          <cell r="C176" t="str">
            <v>110</v>
          </cell>
          <cell r="D176" t="str">
            <v>PHẠM KIỀU LAM</v>
          </cell>
          <cell r="E176" t="str">
            <v>1</v>
          </cell>
          <cell r="F176" t="str">
            <v>28/05/2008</v>
          </cell>
          <cell r="G176" t="str">
            <v>phamkieulam208@gmail.com</v>
          </cell>
          <cell r="H176" t="str">
            <v>0865065722</v>
          </cell>
          <cell r="I176" t="str">
            <v>093308002669</v>
          </cell>
          <cell r="J176" t="str">
            <v>Kênh 9 thước, 11000, Ấp 2</v>
          </cell>
          <cell r="K176" t="str">
            <v>KV2-NT</v>
          </cell>
          <cell r="M176" t="str">
            <v>Không có</v>
          </cell>
          <cell r="N176" t="str">
            <v>Kinh</v>
          </cell>
          <cell r="P176" t="str">
            <v>2026</v>
          </cell>
          <cell r="Q176" t="str">
            <v>92019535</v>
          </cell>
          <cell r="R176" t="str">
            <v>Không có</v>
          </cell>
          <cell r="S176" t="str">
            <v>Không có</v>
          </cell>
          <cell r="T176" t="str">
            <v>Không có</v>
          </cell>
          <cell r="AA176" t="str">
            <v>Không có</v>
          </cell>
          <cell r="AF176" t="str">
            <v>92N</v>
          </cell>
          <cell r="AG176" t="str">
            <v>378</v>
          </cell>
          <cell r="AH176" t="str">
            <v>Trường THPT Lê Hồng Phong (trước 01/7/2025)</v>
          </cell>
          <cell r="AI176" t="str">
            <v>92N</v>
          </cell>
          <cell r="AJ176" t="str">
            <v>378</v>
          </cell>
          <cell r="AK176" t="str">
            <v>Trường THPT Lê Hồng Phong (trước 01/7/2025)</v>
          </cell>
          <cell r="AL176" t="str">
            <v>92N</v>
          </cell>
          <cell r="AM176" t="str">
            <v>108</v>
          </cell>
          <cell r="AN176" t="str">
            <v>Trường THPT Lê Hồng Phong</v>
          </cell>
          <cell r="AO176" t="str">
            <v>GDPT2018</v>
          </cell>
          <cell r="AP176" t="str">
            <v>Tốt</v>
          </cell>
          <cell r="AQ176" t="str">
            <v>6.61</v>
          </cell>
          <cell r="AR176" t="str">
            <v>7.41</v>
          </cell>
          <cell r="AS176" t="str">
            <v>8.18</v>
          </cell>
          <cell r="AT176" t="str">
            <v>8.25</v>
          </cell>
          <cell r="AU176" t="str">
            <v>False</v>
          </cell>
          <cell r="AW176" t="str">
            <v>7620114</v>
          </cell>
          <cell r="AX176" t="str">
            <v>Kinh doanh nông nghiệp</v>
          </cell>
          <cell r="AY176" t="str">
            <v>7340101</v>
          </cell>
          <cell r="AZ176" t="str">
            <v>Quản trị</v>
          </cell>
          <cell r="BA176" t="str">
            <v>7340201_2</v>
          </cell>
          <cell r="BB176" t="str">
            <v>Tài chính</v>
          </cell>
          <cell r="BC176" t="str">
            <v>quynhlx</v>
          </cell>
          <cell r="BD176" t="str">
            <v>Đã được tiếp nhận</v>
          </cell>
          <cell r="BE176" t="str">
            <v>Em bổ sung Giấy chứng nhận kết quả thi tốt nghiệp THPT năm 2026 nhé</v>
          </cell>
          <cell r="BF176" t="str">
            <v>3</v>
          </cell>
          <cell r="BM176" t="str">
            <v>True</v>
          </cell>
          <cell r="BN176" t="str">
            <v>True</v>
          </cell>
          <cell r="BO176" t="str">
            <v>KQTHPT_174_093308002669.pdf</v>
          </cell>
          <cell r="BQ176" t="str">
            <v>KQVSAT_174_093308002669.pdf</v>
          </cell>
          <cell r="BR176">
            <v>6</v>
          </cell>
          <cell r="BS176">
            <v>6.4</v>
          </cell>
          <cell r="BT176">
            <v>5.9</v>
          </cell>
          <cell r="BU176">
            <v>8.9</v>
          </cell>
          <cell r="BV176">
            <v>7.7</v>
          </cell>
          <cell r="BW176">
            <v>7.4</v>
          </cell>
          <cell r="BX176">
            <v>8.5</v>
          </cell>
          <cell r="BY176">
            <v>0</v>
          </cell>
          <cell r="BZ176">
            <v>0</v>
          </cell>
          <cell r="CA176">
            <v>8.5</v>
          </cell>
          <cell r="CB176">
            <v>0</v>
          </cell>
          <cell r="CC176">
            <v>0</v>
          </cell>
          <cell r="CD176">
            <v>0</v>
          </cell>
          <cell r="CE176">
            <v>0</v>
          </cell>
          <cell r="CF176">
            <v>0</v>
          </cell>
          <cell r="CG176">
            <v>0</v>
          </cell>
          <cell r="CH176">
            <v>0</v>
          </cell>
          <cell r="CI176">
            <v>0</v>
          </cell>
          <cell r="CJ176">
            <v>0</v>
          </cell>
          <cell r="CK176">
            <v>0</v>
          </cell>
          <cell r="CL176">
            <v>0</v>
          </cell>
          <cell r="CM176">
            <v>8</v>
          </cell>
          <cell r="CN176">
            <v>8</v>
          </cell>
          <cell r="CO176">
            <v>6.7</v>
          </cell>
          <cell r="CP176">
            <v>9.4</v>
          </cell>
          <cell r="CQ176">
            <v>7.4</v>
          </cell>
          <cell r="CR176">
            <v>9.1</v>
          </cell>
          <cell r="CS176">
            <v>8.5</v>
          </cell>
          <cell r="CT176">
            <v>0</v>
          </cell>
          <cell r="CU176">
            <v>0</v>
          </cell>
          <cell r="CV176">
            <v>8.3000000000000007</v>
          </cell>
          <cell r="CW176">
            <v>0</v>
          </cell>
          <cell r="CX176">
            <v>0</v>
          </cell>
          <cell r="CY176">
            <v>0</v>
          </cell>
          <cell r="CZ176">
            <v>0</v>
          </cell>
          <cell r="DA176">
            <v>0</v>
          </cell>
          <cell r="DB176">
            <v>0</v>
          </cell>
          <cell r="DC176">
            <v>0</v>
          </cell>
          <cell r="DD176">
            <v>0</v>
          </cell>
          <cell r="DE176">
            <v>0</v>
          </cell>
          <cell r="DF176">
            <v>0</v>
          </cell>
          <cell r="DG176">
            <v>0</v>
          </cell>
          <cell r="DH176">
            <v>6.7</v>
          </cell>
          <cell r="DI176">
            <v>8</v>
          </cell>
          <cell r="DJ176">
            <v>7.2</v>
          </cell>
          <cell r="DK176">
            <v>9.6999999999999993</v>
          </cell>
          <cell r="DL176">
            <v>8.6</v>
          </cell>
          <cell r="DM176">
            <v>8.4</v>
          </cell>
          <cell r="DN176">
            <v>9.4</v>
          </cell>
          <cell r="DO176">
            <v>0</v>
          </cell>
          <cell r="DP176">
            <v>0</v>
          </cell>
          <cell r="DQ176">
            <v>8</v>
          </cell>
          <cell r="DR176">
            <v>0</v>
          </cell>
          <cell r="DS176">
            <v>0</v>
          </cell>
          <cell r="DT176">
            <v>0</v>
          </cell>
          <cell r="DU176">
            <v>0</v>
          </cell>
          <cell r="DV176">
            <v>0</v>
          </cell>
          <cell r="DW176">
            <v>0</v>
          </cell>
          <cell r="DX176">
            <v>0</v>
          </cell>
          <cell r="DY176">
            <v>0</v>
          </cell>
          <cell r="DZ176">
            <v>0</v>
          </cell>
          <cell r="EA176">
            <v>0</v>
          </cell>
          <cell r="EB176">
            <v>0</v>
          </cell>
          <cell r="EC176">
            <v>4.75</v>
          </cell>
          <cell r="ED176">
            <v>6.5</v>
          </cell>
          <cell r="EE176">
            <v>1.75</v>
          </cell>
          <cell r="EI176">
            <v>7</v>
          </cell>
          <cell r="EW176">
            <v>71.5</v>
          </cell>
          <cell r="EX176">
            <v>104.5</v>
          </cell>
          <cell r="EY176">
            <v>48.5</v>
          </cell>
          <cell r="FA176">
            <v>105.5</v>
          </cell>
        </row>
        <row r="177">
          <cell r="A177">
            <v>395657508</v>
          </cell>
          <cell r="B177" t="str">
            <v>KSVBS2643331</v>
          </cell>
          <cell r="C177" t="str">
            <v>116</v>
          </cell>
          <cell r="D177" t="str">
            <v>BÙI VŨ NGỌC QUYÊN</v>
          </cell>
          <cell r="E177" t="str">
            <v>1</v>
          </cell>
          <cell r="F177" t="str">
            <v>08/04/2008</v>
          </cell>
          <cell r="G177" t="str">
            <v>ngocquyenbui.122@gmail.com</v>
          </cell>
          <cell r="H177" t="str">
            <v>0395657508</v>
          </cell>
          <cell r="I177" t="str">
            <v>060308009190</v>
          </cell>
          <cell r="J177" t="str">
            <v>196 tổ 2, thôn Dân Phú</v>
          </cell>
          <cell r="K177" t="str">
            <v>KV2-NT</v>
          </cell>
          <cell r="M177" t="str">
            <v>Không có</v>
          </cell>
          <cell r="N177" t="str">
            <v>Kinh</v>
          </cell>
          <cell r="P177" t="str">
            <v>2026</v>
          </cell>
          <cell r="Q177" t="str">
            <v>68026368</v>
          </cell>
          <cell r="R177" t="str">
            <v>Không có</v>
          </cell>
          <cell r="S177" t="str">
            <v>Không có</v>
          </cell>
          <cell r="T177" t="str">
            <v>Không có</v>
          </cell>
          <cell r="AA177" t="str">
            <v>Không có</v>
          </cell>
          <cell r="AF177" t="str">
            <v>68N</v>
          </cell>
          <cell r="AG177" t="str">
            <v>308</v>
          </cell>
          <cell r="AH177" t="str">
            <v>THPT Lương Thế Vinh - Hàm Kiệm</v>
          </cell>
          <cell r="AI177" t="str">
            <v>68N</v>
          </cell>
          <cell r="AJ177" t="str">
            <v>308</v>
          </cell>
          <cell r="AK177" t="str">
            <v>THPT Lương Thế Vinh - Hàm Kiệm</v>
          </cell>
          <cell r="AL177" t="str">
            <v>68N</v>
          </cell>
          <cell r="AM177" t="str">
            <v>308</v>
          </cell>
          <cell r="AN177" t="str">
            <v>THPT Lương Thế Vinh - Hàm Kiệm</v>
          </cell>
          <cell r="AO177" t="str">
            <v>GDPT2018</v>
          </cell>
          <cell r="AP177" t="str">
            <v>Tốt</v>
          </cell>
          <cell r="AQ177" t="str">
            <v>8.07</v>
          </cell>
          <cell r="AR177" t="str">
            <v>8.42</v>
          </cell>
          <cell r="AS177" t="str">
            <v>8.83</v>
          </cell>
          <cell r="AT177" t="str">
            <v>8.92</v>
          </cell>
          <cell r="AU177" t="str">
            <v>False</v>
          </cell>
          <cell r="AW177" t="str">
            <v>7340122</v>
          </cell>
          <cell r="AX177" t="str">
            <v>Thương mại điện tử</v>
          </cell>
          <cell r="BC177" t="str">
            <v>quynhlx</v>
          </cell>
          <cell r="BD177" t="str">
            <v>Đã được tiếp nhận</v>
          </cell>
          <cell r="BF177" t="str">
            <v>3</v>
          </cell>
          <cell r="BM177" t="str">
            <v>True</v>
          </cell>
          <cell r="BN177" t="str">
            <v>False</v>
          </cell>
          <cell r="BO177" t="str">
            <v>KQTHPT_175_060308009190.pdf</v>
          </cell>
          <cell r="BR177">
            <v>8.6</v>
          </cell>
          <cell r="BS177">
            <v>6.9</v>
          </cell>
          <cell r="BT177">
            <v>8.3000000000000007</v>
          </cell>
          <cell r="BU177">
            <v>8</v>
          </cell>
          <cell r="BV177">
            <v>8.4</v>
          </cell>
          <cell r="BW177">
            <v>0</v>
          </cell>
          <cell r="BX177">
            <v>0</v>
          </cell>
          <cell r="BY177">
            <v>8.6999999999999993</v>
          </cell>
          <cell r="BZ177">
            <v>8.9</v>
          </cell>
          <cell r="CA177">
            <v>8.5</v>
          </cell>
          <cell r="CB177">
            <v>0</v>
          </cell>
          <cell r="CC177">
            <v>9.5</v>
          </cell>
          <cell r="CD177">
            <v>0</v>
          </cell>
          <cell r="CE177">
            <v>0</v>
          </cell>
          <cell r="CF177">
            <v>0</v>
          </cell>
          <cell r="CG177">
            <v>0</v>
          </cell>
          <cell r="CH177">
            <v>0</v>
          </cell>
          <cell r="CI177">
            <v>0</v>
          </cell>
          <cell r="CJ177">
            <v>0</v>
          </cell>
          <cell r="CK177">
            <v>0</v>
          </cell>
          <cell r="CL177">
            <v>0</v>
          </cell>
          <cell r="CM177">
            <v>9.5</v>
          </cell>
          <cell r="CN177">
            <v>7.6</v>
          </cell>
          <cell r="CO177">
            <v>9.1999999999999993</v>
          </cell>
          <cell r="CP177">
            <v>7.7</v>
          </cell>
          <cell r="CQ177">
            <v>9.1</v>
          </cell>
          <cell r="CR177">
            <v>0</v>
          </cell>
          <cell r="CS177">
            <v>0</v>
          </cell>
          <cell r="CT177">
            <v>8.1999999999999993</v>
          </cell>
          <cell r="CU177">
            <v>9.6</v>
          </cell>
          <cell r="CV177">
            <v>9</v>
          </cell>
          <cell r="CW177">
            <v>0</v>
          </cell>
          <cell r="CX177">
            <v>9.6</v>
          </cell>
          <cell r="CY177">
            <v>0</v>
          </cell>
          <cell r="CZ177">
            <v>0</v>
          </cell>
          <cell r="DA177">
            <v>0</v>
          </cell>
          <cell r="DB177">
            <v>0</v>
          </cell>
          <cell r="DC177">
            <v>0</v>
          </cell>
          <cell r="DD177">
            <v>0</v>
          </cell>
          <cell r="DE177">
            <v>0</v>
          </cell>
          <cell r="DF177">
            <v>0</v>
          </cell>
          <cell r="DG177">
            <v>0</v>
          </cell>
          <cell r="DH177">
            <v>9.8000000000000007</v>
          </cell>
          <cell r="DI177">
            <v>7.4</v>
          </cell>
          <cell r="DJ177">
            <v>9</v>
          </cell>
          <cell r="DK177">
            <v>7.5</v>
          </cell>
          <cell r="DL177">
            <v>9</v>
          </cell>
          <cell r="DM177">
            <v>0</v>
          </cell>
          <cell r="DN177">
            <v>0</v>
          </cell>
          <cell r="DO177">
            <v>9.6</v>
          </cell>
          <cell r="DP177">
            <v>9.1</v>
          </cell>
          <cell r="DQ177">
            <v>9.5</v>
          </cell>
          <cell r="DR177">
            <v>0</v>
          </cell>
          <cell r="DS177">
            <v>9.4</v>
          </cell>
          <cell r="DT177">
            <v>0</v>
          </cell>
          <cell r="DU177">
            <v>0</v>
          </cell>
          <cell r="DV177">
            <v>0</v>
          </cell>
          <cell r="DW177">
            <v>0</v>
          </cell>
          <cell r="DX177">
            <v>0</v>
          </cell>
          <cell r="DY177">
            <v>0</v>
          </cell>
          <cell r="DZ177">
            <v>0</v>
          </cell>
          <cell r="EA177">
            <v>0</v>
          </cell>
          <cell r="EB177">
            <v>0</v>
          </cell>
          <cell r="EC177">
            <v>7.5</v>
          </cell>
          <cell r="ED177">
            <v>7.25</v>
          </cell>
          <cell r="EJ177">
            <v>6.1</v>
          </cell>
          <cell r="EK177">
            <v>8.5</v>
          </cell>
        </row>
        <row r="178">
          <cell r="A178">
            <v>0</v>
          </cell>
          <cell r="D178" t="str">
            <v>NGUYỄN THỊ MỸ DUYÊN</v>
          </cell>
          <cell r="E178" t="str">
            <v>0</v>
          </cell>
          <cell r="F178" t="str">
            <v>16/01/2008</v>
          </cell>
          <cell r="G178" t="str">
            <v>ha951205@gmail.con</v>
          </cell>
          <cell r="I178" t="str">
            <v>086308004144</v>
          </cell>
          <cell r="BD178" t="str">
            <v>Chưa hoàn thành</v>
          </cell>
          <cell r="BF178" t="str">
            <v>3</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0</v>
          </cell>
          <cell r="CW178">
            <v>0</v>
          </cell>
          <cell r="CX178">
            <v>0</v>
          </cell>
          <cell r="CY178">
            <v>0</v>
          </cell>
          <cell r="CZ178">
            <v>0</v>
          </cell>
          <cell r="DA178">
            <v>0</v>
          </cell>
          <cell r="DB178">
            <v>0</v>
          </cell>
          <cell r="DC178">
            <v>0</v>
          </cell>
          <cell r="DD178">
            <v>0</v>
          </cell>
          <cell r="DE178">
            <v>0</v>
          </cell>
          <cell r="DF178">
            <v>0</v>
          </cell>
          <cell r="DG178">
            <v>0</v>
          </cell>
          <cell r="DH178">
            <v>0</v>
          </cell>
          <cell r="DI178">
            <v>0</v>
          </cell>
          <cell r="DJ178">
            <v>0</v>
          </cell>
          <cell r="DK178">
            <v>0</v>
          </cell>
          <cell r="DL178">
            <v>0</v>
          </cell>
          <cell r="DM178">
            <v>0</v>
          </cell>
          <cell r="DN178">
            <v>0</v>
          </cell>
          <cell r="DO178">
            <v>0</v>
          </cell>
          <cell r="DP178">
            <v>0</v>
          </cell>
          <cell r="DQ178">
            <v>0</v>
          </cell>
          <cell r="DR178">
            <v>0</v>
          </cell>
          <cell r="DS178">
            <v>0</v>
          </cell>
          <cell r="DT178">
            <v>0</v>
          </cell>
          <cell r="DU178">
            <v>0</v>
          </cell>
          <cell r="DV178">
            <v>0</v>
          </cell>
          <cell r="DW178">
            <v>0</v>
          </cell>
          <cell r="DX178">
            <v>0</v>
          </cell>
          <cell r="DY178">
            <v>0</v>
          </cell>
          <cell r="DZ178">
            <v>0</v>
          </cell>
          <cell r="EA178">
            <v>0</v>
          </cell>
          <cell r="EB178">
            <v>0</v>
          </cell>
        </row>
        <row r="179">
          <cell r="A179">
            <v>969555623</v>
          </cell>
          <cell r="B179" t="str">
            <v>KSVBS2631425</v>
          </cell>
          <cell r="C179" t="str">
            <v>109</v>
          </cell>
          <cell r="D179" t="str">
            <v>TRẦN NGUYỄN TRÂM ANH</v>
          </cell>
          <cell r="E179" t="str">
            <v>1</v>
          </cell>
          <cell r="F179" t="str">
            <v>28/01/2008</v>
          </cell>
          <cell r="G179" t="str">
            <v>trngtranh830@gmail.com</v>
          </cell>
          <cell r="H179" t="str">
            <v>0969555623</v>
          </cell>
          <cell r="I179" t="str">
            <v>075308018302</v>
          </cell>
          <cell r="J179" t="str">
            <v>444 Trần Hưng đạo, hiệp tâm 2, Xã Định Quán, Thành Phố Đồng Nai</v>
          </cell>
          <cell r="K179" t="str">
            <v>KV2-NT</v>
          </cell>
          <cell r="M179" t="str">
            <v>Không có</v>
          </cell>
          <cell r="N179" t="str">
            <v>Kinh</v>
          </cell>
          <cell r="P179" t="str">
            <v>2026</v>
          </cell>
          <cell r="Q179" t="str">
            <v>75021250</v>
          </cell>
          <cell r="R179" t="str">
            <v>Không có</v>
          </cell>
          <cell r="S179" t="str">
            <v>Không có</v>
          </cell>
          <cell r="T179" t="str">
            <v>Không có</v>
          </cell>
          <cell r="U179" t="str">
            <v>420240</v>
          </cell>
          <cell r="V179" t="str">
            <v>D26346246</v>
          </cell>
          <cell r="W179" t="str">
            <v>517.00</v>
          </cell>
          <cell r="Z179" t="str">
            <v>0.00</v>
          </cell>
          <cell r="AA179" t="str">
            <v>Không có</v>
          </cell>
          <cell r="AF179" t="str">
            <v>75N</v>
          </cell>
          <cell r="AG179" t="str">
            <v>140</v>
          </cell>
          <cell r="AH179" t="str">
            <v>THPT Tân Phú (Trước 27/02/2026)</v>
          </cell>
          <cell r="AI179" t="str">
            <v>75N</v>
          </cell>
          <cell r="AJ179" t="str">
            <v>140</v>
          </cell>
          <cell r="AK179" t="str">
            <v>THPT Tân Phú (Trước 27/02/2026)</v>
          </cell>
          <cell r="AL179" t="str">
            <v>75N</v>
          </cell>
          <cell r="AM179" t="str">
            <v>140</v>
          </cell>
          <cell r="AN179" t="str">
            <v>THPT Tân Phú (Trước 27/02/2026)</v>
          </cell>
          <cell r="AO179" t="str">
            <v>GDPT2018</v>
          </cell>
          <cell r="AP179" t="str">
            <v>Khá</v>
          </cell>
          <cell r="AQ179" t="str">
            <v>5.83</v>
          </cell>
          <cell r="AR179" t="str">
            <v>7.07</v>
          </cell>
          <cell r="AS179" t="str">
            <v>7.29</v>
          </cell>
          <cell r="AT179" t="str">
            <v>7.13</v>
          </cell>
          <cell r="AU179" t="str">
            <v>True</v>
          </cell>
          <cell r="AW179" t="str">
            <v>7620114</v>
          </cell>
          <cell r="AX179" t="str">
            <v>Kinh doanh nông nghiệp</v>
          </cell>
          <cell r="AY179" t="str">
            <v>7810201</v>
          </cell>
          <cell r="AZ179" t="str">
            <v>Quản trị khách sạn</v>
          </cell>
          <cell r="BA179" t="str">
            <v>7340122</v>
          </cell>
          <cell r="BB179" t="str">
            <v>Thương mại điện tử</v>
          </cell>
          <cell r="BC179" t="str">
            <v>quynhlx</v>
          </cell>
          <cell r="BD179" t="str">
            <v>Đã được tiếp nhận</v>
          </cell>
          <cell r="BE179" t="str">
            <v xml:space="preserve">- Bổ sung tệp Giấy chứng nhận kết quả thi Đánh giá năng lực (ĐGNL) năm 2026 (định dạng PDF)
</v>
          </cell>
          <cell r="BF179" t="str">
            <v>3</v>
          </cell>
          <cell r="BM179" t="str">
            <v>True</v>
          </cell>
          <cell r="BN179" t="str">
            <v>False</v>
          </cell>
          <cell r="BO179" t="str">
            <v>KQTHPT_177_075308018302.pdf</v>
          </cell>
          <cell r="BP179" t="str">
            <v>KQDGNL_177_075308018302.pdf</v>
          </cell>
          <cell r="BR179">
            <v>6.3</v>
          </cell>
          <cell r="BS179">
            <v>7.4</v>
          </cell>
          <cell r="BT179">
            <v>5.0999999999999996</v>
          </cell>
          <cell r="BU179">
            <v>9.4</v>
          </cell>
          <cell r="BV179">
            <v>7.6</v>
          </cell>
          <cell r="BW179">
            <v>0</v>
          </cell>
          <cell r="BX179">
            <v>0</v>
          </cell>
          <cell r="BY179">
            <v>6.4</v>
          </cell>
          <cell r="BZ179">
            <v>6.5</v>
          </cell>
          <cell r="CA179">
            <v>7.6</v>
          </cell>
          <cell r="CB179">
            <v>0</v>
          </cell>
          <cell r="CC179">
            <v>7.3</v>
          </cell>
          <cell r="CD179">
            <v>0</v>
          </cell>
          <cell r="CE179">
            <v>0</v>
          </cell>
          <cell r="CF179">
            <v>0</v>
          </cell>
          <cell r="CG179">
            <v>0</v>
          </cell>
          <cell r="CH179">
            <v>0</v>
          </cell>
          <cell r="CI179">
            <v>0</v>
          </cell>
          <cell r="CJ179">
            <v>0</v>
          </cell>
          <cell r="CK179">
            <v>0</v>
          </cell>
          <cell r="CL179">
            <v>0</v>
          </cell>
          <cell r="CM179">
            <v>5</v>
          </cell>
          <cell r="CN179">
            <v>7.4</v>
          </cell>
          <cell r="CO179">
            <v>7.1</v>
          </cell>
          <cell r="CP179">
            <v>9.1</v>
          </cell>
          <cell r="CQ179">
            <v>7.8</v>
          </cell>
          <cell r="CR179">
            <v>0</v>
          </cell>
          <cell r="CS179">
            <v>0</v>
          </cell>
          <cell r="CT179">
            <v>6.7</v>
          </cell>
          <cell r="CU179">
            <v>6.5</v>
          </cell>
          <cell r="CV179">
            <v>7.7</v>
          </cell>
          <cell r="CW179">
            <v>0</v>
          </cell>
          <cell r="CX179">
            <v>8.3000000000000007</v>
          </cell>
          <cell r="CY179">
            <v>0</v>
          </cell>
          <cell r="CZ179">
            <v>0</v>
          </cell>
          <cell r="DA179">
            <v>0</v>
          </cell>
          <cell r="DB179">
            <v>0</v>
          </cell>
          <cell r="DC179">
            <v>0</v>
          </cell>
          <cell r="DD179">
            <v>0</v>
          </cell>
          <cell r="DE179">
            <v>0</v>
          </cell>
          <cell r="DF179">
            <v>0</v>
          </cell>
          <cell r="DG179">
            <v>0</v>
          </cell>
          <cell r="DH179">
            <v>5.5</v>
          </cell>
          <cell r="DI179">
            <v>7.3</v>
          </cell>
          <cell r="DJ179">
            <v>6</v>
          </cell>
          <cell r="DK179">
            <v>9.1</v>
          </cell>
          <cell r="DL179">
            <v>6.6</v>
          </cell>
          <cell r="DM179">
            <v>0</v>
          </cell>
          <cell r="DN179">
            <v>0</v>
          </cell>
          <cell r="DO179">
            <v>7.9</v>
          </cell>
          <cell r="DP179">
            <v>6.2</v>
          </cell>
          <cell r="DQ179">
            <v>6.6</v>
          </cell>
          <cell r="DR179">
            <v>0</v>
          </cell>
          <cell r="DS179">
            <v>9</v>
          </cell>
          <cell r="DT179">
            <v>0</v>
          </cell>
          <cell r="DU179">
            <v>0</v>
          </cell>
          <cell r="DV179">
            <v>0</v>
          </cell>
          <cell r="DW179">
            <v>0</v>
          </cell>
          <cell r="DX179">
            <v>0</v>
          </cell>
          <cell r="DY179">
            <v>0</v>
          </cell>
          <cell r="DZ179">
            <v>0</v>
          </cell>
          <cell r="EA179">
            <v>0</v>
          </cell>
          <cell r="EB179">
            <v>0</v>
          </cell>
          <cell r="EC179">
            <v>4</v>
          </cell>
          <cell r="ED179">
            <v>7</v>
          </cell>
          <cell r="EG179">
            <v>6.1</v>
          </cell>
          <cell r="EJ179">
            <v>4.3499999999999996</v>
          </cell>
        </row>
        <row r="180">
          <cell r="A180">
            <v>812946781</v>
          </cell>
          <cell r="B180" t="str">
            <v>KSVBS2619566</v>
          </cell>
          <cell r="C180" t="str">
            <v>112</v>
          </cell>
          <cell r="D180" t="str">
            <v>ĐỒNG ĐĂNG KHOA</v>
          </cell>
          <cell r="E180" t="str">
            <v>0</v>
          </cell>
          <cell r="F180" t="str">
            <v>27/04/2008</v>
          </cell>
          <cell r="G180" t="str">
            <v>dongdangquang61@gmail.com</v>
          </cell>
          <cell r="H180" t="str">
            <v>0812946781</v>
          </cell>
          <cell r="I180" t="str">
            <v>091208017231</v>
          </cell>
          <cell r="J180" t="str">
            <v>Tổ 6, ấp Sơn Hòa, Nam Thái Sơn</v>
          </cell>
          <cell r="K180" t="str">
            <v>KV2-NT</v>
          </cell>
          <cell r="M180" t="str">
            <v>Không có</v>
          </cell>
          <cell r="N180" t="str">
            <v>Kinh</v>
          </cell>
          <cell r="P180" t="str">
            <v>2026</v>
          </cell>
          <cell r="R180" t="str">
            <v>Không có</v>
          </cell>
          <cell r="S180" t="str">
            <v>Không có</v>
          </cell>
          <cell r="T180" t="str">
            <v>Không có</v>
          </cell>
          <cell r="AA180" t="str">
            <v>Không có</v>
          </cell>
          <cell r="AF180" t="str">
            <v>72N</v>
          </cell>
          <cell r="AG180" t="str">
            <v>076</v>
          </cell>
          <cell r="AH180" t="str">
            <v>THPT Bình Thạnh</v>
          </cell>
          <cell r="AI180" t="str">
            <v>72N</v>
          </cell>
          <cell r="AJ180" t="str">
            <v>076</v>
          </cell>
          <cell r="AK180" t="str">
            <v>THPT Bình Thạnh</v>
          </cell>
          <cell r="AL180" t="str">
            <v>72N</v>
          </cell>
          <cell r="AM180" t="str">
            <v>076</v>
          </cell>
          <cell r="AN180" t="str">
            <v>THPT Bình Thạnh</v>
          </cell>
          <cell r="AO180" t="str">
            <v>GDPT2018</v>
          </cell>
          <cell r="AP180" t="str">
            <v>Giỏi</v>
          </cell>
          <cell r="AQ180" t="str">
            <v>0.00</v>
          </cell>
          <cell r="AR180" t="str">
            <v>8.09</v>
          </cell>
          <cell r="AS180" t="str">
            <v>8.20</v>
          </cell>
          <cell r="AT180" t="str">
            <v>8.69</v>
          </cell>
          <cell r="AU180" t="str">
            <v>False</v>
          </cell>
          <cell r="AW180" t="str">
            <v>7480107</v>
          </cell>
          <cell r="AX180" t="str">
            <v>Robot và Trí tuệ nhân tạo (hệ kỹ sư)</v>
          </cell>
          <cell r="AY180" t="str">
            <v>7480201</v>
          </cell>
          <cell r="AZ180" t="str">
            <v>Công nghệ và đổi mới sáng tạo</v>
          </cell>
          <cell r="BA180" t="str">
            <v>7620114</v>
          </cell>
          <cell r="BB180" t="str">
            <v>Kinh doanh nông nghiệp</v>
          </cell>
          <cell r="BC180" t="str">
            <v>quynhlx</v>
          </cell>
          <cell r="BD180" t="str">
            <v>Đã được tiếp nhận</v>
          </cell>
          <cell r="BE180" t="str">
            <v xml:space="preserve">- Bổ sung học bạ THPT Em chụp đầy đủ tất cả các trang trong học bạ:
• Trang thông tin học sinh
• Kết quả học tập 10,11,12
• Kết quả rèn luyện, nhận xét lớp 10, 11, 12
=&gt; Hình ảnh phải rõ nét, đầy đủ chữ ký và dấu mộc trường THPT
</v>
          </cell>
          <cell r="BF180" t="str">
            <v>3</v>
          </cell>
          <cell r="BM180" t="str">
            <v>True</v>
          </cell>
          <cell r="BN180" t="str">
            <v>False</v>
          </cell>
          <cell r="BO180" t="str">
            <v>KQTHPT_178_091208017231.pdf</v>
          </cell>
          <cell r="BR180">
            <v>8.6</v>
          </cell>
          <cell r="BS180">
            <v>6.9</v>
          </cell>
          <cell r="BT180">
            <v>6.2</v>
          </cell>
          <cell r="BU180">
            <v>9.4</v>
          </cell>
          <cell r="BV180">
            <v>9.5</v>
          </cell>
          <cell r="BW180">
            <v>8.1999999999999993</v>
          </cell>
          <cell r="BX180">
            <v>8.3000000000000007</v>
          </cell>
          <cell r="BY180">
            <v>0</v>
          </cell>
          <cell r="BZ180">
            <v>0</v>
          </cell>
          <cell r="CA180">
            <v>0</v>
          </cell>
          <cell r="CB180">
            <v>8</v>
          </cell>
          <cell r="CC180">
            <v>7.7</v>
          </cell>
          <cell r="CD180">
            <v>0</v>
          </cell>
          <cell r="CE180">
            <v>0</v>
          </cell>
          <cell r="CF180">
            <v>0</v>
          </cell>
          <cell r="CG180">
            <v>0</v>
          </cell>
          <cell r="CH180">
            <v>0</v>
          </cell>
          <cell r="CI180">
            <v>0</v>
          </cell>
          <cell r="CJ180">
            <v>0</v>
          </cell>
          <cell r="CK180">
            <v>0</v>
          </cell>
          <cell r="CL180">
            <v>0</v>
          </cell>
          <cell r="CM180">
            <v>8.1999999999999993</v>
          </cell>
          <cell r="CN180">
            <v>6.6</v>
          </cell>
          <cell r="CO180">
            <v>6.6</v>
          </cell>
          <cell r="CP180">
            <v>9.1999999999999993</v>
          </cell>
          <cell r="CQ180">
            <v>9.4</v>
          </cell>
          <cell r="CR180">
            <v>8.4</v>
          </cell>
          <cell r="CS180">
            <v>9</v>
          </cell>
          <cell r="CT180">
            <v>0</v>
          </cell>
          <cell r="CU180">
            <v>0</v>
          </cell>
          <cell r="CV180">
            <v>0</v>
          </cell>
          <cell r="CW180">
            <v>8.1</v>
          </cell>
          <cell r="CX180">
            <v>8.3000000000000007</v>
          </cell>
          <cell r="CY180">
            <v>0</v>
          </cell>
          <cell r="CZ180">
            <v>0</v>
          </cell>
          <cell r="DA180">
            <v>0</v>
          </cell>
          <cell r="DB180">
            <v>0</v>
          </cell>
          <cell r="DC180">
            <v>0</v>
          </cell>
          <cell r="DD180">
            <v>0</v>
          </cell>
          <cell r="DE180">
            <v>0</v>
          </cell>
          <cell r="DF180">
            <v>0</v>
          </cell>
          <cell r="DG180">
            <v>0</v>
          </cell>
          <cell r="DH180">
            <v>8.4</v>
          </cell>
          <cell r="DI180">
            <v>7.1</v>
          </cell>
          <cell r="DJ180">
            <v>8.1999999999999993</v>
          </cell>
          <cell r="DK180">
            <v>10</v>
          </cell>
          <cell r="DL180">
            <v>9.6999999999999993</v>
          </cell>
          <cell r="DM180">
            <v>9.1</v>
          </cell>
          <cell r="DN180">
            <v>9</v>
          </cell>
          <cell r="DO180">
            <v>0</v>
          </cell>
          <cell r="DP180">
            <v>0</v>
          </cell>
          <cell r="DQ180">
            <v>0</v>
          </cell>
          <cell r="DR180">
            <v>8.5</v>
          </cell>
          <cell r="DS180">
            <v>8.1999999999999993</v>
          </cell>
          <cell r="DT180">
            <v>0</v>
          </cell>
          <cell r="DU180">
            <v>0</v>
          </cell>
          <cell r="DV180">
            <v>0</v>
          </cell>
          <cell r="DW180">
            <v>0</v>
          </cell>
          <cell r="DX180">
            <v>0</v>
          </cell>
          <cell r="DY180">
            <v>0</v>
          </cell>
          <cell r="DZ180">
            <v>0</v>
          </cell>
          <cell r="EA180">
            <v>0</v>
          </cell>
          <cell r="EB180">
            <v>0</v>
          </cell>
          <cell r="EC180">
            <v>5.25</v>
          </cell>
          <cell r="ED180">
            <v>6.75</v>
          </cell>
          <cell r="EG180">
            <v>8</v>
          </cell>
          <cell r="EI180">
            <v>7.75</v>
          </cell>
        </row>
        <row r="181">
          <cell r="A181">
            <v>0</v>
          </cell>
          <cell r="D181" t="str">
            <v>VÕ THỊ HUỲNH TRÂM</v>
          </cell>
          <cell r="E181" t="str">
            <v>0</v>
          </cell>
          <cell r="F181" t="str">
            <v>25/07/2008</v>
          </cell>
          <cell r="G181" t="str">
            <v>vtram2249@gmail.com</v>
          </cell>
          <cell r="I181" t="str">
            <v>083308007092</v>
          </cell>
          <cell r="BD181" t="str">
            <v>Chưa hoàn thành</v>
          </cell>
          <cell r="BF181" t="str">
            <v>3</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v>0</v>
          </cell>
          <cell r="DU181">
            <v>0</v>
          </cell>
          <cell r="DV181">
            <v>0</v>
          </cell>
          <cell r="DW181">
            <v>0</v>
          </cell>
          <cell r="DX181">
            <v>0</v>
          </cell>
          <cell r="DY181">
            <v>0</v>
          </cell>
          <cell r="DZ181">
            <v>0</v>
          </cell>
          <cell r="EA181">
            <v>0</v>
          </cell>
          <cell r="EB181">
            <v>0</v>
          </cell>
        </row>
        <row r="182">
          <cell r="A182">
            <v>0</v>
          </cell>
          <cell r="D182" t="str">
            <v>NGUYỄN TRƯỜNG VŨ</v>
          </cell>
          <cell r="E182" t="str">
            <v>0</v>
          </cell>
          <cell r="F182" t="str">
            <v>20/12/2005</v>
          </cell>
          <cell r="G182" t="str">
            <v>nguyentruongvu1225@gmail.com</v>
          </cell>
          <cell r="I182" t="str">
            <v>092205011127</v>
          </cell>
          <cell r="BD182" t="str">
            <v>Chưa hoàn thành</v>
          </cell>
          <cell r="BF182" t="str">
            <v>3</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v>0</v>
          </cell>
          <cell r="DU182">
            <v>0</v>
          </cell>
          <cell r="DV182">
            <v>0</v>
          </cell>
          <cell r="DW182">
            <v>0</v>
          </cell>
          <cell r="DX182">
            <v>0</v>
          </cell>
          <cell r="DY182">
            <v>0</v>
          </cell>
          <cell r="DZ182">
            <v>0</v>
          </cell>
          <cell r="EA182">
            <v>0</v>
          </cell>
          <cell r="EB182">
            <v>0</v>
          </cell>
        </row>
        <row r="183">
          <cell r="A183">
            <v>0</v>
          </cell>
          <cell r="D183" t="str">
            <v>NGUYỄN PHẠM ANH KHOA</v>
          </cell>
          <cell r="E183" t="str">
            <v>0</v>
          </cell>
          <cell r="F183" t="str">
            <v>13/10/2008</v>
          </cell>
          <cell r="G183" t="str">
            <v>kkhoa6829131028@gmail.com</v>
          </cell>
          <cell r="I183" t="str">
            <v>904208009233</v>
          </cell>
          <cell r="BD183" t="str">
            <v>Chưa hoàn thành</v>
          </cell>
          <cell r="BF183" t="str">
            <v>3</v>
          </cell>
          <cell r="BR183">
            <v>8</v>
          </cell>
          <cell r="BS183">
            <v>9.1</v>
          </cell>
          <cell r="BT183">
            <v>8.5</v>
          </cell>
          <cell r="BU183">
            <v>9</v>
          </cell>
          <cell r="BV183">
            <v>9.1</v>
          </cell>
          <cell r="BW183">
            <v>0</v>
          </cell>
          <cell r="BX183">
            <v>0</v>
          </cell>
          <cell r="BY183">
            <v>9.3000000000000007</v>
          </cell>
          <cell r="BZ183">
            <v>9.1999999999999993</v>
          </cell>
          <cell r="CA183">
            <v>0</v>
          </cell>
          <cell r="CB183">
            <v>9.3000000000000007</v>
          </cell>
          <cell r="CC183">
            <v>9.1999999999999993</v>
          </cell>
          <cell r="CD183">
            <v>0</v>
          </cell>
          <cell r="CE183">
            <v>0</v>
          </cell>
          <cell r="CF183">
            <v>0</v>
          </cell>
          <cell r="CG183">
            <v>0</v>
          </cell>
          <cell r="CH183">
            <v>0</v>
          </cell>
          <cell r="CI183">
            <v>0</v>
          </cell>
          <cell r="CJ183">
            <v>0</v>
          </cell>
          <cell r="CK183">
            <v>0</v>
          </cell>
          <cell r="CL183">
            <v>0</v>
          </cell>
          <cell r="CM183">
            <v>9.3000000000000007</v>
          </cell>
          <cell r="CN183">
            <v>8.3000000000000007</v>
          </cell>
          <cell r="CO183">
            <v>8.8000000000000007</v>
          </cell>
          <cell r="CP183">
            <v>9.1</v>
          </cell>
          <cell r="CQ183">
            <v>9.4</v>
          </cell>
          <cell r="CR183">
            <v>0</v>
          </cell>
          <cell r="CS183">
            <v>0</v>
          </cell>
          <cell r="CT183">
            <v>9.5</v>
          </cell>
          <cell r="CU183">
            <v>8.8000000000000007</v>
          </cell>
          <cell r="CV183">
            <v>0</v>
          </cell>
          <cell r="CW183">
            <v>9.4</v>
          </cell>
          <cell r="CX183">
            <v>9.3000000000000007</v>
          </cell>
          <cell r="CY183">
            <v>0</v>
          </cell>
          <cell r="CZ183">
            <v>0</v>
          </cell>
          <cell r="DA183">
            <v>0</v>
          </cell>
          <cell r="DB183">
            <v>0</v>
          </cell>
          <cell r="DC183">
            <v>0</v>
          </cell>
          <cell r="DD183">
            <v>0</v>
          </cell>
          <cell r="DE183">
            <v>0</v>
          </cell>
          <cell r="DF183">
            <v>0</v>
          </cell>
          <cell r="DG183">
            <v>0</v>
          </cell>
          <cell r="DH183">
            <v>9.4</v>
          </cell>
          <cell r="DI183">
            <v>8.6999999999999993</v>
          </cell>
          <cell r="DJ183">
            <v>8.9</v>
          </cell>
          <cell r="DK183">
            <v>9.6999999999999993</v>
          </cell>
          <cell r="DL183">
            <v>8.3000000000000007</v>
          </cell>
          <cell r="DM183">
            <v>0</v>
          </cell>
          <cell r="DN183">
            <v>0</v>
          </cell>
          <cell r="DO183">
            <v>9.9</v>
          </cell>
          <cell r="DP183">
            <v>9.5</v>
          </cell>
          <cell r="DQ183">
            <v>0</v>
          </cell>
          <cell r="DR183">
            <v>9</v>
          </cell>
          <cell r="DS183">
            <v>9.6999999999999993</v>
          </cell>
          <cell r="DT183">
            <v>0</v>
          </cell>
          <cell r="DU183">
            <v>0</v>
          </cell>
          <cell r="DV183">
            <v>0</v>
          </cell>
          <cell r="DW183">
            <v>0</v>
          </cell>
          <cell r="DX183">
            <v>0</v>
          </cell>
          <cell r="DY183">
            <v>0</v>
          </cell>
          <cell r="DZ183">
            <v>0</v>
          </cell>
          <cell r="EA183">
            <v>0</v>
          </cell>
          <cell r="EB183">
            <v>0</v>
          </cell>
        </row>
        <row r="184">
          <cell r="A184">
            <v>0</v>
          </cell>
          <cell r="D184" t="str">
            <v>PHẠM HỮU VIỆT</v>
          </cell>
          <cell r="E184" t="str">
            <v>0</v>
          </cell>
          <cell r="F184" t="str">
            <v>01/11/2008</v>
          </cell>
          <cell r="G184" t="str">
            <v>phviet208@gmail.com</v>
          </cell>
          <cell r="I184" t="str">
            <v>042208005790</v>
          </cell>
          <cell r="BD184" t="str">
            <v>Chưa hoàn thành</v>
          </cell>
          <cell r="BF184" t="str">
            <v>3</v>
          </cell>
          <cell r="BR184">
            <v>8.6</v>
          </cell>
          <cell r="BS184">
            <v>9.1</v>
          </cell>
          <cell r="BT184">
            <v>9.6</v>
          </cell>
          <cell r="BU184">
            <v>9</v>
          </cell>
          <cell r="BV184">
            <v>9.4</v>
          </cell>
          <cell r="BW184">
            <v>9</v>
          </cell>
          <cell r="BX184">
            <v>9.1999999999999993</v>
          </cell>
          <cell r="BY184">
            <v>0</v>
          </cell>
          <cell r="BZ184">
            <v>0</v>
          </cell>
          <cell r="CA184">
            <v>0</v>
          </cell>
          <cell r="CB184">
            <v>9.1999999999999993</v>
          </cell>
          <cell r="CC184">
            <v>9.4</v>
          </cell>
          <cell r="CD184">
            <v>0</v>
          </cell>
          <cell r="CE184">
            <v>0</v>
          </cell>
          <cell r="CF184">
            <v>0</v>
          </cell>
          <cell r="CG184">
            <v>0</v>
          </cell>
          <cell r="CH184">
            <v>0</v>
          </cell>
          <cell r="CI184">
            <v>0</v>
          </cell>
          <cell r="CJ184">
            <v>0</v>
          </cell>
          <cell r="CK184">
            <v>0</v>
          </cell>
          <cell r="CL184">
            <v>0</v>
          </cell>
          <cell r="CM184">
            <v>8</v>
          </cell>
          <cell r="CN184">
            <v>9</v>
          </cell>
          <cell r="CO184">
            <v>9.8000000000000007</v>
          </cell>
          <cell r="CP184">
            <v>9.3000000000000007</v>
          </cell>
          <cell r="CQ184">
            <v>9</v>
          </cell>
          <cell r="CR184">
            <v>9.3000000000000007</v>
          </cell>
          <cell r="CS184">
            <v>9.4</v>
          </cell>
          <cell r="CT184">
            <v>0</v>
          </cell>
          <cell r="CU184">
            <v>0</v>
          </cell>
          <cell r="CV184">
            <v>0</v>
          </cell>
          <cell r="CW184">
            <v>9.1999999999999993</v>
          </cell>
          <cell r="CX184">
            <v>9</v>
          </cell>
          <cell r="CY184">
            <v>0</v>
          </cell>
          <cell r="CZ184">
            <v>0</v>
          </cell>
          <cell r="DA184">
            <v>0</v>
          </cell>
          <cell r="DB184">
            <v>0</v>
          </cell>
          <cell r="DC184">
            <v>0</v>
          </cell>
          <cell r="DD184">
            <v>0</v>
          </cell>
          <cell r="DE184">
            <v>0</v>
          </cell>
          <cell r="DF184">
            <v>0</v>
          </cell>
          <cell r="DG184">
            <v>0</v>
          </cell>
          <cell r="DH184">
            <v>8.9</v>
          </cell>
          <cell r="DI184">
            <v>8.8000000000000007</v>
          </cell>
          <cell r="DJ184">
            <v>8.8000000000000007</v>
          </cell>
          <cell r="DK184">
            <v>9.1</v>
          </cell>
          <cell r="DL184">
            <v>8.9</v>
          </cell>
          <cell r="DM184">
            <v>8.9</v>
          </cell>
          <cell r="DN184">
            <v>9.3000000000000007</v>
          </cell>
          <cell r="DO184">
            <v>0</v>
          </cell>
          <cell r="DP184">
            <v>0</v>
          </cell>
          <cell r="DQ184">
            <v>0</v>
          </cell>
          <cell r="DR184">
            <v>9.3000000000000007</v>
          </cell>
          <cell r="DS184">
            <v>9.4</v>
          </cell>
          <cell r="DT184">
            <v>0</v>
          </cell>
          <cell r="DU184">
            <v>0</v>
          </cell>
          <cell r="DV184">
            <v>0</v>
          </cell>
          <cell r="DW184">
            <v>0</v>
          </cell>
          <cell r="DX184">
            <v>0</v>
          </cell>
          <cell r="DY184">
            <v>0</v>
          </cell>
          <cell r="DZ184">
            <v>0</v>
          </cell>
          <cell r="EA184">
            <v>0</v>
          </cell>
          <cell r="EB184">
            <v>0</v>
          </cell>
        </row>
        <row r="185">
          <cell r="A185">
            <v>0</v>
          </cell>
          <cell r="D185" t="str">
            <v>PHẠM LÊ BẢO NGỌC</v>
          </cell>
          <cell r="E185" t="str">
            <v>0</v>
          </cell>
          <cell r="F185" t="str">
            <v>10/02/2005</v>
          </cell>
          <cell r="G185" t="str">
            <v>phamlebaongoctv2021@gmail.com</v>
          </cell>
          <cell r="I185" t="str">
            <v>086305000441</v>
          </cell>
          <cell r="BD185" t="str">
            <v>Chưa hoàn thành</v>
          </cell>
          <cell r="BF185" t="str">
            <v>3</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v>0</v>
          </cell>
          <cell r="DU185">
            <v>0</v>
          </cell>
          <cell r="DV185">
            <v>0</v>
          </cell>
          <cell r="DW185">
            <v>0</v>
          </cell>
          <cell r="DX185">
            <v>0</v>
          </cell>
          <cell r="DY185">
            <v>0</v>
          </cell>
          <cell r="DZ185">
            <v>0</v>
          </cell>
          <cell r="EA185">
            <v>0</v>
          </cell>
          <cell r="EB185">
            <v>0</v>
          </cell>
        </row>
        <row r="186">
          <cell r="A186">
            <v>392743282</v>
          </cell>
          <cell r="B186" t="str">
            <v>KSVBS2633104</v>
          </cell>
          <cell r="C186" t="str">
            <v>118</v>
          </cell>
          <cell r="D186" t="str">
            <v>VÕ THỊ KIỀU TRINH</v>
          </cell>
          <cell r="E186" t="str">
            <v>1</v>
          </cell>
          <cell r="F186" t="str">
            <v>06/10/2008</v>
          </cell>
          <cell r="G186" t="str">
            <v>vothikieutrinh06100610@gmail.com</v>
          </cell>
          <cell r="H186" t="str">
            <v>0392743282</v>
          </cell>
          <cell r="I186" t="str">
            <v>049308000153</v>
          </cell>
          <cell r="J186" t="str">
            <v>Tổ 7 thôn an thành 1 xã thăng điền tp đà nẵng</v>
          </cell>
          <cell r="K186" t="str">
            <v>KV2-NT</v>
          </cell>
          <cell r="M186" t="str">
            <v>Không có</v>
          </cell>
          <cell r="N186" t="str">
            <v>Kinh</v>
          </cell>
          <cell r="P186" t="str">
            <v>2026</v>
          </cell>
          <cell r="R186" t="str">
            <v>Không có</v>
          </cell>
          <cell r="S186" t="str">
            <v>Không có</v>
          </cell>
          <cell r="T186" t="str">
            <v>Không có</v>
          </cell>
          <cell r="AA186" t="str">
            <v>Không có</v>
          </cell>
          <cell r="AF186" t="str">
            <v>48N</v>
          </cell>
          <cell r="AG186" t="str">
            <v>234</v>
          </cell>
          <cell r="AH186" t="str">
            <v>THPT Hùng Vương (trước 01/7/2025)</v>
          </cell>
          <cell r="AI186" t="str">
            <v>48N</v>
          </cell>
          <cell r="AJ186" t="str">
            <v>234</v>
          </cell>
          <cell r="AK186" t="str">
            <v>THPT Hùng Vương (trước 01/7/2025)</v>
          </cell>
          <cell r="AL186" t="str">
            <v>48N</v>
          </cell>
          <cell r="AM186" t="str">
            <v>034</v>
          </cell>
          <cell r="AN186" t="str">
            <v>THPT Hùng Vương</v>
          </cell>
          <cell r="AO186" t="str">
            <v>GDPT2018</v>
          </cell>
          <cell r="AP186" t="str">
            <v>Tốt</v>
          </cell>
          <cell r="AQ186" t="str">
            <v>8.33</v>
          </cell>
          <cell r="AR186" t="str">
            <v>8.17</v>
          </cell>
          <cell r="AS186" t="str">
            <v>8.48</v>
          </cell>
          <cell r="AT186" t="str">
            <v>8.29</v>
          </cell>
          <cell r="AU186" t="str">
            <v>False</v>
          </cell>
          <cell r="AW186" t="str">
            <v>7340101</v>
          </cell>
          <cell r="AX186" t="str">
            <v>Quản trị</v>
          </cell>
          <cell r="AY186" t="str">
            <v>7220201</v>
          </cell>
          <cell r="AZ186" t="str">
            <v>Tiếng Anh thương mại</v>
          </cell>
          <cell r="BC186" t="str">
            <v>phamhuong</v>
          </cell>
          <cell r="BD186" t="str">
            <v>Bổ sung minh chứng</v>
          </cell>
          <cell r="BE186" t="str">
            <v xml:space="preserve">- Bổ sung học bạ THPT Em chụp đầy đủ tất cả các trang trong học bạ:
• Trang thông tin học sinh
• Kết quả học tập 10,11,12
• Kết quả rèn luyện, nhận xét lớp 10, 11, 12
=&gt; Hình ảnh phải rõ nét, đầy đủ chữ ký và dấu mộc trường THPT
</v>
          </cell>
          <cell r="BF186" t="str">
            <v>3</v>
          </cell>
          <cell r="BM186" t="str">
            <v>True</v>
          </cell>
          <cell r="BN186" t="str">
            <v>False</v>
          </cell>
          <cell r="BO186" t="str">
            <v>KQTHPT_184_049308000153.pdf</v>
          </cell>
          <cell r="BR186">
            <v>8.6999999999999993</v>
          </cell>
          <cell r="BS186">
            <v>6.6</v>
          </cell>
          <cell r="BT186">
            <v>7.8</v>
          </cell>
          <cell r="BU186">
            <v>9.1</v>
          </cell>
          <cell r="BV186">
            <v>8.6</v>
          </cell>
          <cell r="BW186">
            <v>0</v>
          </cell>
          <cell r="BX186">
            <v>0</v>
          </cell>
          <cell r="BY186">
            <v>8.4</v>
          </cell>
          <cell r="BZ186">
            <v>7.4</v>
          </cell>
          <cell r="CA186">
            <v>0</v>
          </cell>
          <cell r="CB186">
            <v>8.9</v>
          </cell>
          <cell r="CC186">
            <v>8</v>
          </cell>
          <cell r="CD186">
            <v>0</v>
          </cell>
          <cell r="CE186">
            <v>0</v>
          </cell>
          <cell r="CF186">
            <v>0</v>
          </cell>
          <cell r="CG186">
            <v>0</v>
          </cell>
          <cell r="CH186">
            <v>0</v>
          </cell>
          <cell r="CI186">
            <v>0</v>
          </cell>
          <cell r="CJ186">
            <v>0</v>
          </cell>
          <cell r="CK186">
            <v>0</v>
          </cell>
          <cell r="CL186">
            <v>0</v>
          </cell>
          <cell r="CM186">
            <v>8.8000000000000007</v>
          </cell>
          <cell r="CN186">
            <v>6.6</v>
          </cell>
          <cell r="CO186">
            <v>8</v>
          </cell>
          <cell r="CP186">
            <v>9</v>
          </cell>
          <cell r="CQ186">
            <v>8.5</v>
          </cell>
          <cell r="CR186">
            <v>0</v>
          </cell>
          <cell r="CS186">
            <v>0</v>
          </cell>
          <cell r="CT186">
            <v>8.4</v>
          </cell>
          <cell r="CU186">
            <v>8.1999999999999993</v>
          </cell>
          <cell r="CV186">
            <v>0</v>
          </cell>
          <cell r="CW186">
            <v>9.6</v>
          </cell>
          <cell r="CX186">
            <v>9.1999999999999993</v>
          </cell>
          <cell r="CY186">
            <v>0</v>
          </cell>
          <cell r="CZ186">
            <v>0</v>
          </cell>
          <cell r="DA186">
            <v>0</v>
          </cell>
          <cell r="DB186">
            <v>0</v>
          </cell>
          <cell r="DC186">
            <v>0</v>
          </cell>
          <cell r="DD186">
            <v>0</v>
          </cell>
          <cell r="DE186">
            <v>0</v>
          </cell>
          <cell r="DF186">
            <v>0</v>
          </cell>
          <cell r="DG186">
            <v>0</v>
          </cell>
          <cell r="DH186">
            <v>7.7</v>
          </cell>
          <cell r="DI186">
            <v>7.1</v>
          </cell>
          <cell r="DJ186">
            <v>7.9</v>
          </cell>
          <cell r="DK186">
            <v>9.1</v>
          </cell>
          <cell r="DL186">
            <v>8.6</v>
          </cell>
          <cell r="DM186">
            <v>0</v>
          </cell>
          <cell r="DN186">
            <v>0</v>
          </cell>
          <cell r="DO186">
            <v>8.8000000000000007</v>
          </cell>
          <cell r="DP186">
            <v>9</v>
          </cell>
          <cell r="DQ186">
            <v>0</v>
          </cell>
          <cell r="DR186">
            <v>8.3000000000000007</v>
          </cell>
          <cell r="DS186">
            <v>8.1</v>
          </cell>
          <cell r="DT186">
            <v>0</v>
          </cell>
          <cell r="DU186">
            <v>0</v>
          </cell>
          <cell r="DV186">
            <v>0</v>
          </cell>
          <cell r="DW186">
            <v>0</v>
          </cell>
          <cell r="DX186">
            <v>0</v>
          </cell>
          <cell r="DY186">
            <v>0</v>
          </cell>
          <cell r="DZ186">
            <v>0</v>
          </cell>
          <cell r="EA186">
            <v>0</v>
          </cell>
          <cell r="EB186">
            <v>0</v>
          </cell>
          <cell r="EC186">
            <v>6.75</v>
          </cell>
          <cell r="ED186">
            <v>5.75</v>
          </cell>
          <cell r="EJ186">
            <v>5</v>
          </cell>
          <cell r="EK186">
            <v>5.6</v>
          </cell>
        </row>
        <row r="187">
          <cell r="A187">
            <v>0</v>
          </cell>
          <cell r="D187" t="str">
            <v>NGUYỄN THỊ HỒNG THUỶ</v>
          </cell>
          <cell r="E187" t="str">
            <v>0</v>
          </cell>
          <cell r="F187" t="str">
            <v>25/01/2008</v>
          </cell>
          <cell r="G187" t="str">
            <v>let079527@gmail.com</v>
          </cell>
          <cell r="I187" t="str">
            <v>060308000359</v>
          </cell>
          <cell r="BD187" t="str">
            <v>Chưa hoàn thành</v>
          </cell>
          <cell r="BF187" t="str">
            <v>3</v>
          </cell>
          <cell r="BR187">
            <v>0</v>
          </cell>
          <cell r="BS187">
            <v>0</v>
          </cell>
          <cell r="BT187">
            <v>0</v>
          </cell>
          <cell r="BU187">
            <v>0</v>
          </cell>
          <cell r="BV187">
            <v>0</v>
          </cell>
          <cell r="BW187">
            <v>0</v>
          </cell>
          <cell r="BX187">
            <v>0</v>
          </cell>
          <cell r="BY187">
            <v>0</v>
          </cell>
          <cell r="BZ187">
            <v>0</v>
          </cell>
          <cell r="CA187">
            <v>0</v>
          </cell>
          <cell r="CB187">
            <v>0</v>
          </cell>
          <cell r="CC187">
            <v>0</v>
          </cell>
          <cell r="CD187">
            <v>0</v>
          </cell>
          <cell r="CE187">
            <v>0</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0</v>
          </cell>
          <cell r="DM187">
            <v>0</v>
          </cell>
          <cell r="DN187">
            <v>0</v>
          </cell>
          <cell r="DO187">
            <v>0</v>
          </cell>
          <cell r="DP187">
            <v>0</v>
          </cell>
          <cell r="DQ187">
            <v>0</v>
          </cell>
          <cell r="DR187">
            <v>0</v>
          </cell>
          <cell r="DS187">
            <v>0</v>
          </cell>
          <cell r="DT187">
            <v>0</v>
          </cell>
          <cell r="DU187">
            <v>0</v>
          </cell>
          <cell r="DV187">
            <v>0</v>
          </cell>
          <cell r="DW187">
            <v>0</v>
          </cell>
          <cell r="DX187">
            <v>0</v>
          </cell>
          <cell r="DY187">
            <v>0</v>
          </cell>
          <cell r="DZ187">
            <v>0</v>
          </cell>
          <cell r="EA187">
            <v>0</v>
          </cell>
          <cell r="EB187">
            <v>0</v>
          </cell>
        </row>
        <row r="188">
          <cell r="A188">
            <v>0</v>
          </cell>
          <cell r="D188" t="str">
            <v>BÙI LÊ NGỌC HẢO</v>
          </cell>
          <cell r="E188" t="str">
            <v>0</v>
          </cell>
          <cell r="F188" t="str">
            <v>09/11/2006</v>
          </cell>
          <cell r="G188" t="str">
            <v>haobuitintin@gmail.com</v>
          </cell>
          <cell r="I188" t="str">
            <v>079306009401</v>
          </cell>
          <cell r="BD188" t="str">
            <v>Chưa hoàn thành</v>
          </cell>
          <cell r="BF188" t="str">
            <v>3</v>
          </cell>
          <cell r="BR188">
            <v>6</v>
          </cell>
          <cell r="BS188">
            <v>6.4</v>
          </cell>
          <cell r="BT188">
            <v>6.1</v>
          </cell>
          <cell r="BU188">
            <v>8.3000000000000007</v>
          </cell>
          <cell r="BV188">
            <v>8.4</v>
          </cell>
          <cell r="BW188">
            <v>7.3</v>
          </cell>
          <cell r="BX188">
            <v>6.7</v>
          </cell>
          <cell r="BY188">
            <v>0</v>
          </cell>
          <cell r="BZ188">
            <v>0</v>
          </cell>
          <cell r="CA188">
            <v>0</v>
          </cell>
          <cell r="CB188">
            <v>7.8</v>
          </cell>
          <cell r="CC188">
            <v>7.6</v>
          </cell>
          <cell r="CD188">
            <v>0</v>
          </cell>
          <cell r="CE188">
            <v>0</v>
          </cell>
          <cell r="CF188">
            <v>0</v>
          </cell>
          <cell r="CG188">
            <v>0</v>
          </cell>
          <cell r="CH188">
            <v>0</v>
          </cell>
          <cell r="CI188">
            <v>0</v>
          </cell>
          <cell r="CJ188">
            <v>0</v>
          </cell>
          <cell r="CK188">
            <v>0</v>
          </cell>
          <cell r="CL188">
            <v>0</v>
          </cell>
          <cell r="CM188">
            <v>6.2</v>
          </cell>
          <cell r="CN188">
            <v>6.9</v>
          </cell>
          <cell r="CO188">
            <v>7.7</v>
          </cell>
          <cell r="CP188">
            <v>7.3</v>
          </cell>
          <cell r="CQ188">
            <v>7.2</v>
          </cell>
          <cell r="CR188">
            <v>8.8000000000000007</v>
          </cell>
          <cell r="CS188">
            <v>7.6</v>
          </cell>
          <cell r="CT188">
            <v>0</v>
          </cell>
          <cell r="CU188">
            <v>0</v>
          </cell>
          <cell r="CV188">
            <v>0</v>
          </cell>
          <cell r="CW188">
            <v>8.9</v>
          </cell>
          <cell r="CX188">
            <v>8.8000000000000007</v>
          </cell>
          <cell r="CY188">
            <v>0</v>
          </cell>
          <cell r="CZ188">
            <v>0</v>
          </cell>
          <cell r="DA188">
            <v>0</v>
          </cell>
          <cell r="DB188">
            <v>0</v>
          </cell>
          <cell r="DC188">
            <v>0</v>
          </cell>
          <cell r="DD188">
            <v>0</v>
          </cell>
          <cell r="DE188">
            <v>0</v>
          </cell>
          <cell r="DF188">
            <v>0</v>
          </cell>
          <cell r="DG188">
            <v>0</v>
          </cell>
          <cell r="DH188">
            <v>5.9</v>
          </cell>
          <cell r="DI188">
            <v>7.2</v>
          </cell>
          <cell r="DJ188">
            <v>6.3</v>
          </cell>
          <cell r="DK188">
            <v>9.8000000000000007</v>
          </cell>
          <cell r="DL188">
            <v>8.1</v>
          </cell>
          <cell r="DM188">
            <v>8.5</v>
          </cell>
          <cell r="DN188">
            <v>8</v>
          </cell>
          <cell r="DO188">
            <v>0</v>
          </cell>
          <cell r="DP188">
            <v>0</v>
          </cell>
          <cell r="DQ188">
            <v>0</v>
          </cell>
          <cell r="DR188">
            <v>8.9</v>
          </cell>
          <cell r="DS188">
            <v>7.9</v>
          </cell>
          <cell r="DT188">
            <v>0</v>
          </cell>
          <cell r="DU188">
            <v>0</v>
          </cell>
          <cell r="DV188">
            <v>0</v>
          </cell>
          <cell r="DW188">
            <v>0</v>
          </cell>
          <cell r="DX188">
            <v>0</v>
          </cell>
          <cell r="DY188">
            <v>0</v>
          </cell>
          <cell r="DZ188">
            <v>0</v>
          </cell>
          <cell r="EA188">
            <v>0</v>
          </cell>
          <cell r="EB188">
            <v>0</v>
          </cell>
        </row>
        <row r="189">
          <cell r="A189">
            <v>0</v>
          </cell>
          <cell r="D189" t="str">
            <v>NGUYỄN THỊ HIỀN LÀNH</v>
          </cell>
          <cell r="E189" t="str">
            <v>0</v>
          </cell>
          <cell r="F189" t="str">
            <v>04/11/2008</v>
          </cell>
          <cell r="G189" t="str">
            <v>lanhnguyenqn2008@gmail.com</v>
          </cell>
          <cell r="I189" t="str">
            <v>054308002250</v>
          </cell>
          <cell r="BD189" t="str">
            <v>Chưa hoàn thành</v>
          </cell>
          <cell r="BF189" t="str">
            <v>3</v>
          </cell>
          <cell r="BR189">
            <v>9.3000000000000007</v>
          </cell>
          <cell r="BS189">
            <v>7.7</v>
          </cell>
          <cell r="BT189">
            <v>7.9</v>
          </cell>
          <cell r="BU189">
            <v>8.3000000000000007</v>
          </cell>
          <cell r="BV189">
            <v>9.3000000000000007</v>
          </cell>
          <cell r="BW189">
            <v>0</v>
          </cell>
          <cell r="BX189">
            <v>0</v>
          </cell>
          <cell r="BY189">
            <v>9.4</v>
          </cell>
          <cell r="BZ189">
            <v>8.6999999999999993</v>
          </cell>
          <cell r="CA189">
            <v>0</v>
          </cell>
          <cell r="CB189">
            <v>9.6999999999999993</v>
          </cell>
          <cell r="CC189">
            <v>9.8000000000000007</v>
          </cell>
          <cell r="CD189">
            <v>0</v>
          </cell>
          <cell r="CE189">
            <v>0</v>
          </cell>
          <cell r="CF189">
            <v>0</v>
          </cell>
          <cell r="CG189">
            <v>0</v>
          </cell>
          <cell r="CH189">
            <v>0</v>
          </cell>
          <cell r="CI189">
            <v>0</v>
          </cell>
          <cell r="CJ189">
            <v>0</v>
          </cell>
          <cell r="CK189">
            <v>0</v>
          </cell>
          <cell r="CL189">
            <v>0</v>
          </cell>
          <cell r="CM189">
            <v>9.3000000000000007</v>
          </cell>
          <cell r="CN189">
            <v>8</v>
          </cell>
          <cell r="CO189">
            <v>8.3000000000000007</v>
          </cell>
          <cell r="CP189">
            <v>9</v>
          </cell>
          <cell r="CQ189">
            <v>9.1</v>
          </cell>
          <cell r="CR189">
            <v>0</v>
          </cell>
          <cell r="CS189">
            <v>0</v>
          </cell>
          <cell r="CT189">
            <v>9.5</v>
          </cell>
          <cell r="CU189">
            <v>9.3000000000000007</v>
          </cell>
          <cell r="CV189">
            <v>0</v>
          </cell>
          <cell r="CW189">
            <v>9.6999999999999993</v>
          </cell>
          <cell r="CX189">
            <v>9.4</v>
          </cell>
          <cell r="CY189">
            <v>0</v>
          </cell>
          <cell r="CZ189">
            <v>0</v>
          </cell>
          <cell r="DA189">
            <v>0</v>
          </cell>
          <cell r="DB189">
            <v>0</v>
          </cell>
          <cell r="DC189">
            <v>0</v>
          </cell>
          <cell r="DD189">
            <v>0</v>
          </cell>
          <cell r="DE189">
            <v>0</v>
          </cell>
          <cell r="DF189">
            <v>0</v>
          </cell>
          <cell r="DG189">
            <v>0</v>
          </cell>
          <cell r="DH189">
            <v>9.8000000000000007</v>
          </cell>
          <cell r="DI189">
            <v>8.3000000000000007</v>
          </cell>
          <cell r="DJ189">
            <v>8.3000000000000007</v>
          </cell>
          <cell r="DK189">
            <v>9.4</v>
          </cell>
          <cell r="DL189">
            <v>9.5</v>
          </cell>
          <cell r="DM189">
            <v>0</v>
          </cell>
          <cell r="DN189">
            <v>0</v>
          </cell>
          <cell r="DO189">
            <v>9.6999999999999993</v>
          </cell>
          <cell r="DP189">
            <v>9.4</v>
          </cell>
          <cell r="DQ189">
            <v>0</v>
          </cell>
          <cell r="DR189">
            <v>9.5</v>
          </cell>
          <cell r="DS189">
            <v>9.6999999999999993</v>
          </cell>
          <cell r="DT189">
            <v>0</v>
          </cell>
          <cell r="DU189">
            <v>0</v>
          </cell>
          <cell r="DV189">
            <v>0</v>
          </cell>
          <cell r="DW189">
            <v>0</v>
          </cell>
          <cell r="DX189">
            <v>0</v>
          </cell>
          <cell r="DY189">
            <v>0</v>
          </cell>
          <cell r="DZ189">
            <v>0</v>
          </cell>
          <cell r="EA189">
            <v>0</v>
          </cell>
          <cell r="EB189">
            <v>0</v>
          </cell>
        </row>
        <row r="190">
          <cell r="A190">
            <v>947941822</v>
          </cell>
          <cell r="D190" t="str">
            <v>ĐẶNG TUYẾT NHƯ</v>
          </cell>
          <cell r="E190" t="str">
            <v>1</v>
          </cell>
          <cell r="F190" t="str">
            <v>13/10/2006</v>
          </cell>
          <cell r="G190" t="str">
            <v>dangtuyetnhu@gmail.com</v>
          </cell>
          <cell r="H190" t="str">
            <v>0947941822</v>
          </cell>
          <cell r="I190" t="str">
            <v>095306001052</v>
          </cell>
          <cell r="J190" t="str">
            <v>Long Phú</v>
          </cell>
          <cell r="K190" t="str">
            <v>KV2-NT</v>
          </cell>
          <cell r="M190" t="str">
            <v>Không có</v>
          </cell>
          <cell r="N190" t="str">
            <v>Kinh</v>
          </cell>
          <cell r="P190" t="str">
            <v>2026</v>
          </cell>
          <cell r="Q190" t="str">
            <v>96014415</v>
          </cell>
          <cell r="R190" t="str">
            <v>Không có</v>
          </cell>
          <cell r="S190" t="str">
            <v>Không có</v>
          </cell>
          <cell r="T190" t="str">
            <v>Không có</v>
          </cell>
          <cell r="W190" t="str">
            <v>0.00</v>
          </cell>
          <cell r="X190" t="str">
            <v>090329</v>
          </cell>
          <cell r="Y190" t="str">
            <v>E64E7F7DEA</v>
          </cell>
          <cell r="Z190" t="str">
            <v>622.00</v>
          </cell>
          <cell r="AA190" t="str">
            <v>Không có</v>
          </cell>
          <cell r="AF190" t="str">
            <v>96N</v>
          </cell>
          <cell r="AG190" t="str">
            <v>512</v>
          </cell>
          <cell r="AH190" t="str">
            <v>THPT Định Thành</v>
          </cell>
          <cell r="AI190" t="str">
            <v>96N</v>
          </cell>
          <cell r="AJ190" t="str">
            <v>512</v>
          </cell>
          <cell r="AK190" t="str">
            <v>THPT Định Thành</v>
          </cell>
          <cell r="AL190" t="str">
            <v>96N</v>
          </cell>
          <cell r="AM190" t="str">
            <v>512</v>
          </cell>
          <cell r="AN190" t="str">
            <v>THPT Định Thành</v>
          </cell>
          <cell r="AO190" t="str">
            <v>GDPT2006</v>
          </cell>
          <cell r="AP190" t="str">
            <v>Giỏi</v>
          </cell>
          <cell r="AQ190" t="str">
            <v>8.20</v>
          </cell>
          <cell r="AR190" t="str">
            <v>7.68</v>
          </cell>
          <cell r="AS190" t="str">
            <v>7.42</v>
          </cell>
          <cell r="AT190" t="str">
            <v>8.17</v>
          </cell>
          <cell r="AU190" t="str">
            <v>True</v>
          </cell>
          <cell r="AW190" t="str">
            <v>7380107</v>
          </cell>
          <cell r="AX190" t="str">
            <v>Luật kinh tế</v>
          </cell>
          <cell r="BD190" t="str">
            <v>Chưa hoàn thành</v>
          </cell>
          <cell r="BF190" t="str">
            <v>3</v>
          </cell>
          <cell r="BM190" t="str">
            <v>True</v>
          </cell>
          <cell r="BN190" t="str">
            <v>False</v>
          </cell>
          <cell r="BO190" t="str">
            <v>KQTHPT_188_095306001052.pdf</v>
          </cell>
          <cell r="BP190" t="str">
            <v>KQDGNL_188_095306001052.pdf</v>
          </cell>
          <cell r="BR190">
            <v>7.3</v>
          </cell>
          <cell r="BS190">
            <v>7.3</v>
          </cell>
          <cell r="BT190">
            <v>7.1</v>
          </cell>
          <cell r="BU190">
            <v>9</v>
          </cell>
          <cell r="BV190">
            <v>7.7</v>
          </cell>
          <cell r="BW190">
            <v>0</v>
          </cell>
          <cell r="BX190">
            <v>8</v>
          </cell>
          <cell r="BY190">
            <v>6.8</v>
          </cell>
          <cell r="BZ190">
            <v>7.1</v>
          </cell>
          <cell r="CA190">
            <v>6.8</v>
          </cell>
          <cell r="CB190">
            <v>8.8000000000000007</v>
          </cell>
          <cell r="CC190">
            <v>7.8</v>
          </cell>
          <cell r="CD190">
            <v>0</v>
          </cell>
          <cell r="CE190">
            <v>8.4</v>
          </cell>
          <cell r="CF190">
            <v>0</v>
          </cell>
          <cell r="CG190">
            <v>0</v>
          </cell>
          <cell r="CH190">
            <v>0</v>
          </cell>
          <cell r="CI190">
            <v>0</v>
          </cell>
          <cell r="CJ190">
            <v>0</v>
          </cell>
          <cell r="CK190">
            <v>0</v>
          </cell>
          <cell r="CL190">
            <v>0</v>
          </cell>
          <cell r="CM190">
            <v>7.2</v>
          </cell>
          <cell r="CN190">
            <v>7.6</v>
          </cell>
          <cell r="CO190">
            <v>6.3</v>
          </cell>
          <cell r="CP190">
            <v>8.6</v>
          </cell>
          <cell r="CQ190">
            <v>7.7</v>
          </cell>
          <cell r="CR190">
            <v>0</v>
          </cell>
          <cell r="CS190">
            <v>8.3000000000000007</v>
          </cell>
          <cell r="CT190">
            <v>7.6</v>
          </cell>
          <cell r="CU190">
            <v>6.9</v>
          </cell>
          <cell r="CV190">
            <v>7</v>
          </cell>
          <cell r="CW190">
            <v>8</v>
          </cell>
          <cell r="CX190">
            <v>6.3</v>
          </cell>
          <cell r="CY190">
            <v>0</v>
          </cell>
          <cell r="CZ190">
            <v>7.5</v>
          </cell>
          <cell r="DA190">
            <v>0</v>
          </cell>
          <cell r="DB190">
            <v>0</v>
          </cell>
          <cell r="DC190">
            <v>0</v>
          </cell>
          <cell r="DD190">
            <v>0</v>
          </cell>
          <cell r="DE190">
            <v>0</v>
          </cell>
          <cell r="DF190">
            <v>0</v>
          </cell>
          <cell r="DG190">
            <v>0</v>
          </cell>
          <cell r="DH190">
            <v>8.4</v>
          </cell>
          <cell r="DI190">
            <v>8.1999999999999993</v>
          </cell>
          <cell r="DJ190">
            <v>7.2</v>
          </cell>
          <cell r="DK190">
            <v>8.3000000000000007</v>
          </cell>
          <cell r="DL190">
            <v>7.8</v>
          </cell>
          <cell r="DM190">
            <v>0</v>
          </cell>
          <cell r="DN190">
            <v>8.4</v>
          </cell>
          <cell r="DO190">
            <v>8.1</v>
          </cell>
          <cell r="DP190">
            <v>7.7</v>
          </cell>
          <cell r="DQ190">
            <v>7</v>
          </cell>
          <cell r="DR190">
            <v>9.3000000000000007</v>
          </cell>
          <cell r="DS190">
            <v>9.1999999999999993</v>
          </cell>
          <cell r="DT190">
            <v>0</v>
          </cell>
          <cell r="DU190">
            <v>8.4</v>
          </cell>
          <cell r="DV190">
            <v>0</v>
          </cell>
          <cell r="DW190">
            <v>0</v>
          </cell>
          <cell r="DX190">
            <v>0</v>
          </cell>
          <cell r="DY190">
            <v>0</v>
          </cell>
          <cell r="DZ190">
            <v>0</v>
          </cell>
          <cell r="EA190">
            <v>0</v>
          </cell>
          <cell r="EB190">
            <v>0</v>
          </cell>
          <cell r="EC190">
            <v>7</v>
          </cell>
          <cell r="ED190">
            <v>7.25</v>
          </cell>
          <cell r="EE190">
            <v>5</v>
          </cell>
          <cell r="EG190">
            <v>8</v>
          </cell>
          <cell r="EI190">
            <v>0</v>
          </cell>
          <cell r="EJ190">
            <v>0</v>
          </cell>
          <cell r="EK190">
            <v>0</v>
          </cell>
          <cell r="EL190">
            <v>0</v>
          </cell>
          <cell r="EN190">
            <v>0</v>
          </cell>
        </row>
        <row r="191">
          <cell r="A191">
            <v>793872436</v>
          </cell>
          <cell r="B191" t="str">
            <v>KSVBS2627907</v>
          </cell>
          <cell r="C191" t="str">
            <v>119</v>
          </cell>
          <cell r="D191" t="str">
            <v>TRẦN TRUNG NHÂN</v>
          </cell>
          <cell r="E191" t="str">
            <v>0</v>
          </cell>
          <cell r="F191" t="str">
            <v>26/08/2008</v>
          </cell>
          <cell r="G191" t="str">
            <v>trungnhan260808@gmail.com</v>
          </cell>
          <cell r="H191" t="str">
            <v>0793872436</v>
          </cell>
          <cell r="I191" t="str">
            <v>086208001080</v>
          </cell>
          <cell r="J191" t="str">
            <v>SỐ NHÀ 329, TỔ 23, ẤP LONG HÒA, Xã Phú Quới, Tỉnh Vĩnh Long</v>
          </cell>
          <cell r="K191" t="str">
            <v>KV2</v>
          </cell>
          <cell r="M191" t="str">
            <v>Không có</v>
          </cell>
          <cell r="N191" t="str">
            <v>Kinh</v>
          </cell>
          <cell r="P191" t="str">
            <v>2026</v>
          </cell>
          <cell r="Q191" t="str">
            <v>86014873</v>
          </cell>
          <cell r="R191" t="str">
            <v>Không có</v>
          </cell>
          <cell r="S191" t="str">
            <v>Không có</v>
          </cell>
          <cell r="T191" t="str">
            <v>Không có</v>
          </cell>
          <cell r="AA191" t="str">
            <v>Không có</v>
          </cell>
          <cell r="AF191" t="str">
            <v>86N</v>
          </cell>
          <cell r="AG191" t="str">
            <v>428</v>
          </cell>
          <cell r="AH191" t="str">
            <v>THPT Nguyễn Thông</v>
          </cell>
          <cell r="AI191" t="str">
            <v>86N</v>
          </cell>
          <cell r="AJ191" t="str">
            <v>428</v>
          </cell>
          <cell r="AK191" t="str">
            <v>THPT Nguyễn Thông</v>
          </cell>
          <cell r="AL191" t="str">
            <v>86N</v>
          </cell>
          <cell r="AM191" t="str">
            <v>428</v>
          </cell>
          <cell r="AN191" t="str">
            <v>THPT Nguyễn Thông</v>
          </cell>
          <cell r="AO191" t="str">
            <v>GDPT2018</v>
          </cell>
          <cell r="AP191" t="str">
            <v>Tốt</v>
          </cell>
          <cell r="AQ191" t="str">
            <v>7.78</v>
          </cell>
          <cell r="AR191" t="str">
            <v>8.61</v>
          </cell>
          <cell r="AS191" t="str">
            <v>8.60</v>
          </cell>
          <cell r="AT191" t="str">
            <v>8.40</v>
          </cell>
          <cell r="AU191" t="str">
            <v>False</v>
          </cell>
          <cell r="AW191" t="str">
            <v>7340201_2</v>
          </cell>
          <cell r="AX191" t="str">
            <v>Tài chính</v>
          </cell>
          <cell r="AY191" t="str">
            <v>7340301</v>
          </cell>
          <cell r="AZ191" t="str">
            <v>Kế toán doanh nghiệp</v>
          </cell>
          <cell r="BA191" t="str">
            <v>7340201_1</v>
          </cell>
          <cell r="BB191" t="str">
            <v>Ngân hàng</v>
          </cell>
          <cell r="BC191" t="str">
            <v>phamhuong</v>
          </cell>
          <cell r="BD191" t="str">
            <v>Đã được tiếp nhận</v>
          </cell>
          <cell r="BF191" t="str">
            <v>3</v>
          </cell>
          <cell r="BM191" t="str">
            <v>True</v>
          </cell>
          <cell r="BN191" t="str">
            <v>False</v>
          </cell>
          <cell r="BO191" t="str">
            <v>KQTHPT_189_086208001080.pdf</v>
          </cell>
          <cell r="BR191">
            <v>8.1</v>
          </cell>
          <cell r="BS191">
            <v>8.1999999999999993</v>
          </cell>
          <cell r="BT191">
            <v>7.6</v>
          </cell>
          <cell r="BU191">
            <v>9.6</v>
          </cell>
          <cell r="BV191">
            <v>8</v>
          </cell>
          <cell r="BW191">
            <v>0</v>
          </cell>
          <cell r="BX191">
            <v>0</v>
          </cell>
          <cell r="BY191">
            <v>8.6999999999999993</v>
          </cell>
          <cell r="BZ191">
            <v>9.3000000000000007</v>
          </cell>
          <cell r="CA191">
            <v>8.8000000000000007</v>
          </cell>
          <cell r="CB191">
            <v>0</v>
          </cell>
          <cell r="CC191">
            <v>9.1999999999999993</v>
          </cell>
          <cell r="CD191">
            <v>0</v>
          </cell>
          <cell r="CE191">
            <v>0</v>
          </cell>
          <cell r="CF191">
            <v>0</v>
          </cell>
          <cell r="CG191">
            <v>0</v>
          </cell>
          <cell r="CH191">
            <v>0</v>
          </cell>
          <cell r="CI191">
            <v>0</v>
          </cell>
          <cell r="CJ191">
            <v>0</v>
          </cell>
          <cell r="CK191">
            <v>0</v>
          </cell>
          <cell r="CL191">
            <v>0</v>
          </cell>
          <cell r="CM191">
            <v>7.7</v>
          </cell>
          <cell r="CN191">
            <v>7.7</v>
          </cell>
          <cell r="CO191">
            <v>8.5</v>
          </cell>
          <cell r="CP191">
            <v>8.6</v>
          </cell>
          <cell r="CQ191">
            <v>8.6</v>
          </cell>
          <cell r="CR191">
            <v>0</v>
          </cell>
          <cell r="CS191">
            <v>0</v>
          </cell>
          <cell r="CT191">
            <v>8.8000000000000007</v>
          </cell>
          <cell r="CU191">
            <v>9.1999999999999993</v>
          </cell>
          <cell r="CV191">
            <v>8.8000000000000007</v>
          </cell>
          <cell r="CW191">
            <v>0</v>
          </cell>
          <cell r="CX191">
            <v>9.5</v>
          </cell>
          <cell r="CY191">
            <v>0</v>
          </cell>
          <cell r="CZ191">
            <v>0</v>
          </cell>
          <cell r="DA191">
            <v>0</v>
          </cell>
          <cell r="DB191">
            <v>0</v>
          </cell>
          <cell r="DC191">
            <v>0</v>
          </cell>
          <cell r="DD191">
            <v>0</v>
          </cell>
          <cell r="DE191">
            <v>0</v>
          </cell>
          <cell r="DF191">
            <v>0</v>
          </cell>
          <cell r="DG191">
            <v>0</v>
          </cell>
          <cell r="DH191">
            <v>9</v>
          </cell>
          <cell r="DI191">
            <v>7.4</v>
          </cell>
          <cell r="DJ191">
            <v>7.6</v>
          </cell>
          <cell r="DK191">
            <v>9.1</v>
          </cell>
          <cell r="DL191">
            <v>8.3000000000000007</v>
          </cell>
          <cell r="DM191">
            <v>0</v>
          </cell>
          <cell r="DN191">
            <v>0</v>
          </cell>
          <cell r="DO191">
            <v>9.3000000000000007</v>
          </cell>
          <cell r="DP191">
            <v>9</v>
          </cell>
          <cell r="DQ191">
            <v>7.4</v>
          </cell>
          <cell r="DR191">
            <v>0</v>
          </cell>
          <cell r="DS191">
            <v>8.5</v>
          </cell>
          <cell r="DT191">
            <v>0</v>
          </cell>
          <cell r="DU191">
            <v>0</v>
          </cell>
          <cell r="DV191">
            <v>0</v>
          </cell>
          <cell r="DW191">
            <v>0</v>
          </cell>
          <cell r="DX191">
            <v>0</v>
          </cell>
          <cell r="DY191">
            <v>0</v>
          </cell>
          <cell r="DZ191">
            <v>0</v>
          </cell>
          <cell r="EA191">
            <v>0</v>
          </cell>
          <cell r="EB191">
            <v>0</v>
          </cell>
          <cell r="EC191">
            <v>8</v>
          </cell>
          <cell r="ED191">
            <v>5.25</v>
          </cell>
          <cell r="EJ191">
            <v>7.5</v>
          </cell>
          <cell r="EK191">
            <v>7.5</v>
          </cell>
        </row>
        <row r="192">
          <cell r="A192">
            <v>929669708</v>
          </cell>
          <cell r="D192" t="str">
            <v>NGUYỄN ANH PHA</v>
          </cell>
          <cell r="E192" t="str">
            <v>1</v>
          </cell>
          <cell r="F192" t="str">
            <v>16/01/2008</v>
          </cell>
          <cell r="G192" t="str">
            <v>anhthu109106@gmail.com</v>
          </cell>
          <cell r="H192" t="str">
            <v>0929669708</v>
          </cell>
          <cell r="I192" t="str">
            <v>083308002228</v>
          </cell>
          <cell r="J192" t="str">
            <v>số nhà 92, ấp Tân Qưới Tây B ,xã An Định , tỉnh Vĩnh Long</v>
          </cell>
          <cell r="K192" t="str">
            <v>KV2-NT</v>
          </cell>
          <cell r="M192" t="str">
            <v>Không có</v>
          </cell>
          <cell r="N192" t="str">
            <v>Kinh</v>
          </cell>
          <cell r="P192" t="str">
            <v>2026</v>
          </cell>
          <cell r="Q192" t="str">
            <v>86006521</v>
          </cell>
          <cell r="R192" t="str">
            <v>Không có</v>
          </cell>
          <cell r="S192" t="str">
            <v>Không có</v>
          </cell>
          <cell r="T192" t="str">
            <v>Không có</v>
          </cell>
          <cell r="AA192" t="str">
            <v>Không có</v>
          </cell>
          <cell r="AF192" t="str">
            <v>86N</v>
          </cell>
          <cell r="AG192" t="str">
            <v>176</v>
          </cell>
          <cell r="AH192" t="str">
            <v>THPT Nguyễn Thị Minh Khai (Trước 2025)</v>
          </cell>
          <cell r="AI192" t="str">
            <v>86N</v>
          </cell>
          <cell r="AJ192" t="str">
            <v>176</v>
          </cell>
          <cell r="AK192" t="str">
            <v>THPT Nguyễn Thị Minh Khai (Trước 2025)</v>
          </cell>
          <cell r="AL192" t="str">
            <v>86N</v>
          </cell>
          <cell r="AM192" t="str">
            <v>115</v>
          </cell>
          <cell r="AN192" t="str">
            <v>THPT Nguyễn Thị Minh Khai</v>
          </cell>
          <cell r="AO192" t="str">
            <v>GDPT2018</v>
          </cell>
          <cell r="AP192" t="str">
            <v>Đạt</v>
          </cell>
          <cell r="AQ192" t="str">
            <v>7.22</v>
          </cell>
          <cell r="AR192" t="str">
            <v>8.12</v>
          </cell>
          <cell r="AS192" t="str">
            <v>8.48</v>
          </cell>
          <cell r="AT192" t="str">
            <v>8.90</v>
          </cell>
          <cell r="AU192" t="str">
            <v>False</v>
          </cell>
          <cell r="AW192" t="str">
            <v>7340301</v>
          </cell>
          <cell r="AX192" t="str">
            <v>Kế toán doanh nghiệp</v>
          </cell>
          <cell r="AY192" t="str">
            <v>7380107</v>
          </cell>
          <cell r="AZ192" t="str">
            <v>Luật kinh tế</v>
          </cell>
          <cell r="BA192" t="str">
            <v>7340122</v>
          </cell>
          <cell r="BB192" t="str">
            <v>Thương mại điện tử</v>
          </cell>
          <cell r="BD192" t="str">
            <v>Chưa hoàn thành</v>
          </cell>
          <cell r="BF192" t="str">
            <v>3</v>
          </cell>
          <cell r="BM192" t="str">
            <v>True</v>
          </cell>
          <cell r="BN192" t="str">
            <v>False</v>
          </cell>
          <cell r="BO192" t="str">
            <v>KQTHPT_190_083308002228.pdf</v>
          </cell>
          <cell r="BR192">
            <v>7.3</v>
          </cell>
          <cell r="BS192">
            <v>7.5</v>
          </cell>
          <cell r="BT192">
            <v>8.4</v>
          </cell>
          <cell r="BU192">
            <v>9.8000000000000007</v>
          </cell>
          <cell r="BV192">
            <v>7.8</v>
          </cell>
          <cell r="BW192">
            <v>0</v>
          </cell>
          <cell r="BX192">
            <v>0</v>
          </cell>
          <cell r="BY192">
            <v>7.7</v>
          </cell>
          <cell r="BZ192">
            <v>8.6</v>
          </cell>
          <cell r="CA192">
            <v>7.5</v>
          </cell>
          <cell r="CB192">
            <v>0</v>
          </cell>
          <cell r="CC192">
            <v>8.5</v>
          </cell>
          <cell r="CD192">
            <v>0</v>
          </cell>
          <cell r="CE192">
            <v>0</v>
          </cell>
          <cell r="CF192">
            <v>0</v>
          </cell>
          <cell r="CG192">
            <v>0</v>
          </cell>
          <cell r="CH192">
            <v>0</v>
          </cell>
          <cell r="CI192">
            <v>0</v>
          </cell>
          <cell r="CJ192">
            <v>0</v>
          </cell>
          <cell r="CK192">
            <v>0</v>
          </cell>
          <cell r="CL192">
            <v>0</v>
          </cell>
          <cell r="CM192">
            <v>7.6</v>
          </cell>
          <cell r="CN192">
            <v>8.1</v>
          </cell>
          <cell r="CO192">
            <v>9.1</v>
          </cell>
          <cell r="CP192">
            <v>9.9</v>
          </cell>
          <cell r="CQ192">
            <v>8.1</v>
          </cell>
          <cell r="CR192">
            <v>0</v>
          </cell>
          <cell r="CS192">
            <v>0</v>
          </cell>
          <cell r="CT192">
            <v>7.7</v>
          </cell>
          <cell r="CU192">
            <v>8.9</v>
          </cell>
          <cell r="CV192">
            <v>8</v>
          </cell>
          <cell r="CW192">
            <v>0</v>
          </cell>
          <cell r="CX192">
            <v>8.9</v>
          </cell>
          <cell r="CY192">
            <v>0</v>
          </cell>
          <cell r="CZ192">
            <v>0</v>
          </cell>
          <cell r="DA192">
            <v>0</v>
          </cell>
          <cell r="DB192">
            <v>0</v>
          </cell>
          <cell r="DC192">
            <v>0</v>
          </cell>
          <cell r="DD192">
            <v>0</v>
          </cell>
          <cell r="DE192">
            <v>0</v>
          </cell>
          <cell r="DF192">
            <v>0</v>
          </cell>
          <cell r="DG192">
            <v>0</v>
          </cell>
          <cell r="DH192">
            <v>9.1</v>
          </cell>
          <cell r="DI192">
            <v>7.6</v>
          </cell>
          <cell r="DJ192">
            <v>9.3000000000000007</v>
          </cell>
          <cell r="DK192">
            <v>9.4</v>
          </cell>
          <cell r="DL192">
            <v>8.8000000000000007</v>
          </cell>
          <cell r="DM192">
            <v>0</v>
          </cell>
          <cell r="DN192">
            <v>0</v>
          </cell>
          <cell r="DO192">
            <v>9.1999999999999993</v>
          </cell>
          <cell r="DP192">
            <v>9.3000000000000007</v>
          </cell>
          <cell r="DQ192">
            <v>8.3000000000000007</v>
          </cell>
          <cell r="DR192">
            <v>0</v>
          </cell>
          <cell r="DS192">
            <v>9.1</v>
          </cell>
          <cell r="DT192">
            <v>0</v>
          </cell>
          <cell r="DU192">
            <v>0</v>
          </cell>
          <cell r="DV192">
            <v>0</v>
          </cell>
          <cell r="DW192">
            <v>0</v>
          </cell>
          <cell r="DX192">
            <v>0</v>
          </cell>
          <cell r="DY192">
            <v>0</v>
          </cell>
          <cell r="DZ192">
            <v>0</v>
          </cell>
          <cell r="EA192">
            <v>0</v>
          </cell>
          <cell r="EB192">
            <v>0</v>
          </cell>
          <cell r="EC192">
            <v>5.25</v>
          </cell>
          <cell r="ED192">
            <v>4.75</v>
          </cell>
          <cell r="EE192">
            <v>0</v>
          </cell>
          <cell r="EG192">
            <v>0</v>
          </cell>
          <cell r="EI192">
            <v>0</v>
          </cell>
          <cell r="EJ192">
            <v>4.25</v>
          </cell>
          <cell r="EK192">
            <v>5</v>
          </cell>
          <cell r="EL192">
            <v>0</v>
          </cell>
          <cell r="EN192">
            <v>0</v>
          </cell>
        </row>
        <row r="193">
          <cell r="A193">
            <v>983498407</v>
          </cell>
          <cell r="D193" t="str">
            <v>PHAN THỊ THUỲ TRANG</v>
          </cell>
          <cell r="E193" t="str">
            <v>1</v>
          </cell>
          <cell r="F193" t="str">
            <v>23/08/2008</v>
          </cell>
          <cell r="G193" t="str">
            <v>tranglun348@gmail.com</v>
          </cell>
          <cell r="H193" t="str">
            <v>0983498407</v>
          </cell>
          <cell r="I193" t="str">
            <v>070308001111</v>
          </cell>
          <cell r="J193" t="str">
            <v>Thôn Bom Bo, Xã Bom Bo</v>
          </cell>
          <cell r="K193" t="str">
            <v>KV2-NT</v>
          </cell>
          <cell r="M193" t="str">
            <v>Không có</v>
          </cell>
          <cell r="N193" t="str">
            <v>Kinh</v>
          </cell>
          <cell r="P193" t="str">
            <v>2026</v>
          </cell>
          <cell r="Q193" t="str">
            <v>75044043</v>
          </cell>
          <cell r="R193" t="str">
            <v>Không có</v>
          </cell>
          <cell r="S193" t="str">
            <v>Không có</v>
          </cell>
          <cell r="T193" t="str">
            <v>Không có</v>
          </cell>
          <cell r="AA193" t="str">
            <v>Không có</v>
          </cell>
          <cell r="AF193" t="str">
            <v>75N</v>
          </cell>
          <cell r="AG193" t="str">
            <v>215</v>
          </cell>
          <cell r="AH193" t="str">
            <v>THPT Bù Đăng (Từ ngày 04/6/2021)</v>
          </cell>
          <cell r="AI193" t="str">
            <v>75N</v>
          </cell>
          <cell r="AJ193" t="str">
            <v>215</v>
          </cell>
          <cell r="AK193" t="str">
            <v>THPT Bù Đăng (Từ ngày 04/6/2021)</v>
          </cell>
          <cell r="AL193" t="str">
            <v>75N</v>
          </cell>
          <cell r="AM193" t="str">
            <v>215</v>
          </cell>
          <cell r="AN193" t="str">
            <v>THPT Bù Đăng (Từ ngày 04/6/2021)</v>
          </cell>
          <cell r="AO193" t="str">
            <v>GDPT2018</v>
          </cell>
          <cell r="AP193" t="str">
            <v>Khá</v>
          </cell>
          <cell r="AQ193" t="str">
            <v>6.78</v>
          </cell>
          <cell r="AR193" t="str">
            <v>7.44</v>
          </cell>
          <cell r="AS193" t="str">
            <v>7.10</v>
          </cell>
          <cell r="AT193" t="str">
            <v>7.72</v>
          </cell>
          <cell r="AU193" t="str">
            <v>False</v>
          </cell>
          <cell r="AW193" t="str">
            <v>7810201</v>
          </cell>
          <cell r="AX193" t="str">
            <v>Quản trị khách sạn</v>
          </cell>
          <cell r="AY193" t="str">
            <v>7380107</v>
          </cell>
          <cell r="AZ193" t="str">
            <v>Luật kinh tế</v>
          </cell>
          <cell r="BD193" t="str">
            <v>Chưa hoàn thành</v>
          </cell>
          <cell r="BF193" t="str">
            <v>3</v>
          </cell>
          <cell r="BM193" t="str">
            <v>True</v>
          </cell>
          <cell r="BN193" t="str">
            <v>False</v>
          </cell>
          <cell r="BR193">
            <v>6.9</v>
          </cell>
          <cell r="BS193">
            <v>6.8</v>
          </cell>
          <cell r="BT193">
            <v>7.5</v>
          </cell>
          <cell r="BU193">
            <v>8.8000000000000007</v>
          </cell>
          <cell r="BV193">
            <v>7.1</v>
          </cell>
          <cell r="BW193">
            <v>0</v>
          </cell>
          <cell r="BX193">
            <v>0</v>
          </cell>
          <cell r="BY193">
            <v>6.9</v>
          </cell>
          <cell r="BZ193">
            <v>7.7</v>
          </cell>
          <cell r="CA193">
            <v>7.2</v>
          </cell>
          <cell r="CB193">
            <v>8.1</v>
          </cell>
          <cell r="CC193">
            <v>0</v>
          </cell>
          <cell r="CD193">
            <v>0</v>
          </cell>
          <cell r="CE193">
            <v>0</v>
          </cell>
          <cell r="CF193">
            <v>0</v>
          </cell>
          <cell r="CG193">
            <v>0</v>
          </cell>
          <cell r="CH193">
            <v>0</v>
          </cell>
          <cell r="CI193">
            <v>0</v>
          </cell>
          <cell r="CJ193">
            <v>0</v>
          </cell>
          <cell r="CK193">
            <v>0</v>
          </cell>
          <cell r="CL193">
            <v>0</v>
          </cell>
          <cell r="CM193">
            <v>7.1</v>
          </cell>
          <cell r="CN193">
            <v>6.6</v>
          </cell>
          <cell r="CO193">
            <v>5.9</v>
          </cell>
          <cell r="CP193">
            <v>9.4</v>
          </cell>
          <cell r="CQ193">
            <v>7.3</v>
          </cell>
          <cell r="CR193">
            <v>0</v>
          </cell>
          <cell r="CS193">
            <v>0</v>
          </cell>
          <cell r="CT193">
            <v>6</v>
          </cell>
          <cell r="CU193">
            <v>6.6</v>
          </cell>
          <cell r="CV193">
            <v>6.1</v>
          </cell>
          <cell r="CW193">
            <v>8.9</v>
          </cell>
          <cell r="CX193">
            <v>0</v>
          </cell>
          <cell r="CY193">
            <v>0</v>
          </cell>
          <cell r="CZ193">
            <v>0</v>
          </cell>
          <cell r="DA193">
            <v>0</v>
          </cell>
          <cell r="DB193">
            <v>0</v>
          </cell>
          <cell r="DC193">
            <v>0</v>
          </cell>
          <cell r="DD193">
            <v>0</v>
          </cell>
          <cell r="DE193">
            <v>0</v>
          </cell>
          <cell r="DF193">
            <v>0</v>
          </cell>
          <cell r="DG193">
            <v>0</v>
          </cell>
          <cell r="DH193">
            <v>7.8</v>
          </cell>
          <cell r="DI193">
            <v>7.4</v>
          </cell>
          <cell r="DJ193">
            <v>6.9</v>
          </cell>
          <cell r="DK193">
            <v>9.5</v>
          </cell>
          <cell r="DL193">
            <v>7.3</v>
          </cell>
          <cell r="DM193">
            <v>0</v>
          </cell>
          <cell r="DN193">
            <v>0</v>
          </cell>
          <cell r="DO193">
            <v>7.2</v>
          </cell>
          <cell r="DP193">
            <v>6.9</v>
          </cell>
          <cell r="DQ193">
            <v>7.8</v>
          </cell>
          <cell r="DR193">
            <v>8.6999999999999993</v>
          </cell>
          <cell r="DS193">
            <v>0</v>
          </cell>
          <cell r="DT193">
            <v>0</v>
          </cell>
          <cell r="DU193">
            <v>0</v>
          </cell>
          <cell r="DV193">
            <v>0</v>
          </cell>
          <cell r="DW193">
            <v>0</v>
          </cell>
          <cell r="DX193">
            <v>0</v>
          </cell>
          <cell r="DY193">
            <v>0</v>
          </cell>
          <cell r="DZ193">
            <v>0</v>
          </cell>
          <cell r="EA193">
            <v>0</v>
          </cell>
          <cell r="EB193">
            <v>0</v>
          </cell>
          <cell r="EC193">
            <v>5.25</v>
          </cell>
          <cell r="ED193">
            <v>6.25</v>
          </cell>
          <cell r="EE193">
            <v>3.75</v>
          </cell>
          <cell r="EJ193">
            <v>3.75</v>
          </cell>
        </row>
        <row r="194">
          <cell r="A194">
            <v>0</v>
          </cell>
          <cell r="D194" t="str">
            <v>ĐẶNG NGUYỄN DIỆU LINH</v>
          </cell>
          <cell r="E194" t="str">
            <v>0</v>
          </cell>
          <cell r="F194" t="str">
            <v>26/08/2008</v>
          </cell>
          <cell r="G194" t="str">
            <v>dangnguyendieulinh2608@gmail.com</v>
          </cell>
          <cell r="I194" t="str">
            <v>052308004831</v>
          </cell>
          <cell r="BD194" t="str">
            <v>Chưa hoàn thành</v>
          </cell>
          <cell r="BF194" t="str">
            <v>3</v>
          </cell>
          <cell r="BR194">
            <v>0</v>
          </cell>
          <cell r="BS194">
            <v>0</v>
          </cell>
          <cell r="BT194">
            <v>0</v>
          </cell>
          <cell r="BU194">
            <v>0</v>
          </cell>
          <cell r="BV194">
            <v>0</v>
          </cell>
          <cell r="BW194">
            <v>0</v>
          </cell>
          <cell r="BX194">
            <v>0</v>
          </cell>
          <cell r="BY194">
            <v>0</v>
          </cell>
          <cell r="BZ194">
            <v>0</v>
          </cell>
          <cell r="CA194">
            <v>0</v>
          </cell>
          <cell r="CB194">
            <v>0</v>
          </cell>
          <cell r="CC194">
            <v>0</v>
          </cell>
          <cell r="CD194">
            <v>0</v>
          </cell>
          <cell r="CE194">
            <v>0</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0</v>
          </cell>
          <cell r="DM194">
            <v>0</v>
          </cell>
          <cell r="DN194">
            <v>0</v>
          </cell>
          <cell r="DO194">
            <v>0</v>
          </cell>
          <cell r="DP194">
            <v>0</v>
          </cell>
          <cell r="DQ194">
            <v>0</v>
          </cell>
          <cell r="DR194">
            <v>0</v>
          </cell>
          <cell r="DS194">
            <v>0</v>
          </cell>
          <cell r="DT194">
            <v>0</v>
          </cell>
          <cell r="DU194">
            <v>0</v>
          </cell>
          <cell r="DV194">
            <v>0</v>
          </cell>
          <cell r="DW194">
            <v>0</v>
          </cell>
          <cell r="DX194">
            <v>0</v>
          </cell>
          <cell r="DY194">
            <v>0</v>
          </cell>
          <cell r="DZ194">
            <v>0</v>
          </cell>
          <cell r="EA194">
            <v>0</v>
          </cell>
          <cell r="EB194">
            <v>0</v>
          </cell>
        </row>
        <row r="195">
          <cell r="A195">
            <v>349255408</v>
          </cell>
          <cell r="D195" t="str">
            <v>NEÀNG KIM KEO</v>
          </cell>
          <cell r="E195" t="str">
            <v>1</v>
          </cell>
          <cell r="F195" t="str">
            <v>05/05/2008</v>
          </cell>
          <cell r="G195" t="str">
            <v>kaaaka550@gmail.com</v>
          </cell>
          <cell r="H195" t="str">
            <v>0349255408</v>
          </cell>
          <cell r="I195" t="str">
            <v>089308009519</v>
          </cell>
          <cell r="J195" t="str">
            <v>Tổ 2, ấp Ba Xoài, xã An Cư , Tịnh Biên, An giang</v>
          </cell>
          <cell r="K195" t="str">
            <v>KV1</v>
          </cell>
          <cell r="L195" t="str">
            <v>01</v>
          </cell>
          <cell r="M195" t="str">
            <v>01</v>
          </cell>
          <cell r="N195" t="str">
            <v>Khơ Me</v>
          </cell>
          <cell r="P195" t="str">
            <v>2026</v>
          </cell>
          <cell r="Q195" t="str">
            <v>91013034</v>
          </cell>
          <cell r="R195" t="str">
            <v>Không có</v>
          </cell>
          <cell r="S195" t="str">
            <v>Không có</v>
          </cell>
          <cell r="T195" t="str">
            <v>Không có</v>
          </cell>
          <cell r="AA195" t="str">
            <v>Không có</v>
          </cell>
          <cell r="AF195" t="str">
            <v>89N</v>
          </cell>
          <cell r="AG195" t="str">
            <v>100</v>
          </cell>
          <cell r="AH195" t="str">
            <v>Trường PT DTNT THPT An Giang 2</v>
          </cell>
          <cell r="AI195" t="str">
            <v>89N</v>
          </cell>
          <cell r="AJ195" t="str">
            <v>100</v>
          </cell>
          <cell r="AK195" t="str">
            <v>Trường PT DTNT THPT An Giang 2</v>
          </cell>
          <cell r="AL195" t="str">
            <v>89N</v>
          </cell>
          <cell r="AM195" t="str">
            <v>100</v>
          </cell>
          <cell r="AN195" t="str">
            <v>Trường PT DTNT THPT An Giang 2</v>
          </cell>
          <cell r="AO195" t="str">
            <v>GDPT2018</v>
          </cell>
          <cell r="AP195" t="str">
            <v>Khá</v>
          </cell>
          <cell r="AQ195" t="str">
            <v>7.50</v>
          </cell>
          <cell r="AR195" t="str">
            <v>8.51</v>
          </cell>
          <cell r="AS195" t="str">
            <v>8.55</v>
          </cell>
          <cell r="AT195" t="str">
            <v>8.50</v>
          </cell>
          <cell r="AU195" t="str">
            <v>False</v>
          </cell>
          <cell r="AW195" t="str">
            <v>7340301</v>
          </cell>
          <cell r="AX195" t="str">
            <v>Kế toán doanh nghiệp</v>
          </cell>
          <cell r="AY195" t="str">
            <v>7340201_1</v>
          </cell>
          <cell r="AZ195" t="str">
            <v>Ngân hàng</v>
          </cell>
          <cell r="BA195" t="str">
            <v>7810201</v>
          </cell>
          <cell r="BB195" t="str">
            <v>Quản trị khách sạn</v>
          </cell>
          <cell r="BD195" t="str">
            <v>Chưa hoàn thành</v>
          </cell>
          <cell r="BF195" t="str">
            <v>3</v>
          </cell>
          <cell r="BM195" t="str">
            <v>True</v>
          </cell>
          <cell r="BN195" t="str">
            <v>False</v>
          </cell>
          <cell r="BR195">
            <v>7.9</v>
          </cell>
          <cell r="BS195">
            <v>8</v>
          </cell>
          <cell r="BT195">
            <v>7.7</v>
          </cell>
          <cell r="BU195">
            <v>8.5</v>
          </cell>
          <cell r="BV195">
            <v>9.1999999999999993</v>
          </cell>
          <cell r="BW195">
            <v>8.9</v>
          </cell>
          <cell r="BX195">
            <v>0</v>
          </cell>
          <cell r="BY195">
            <v>8.3000000000000007</v>
          </cell>
          <cell r="BZ195">
            <v>9.1</v>
          </cell>
          <cell r="CA195">
            <v>0</v>
          </cell>
          <cell r="CB195">
            <v>9</v>
          </cell>
          <cell r="CC195">
            <v>0</v>
          </cell>
          <cell r="CD195">
            <v>0</v>
          </cell>
          <cell r="CE195">
            <v>0</v>
          </cell>
          <cell r="CF195">
            <v>0</v>
          </cell>
          <cell r="CG195">
            <v>0</v>
          </cell>
          <cell r="CH195">
            <v>0</v>
          </cell>
          <cell r="CI195">
            <v>0</v>
          </cell>
          <cell r="CJ195">
            <v>0</v>
          </cell>
          <cell r="CK195">
            <v>0</v>
          </cell>
          <cell r="CL195">
            <v>0</v>
          </cell>
          <cell r="CM195">
            <v>8.5</v>
          </cell>
          <cell r="CN195">
            <v>7.9</v>
          </cell>
          <cell r="CO195">
            <v>7.7</v>
          </cell>
          <cell r="CP195">
            <v>9.1999999999999993</v>
          </cell>
          <cell r="CQ195">
            <v>9.5</v>
          </cell>
          <cell r="CR195">
            <v>9.1</v>
          </cell>
          <cell r="CS195">
            <v>0</v>
          </cell>
          <cell r="CT195">
            <v>7.5</v>
          </cell>
          <cell r="CU195">
            <v>7.9</v>
          </cell>
          <cell r="CV195">
            <v>0</v>
          </cell>
          <cell r="CW195">
            <v>9.9</v>
          </cell>
          <cell r="CX195">
            <v>0</v>
          </cell>
          <cell r="CY195">
            <v>0</v>
          </cell>
          <cell r="CZ195">
            <v>0</v>
          </cell>
          <cell r="DA195">
            <v>0</v>
          </cell>
          <cell r="DB195">
            <v>0</v>
          </cell>
          <cell r="DC195">
            <v>0</v>
          </cell>
          <cell r="DD195">
            <v>0</v>
          </cell>
          <cell r="DE195">
            <v>0</v>
          </cell>
          <cell r="DF195">
            <v>0</v>
          </cell>
          <cell r="DG195">
            <v>8.3000000000000007</v>
          </cell>
          <cell r="DH195">
            <v>8.3000000000000007</v>
          </cell>
          <cell r="DI195">
            <v>8</v>
          </cell>
          <cell r="DJ195">
            <v>7.7</v>
          </cell>
          <cell r="DK195">
            <v>9</v>
          </cell>
          <cell r="DL195">
            <v>8.6</v>
          </cell>
          <cell r="DM195">
            <v>8.9</v>
          </cell>
          <cell r="DN195">
            <v>0</v>
          </cell>
          <cell r="DO195">
            <v>8.6999999999999993</v>
          </cell>
          <cell r="DP195">
            <v>8.6</v>
          </cell>
          <cell r="DQ195">
            <v>0</v>
          </cell>
          <cell r="DR195">
            <v>8.8000000000000007</v>
          </cell>
          <cell r="DS195">
            <v>0</v>
          </cell>
          <cell r="DT195">
            <v>0</v>
          </cell>
          <cell r="DU195">
            <v>0</v>
          </cell>
          <cell r="DV195">
            <v>0</v>
          </cell>
          <cell r="DW195">
            <v>0</v>
          </cell>
          <cell r="DX195">
            <v>0</v>
          </cell>
          <cell r="DY195">
            <v>0</v>
          </cell>
          <cell r="DZ195">
            <v>0</v>
          </cell>
          <cell r="EA195">
            <v>0</v>
          </cell>
          <cell r="EB195">
            <v>8.4</v>
          </cell>
          <cell r="EC195">
            <v>5</v>
          </cell>
          <cell r="ED195">
            <v>6.75</v>
          </cell>
          <cell r="EG195">
            <v>6</v>
          </cell>
          <cell r="EH195">
            <v>5.0999999999999996</v>
          </cell>
        </row>
        <row r="196">
          <cell r="A196">
            <v>0</v>
          </cell>
          <cell r="D196" t="str">
            <v>ĐINH THỊ AN AN</v>
          </cell>
          <cell r="E196" t="str">
            <v>0</v>
          </cell>
          <cell r="F196" t="str">
            <v>20/05/2008</v>
          </cell>
          <cell r="G196" t="str">
            <v>dtanan2058@gmail.com</v>
          </cell>
          <cell r="I196" t="str">
            <v>067308001300</v>
          </cell>
          <cell r="BD196" t="str">
            <v>Chưa hoàn thành</v>
          </cell>
          <cell r="BF196" t="str">
            <v>3</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v>0</v>
          </cell>
          <cell r="DU196">
            <v>0</v>
          </cell>
          <cell r="DV196">
            <v>0</v>
          </cell>
          <cell r="DW196">
            <v>0</v>
          </cell>
          <cell r="DX196">
            <v>0</v>
          </cell>
          <cell r="DY196">
            <v>0</v>
          </cell>
          <cell r="DZ196">
            <v>0</v>
          </cell>
          <cell r="EA196">
            <v>0</v>
          </cell>
          <cell r="EB196">
            <v>0</v>
          </cell>
        </row>
        <row r="197">
          <cell r="A197">
            <v>0</v>
          </cell>
          <cell r="D197" t="str">
            <v>HỒ NGỌC DIỄM QUỲNH</v>
          </cell>
          <cell r="E197" t="str">
            <v>0</v>
          </cell>
          <cell r="F197" t="str">
            <v>28/09/2008</v>
          </cell>
          <cell r="G197" t="str">
            <v>quynhwuynh123456@gmail.com</v>
          </cell>
          <cell r="I197" t="str">
            <v>068308007345</v>
          </cell>
          <cell r="BD197" t="str">
            <v>Chưa hoàn thành</v>
          </cell>
          <cell r="BF197" t="str">
            <v>3</v>
          </cell>
          <cell r="BR197">
            <v>9.1999999999999993</v>
          </cell>
          <cell r="BS197">
            <v>8.1</v>
          </cell>
          <cell r="BT197">
            <v>0</v>
          </cell>
          <cell r="BU197">
            <v>0</v>
          </cell>
          <cell r="BV197">
            <v>8.5</v>
          </cell>
          <cell r="BW197">
            <v>0</v>
          </cell>
          <cell r="BX197">
            <v>0</v>
          </cell>
          <cell r="BY197">
            <v>9.1999999999999993</v>
          </cell>
          <cell r="BZ197">
            <v>8.5</v>
          </cell>
          <cell r="CA197">
            <v>8.1999999999999993</v>
          </cell>
          <cell r="CB197">
            <v>0</v>
          </cell>
          <cell r="CC197">
            <v>7.4</v>
          </cell>
          <cell r="CD197">
            <v>0</v>
          </cell>
          <cell r="CE197">
            <v>0</v>
          </cell>
          <cell r="CF197">
            <v>0</v>
          </cell>
          <cell r="CG197">
            <v>0</v>
          </cell>
          <cell r="CH197">
            <v>0</v>
          </cell>
          <cell r="CI197">
            <v>0</v>
          </cell>
          <cell r="CJ197">
            <v>0</v>
          </cell>
          <cell r="CK197">
            <v>0</v>
          </cell>
          <cell r="CL197">
            <v>0</v>
          </cell>
          <cell r="CM197">
            <v>9.6</v>
          </cell>
          <cell r="CN197">
            <v>7.5</v>
          </cell>
          <cell r="CO197">
            <v>0</v>
          </cell>
          <cell r="CP197">
            <v>0</v>
          </cell>
          <cell r="CQ197">
            <v>8.8000000000000007</v>
          </cell>
          <cell r="CR197">
            <v>0</v>
          </cell>
          <cell r="CS197">
            <v>0</v>
          </cell>
          <cell r="CT197">
            <v>9.3000000000000007</v>
          </cell>
          <cell r="CU197">
            <v>9.8000000000000007</v>
          </cell>
          <cell r="CV197">
            <v>9.3000000000000007</v>
          </cell>
          <cell r="CW197">
            <v>0</v>
          </cell>
          <cell r="CX197">
            <v>9.6999999999999993</v>
          </cell>
          <cell r="CY197">
            <v>0</v>
          </cell>
          <cell r="CZ197">
            <v>0</v>
          </cell>
          <cell r="DA197">
            <v>0</v>
          </cell>
          <cell r="DB197">
            <v>0</v>
          </cell>
          <cell r="DC197">
            <v>0</v>
          </cell>
          <cell r="DD197">
            <v>0</v>
          </cell>
          <cell r="DE197">
            <v>0</v>
          </cell>
          <cell r="DF197">
            <v>0</v>
          </cell>
          <cell r="DG197">
            <v>0</v>
          </cell>
          <cell r="DH197">
            <v>9</v>
          </cell>
          <cell r="DI197">
            <v>8.5</v>
          </cell>
          <cell r="DJ197">
            <v>0</v>
          </cell>
          <cell r="DK197">
            <v>0</v>
          </cell>
          <cell r="DL197">
            <v>8.9</v>
          </cell>
          <cell r="DM197">
            <v>0</v>
          </cell>
          <cell r="DN197">
            <v>0</v>
          </cell>
          <cell r="DO197">
            <v>9.1</v>
          </cell>
          <cell r="DP197">
            <v>9.1999999999999993</v>
          </cell>
          <cell r="DQ197">
            <v>8.9</v>
          </cell>
          <cell r="DR197">
            <v>0</v>
          </cell>
          <cell r="DS197">
            <v>9.9</v>
          </cell>
          <cell r="DT197">
            <v>0</v>
          </cell>
          <cell r="DU197">
            <v>0</v>
          </cell>
          <cell r="DV197">
            <v>0</v>
          </cell>
          <cell r="DW197">
            <v>0</v>
          </cell>
          <cell r="DX197">
            <v>0</v>
          </cell>
          <cell r="DY197">
            <v>0</v>
          </cell>
          <cell r="DZ197">
            <v>0</v>
          </cell>
          <cell r="EA197">
            <v>0</v>
          </cell>
          <cell r="EB197">
            <v>0</v>
          </cell>
        </row>
        <row r="198">
          <cell r="A198">
            <v>0</v>
          </cell>
          <cell r="D198" t="str">
            <v>HỒ NGỌC DIỄM QUỲNH</v>
          </cell>
          <cell r="E198" t="str">
            <v>0</v>
          </cell>
          <cell r="F198" t="str">
            <v>28/09/2008</v>
          </cell>
          <cell r="G198" t="str">
            <v>quynhwuynh123456@gmail.com</v>
          </cell>
          <cell r="I198" t="str">
            <v>068308007344</v>
          </cell>
          <cell r="BD198" t="str">
            <v>Chưa hoàn thành</v>
          </cell>
          <cell r="BF198" t="str">
            <v>3</v>
          </cell>
          <cell r="BR198">
            <v>7</v>
          </cell>
          <cell r="BS198">
            <v>7.7</v>
          </cell>
          <cell r="BT198">
            <v>6.7</v>
          </cell>
          <cell r="BU198">
            <v>8.4</v>
          </cell>
          <cell r="BV198">
            <v>7.1</v>
          </cell>
          <cell r="BW198">
            <v>7.1</v>
          </cell>
          <cell r="BX198">
            <v>6.7</v>
          </cell>
          <cell r="BY198">
            <v>0</v>
          </cell>
          <cell r="BZ198">
            <v>0</v>
          </cell>
          <cell r="CA198">
            <v>0</v>
          </cell>
          <cell r="CB198">
            <v>8.4</v>
          </cell>
          <cell r="CC198">
            <v>6.9</v>
          </cell>
          <cell r="CD198">
            <v>0</v>
          </cell>
          <cell r="CE198">
            <v>0</v>
          </cell>
          <cell r="CF198">
            <v>0</v>
          </cell>
          <cell r="CG198">
            <v>0</v>
          </cell>
          <cell r="CH198">
            <v>0</v>
          </cell>
          <cell r="CI198">
            <v>0</v>
          </cell>
          <cell r="CJ198">
            <v>0</v>
          </cell>
          <cell r="CK198">
            <v>0</v>
          </cell>
          <cell r="CL198">
            <v>0</v>
          </cell>
          <cell r="CM198">
            <v>8</v>
          </cell>
          <cell r="CN198">
            <v>7</v>
          </cell>
          <cell r="CO198">
            <v>7.2</v>
          </cell>
          <cell r="CP198">
            <v>9.1999999999999993</v>
          </cell>
          <cell r="CQ198">
            <v>8.6</v>
          </cell>
          <cell r="CR198">
            <v>9</v>
          </cell>
          <cell r="CS198">
            <v>7.6</v>
          </cell>
          <cell r="CT198">
            <v>0</v>
          </cell>
          <cell r="CU198">
            <v>0</v>
          </cell>
          <cell r="CV198">
            <v>0</v>
          </cell>
          <cell r="CW198">
            <v>8</v>
          </cell>
          <cell r="CX198">
            <v>7.4</v>
          </cell>
          <cell r="CY198">
            <v>0</v>
          </cell>
          <cell r="CZ198">
            <v>0</v>
          </cell>
          <cell r="DA198">
            <v>0</v>
          </cell>
          <cell r="DB198">
            <v>0</v>
          </cell>
          <cell r="DC198">
            <v>0</v>
          </cell>
          <cell r="DD198">
            <v>0</v>
          </cell>
          <cell r="DE198">
            <v>0</v>
          </cell>
          <cell r="DF198">
            <v>0</v>
          </cell>
          <cell r="DG198">
            <v>0</v>
          </cell>
          <cell r="DH198">
            <v>8.5</v>
          </cell>
          <cell r="DI198">
            <v>8</v>
          </cell>
          <cell r="DJ198">
            <v>9.1999999999999993</v>
          </cell>
          <cell r="DK198">
            <v>9.4</v>
          </cell>
          <cell r="DL198">
            <v>9</v>
          </cell>
          <cell r="DM198">
            <v>8.6999999999999993</v>
          </cell>
          <cell r="DN198">
            <v>8.4</v>
          </cell>
          <cell r="DO198">
            <v>0</v>
          </cell>
          <cell r="DP198">
            <v>0</v>
          </cell>
          <cell r="DQ198">
            <v>0</v>
          </cell>
          <cell r="DR198">
            <v>8</v>
          </cell>
          <cell r="DS198">
            <v>9.1</v>
          </cell>
          <cell r="DT198">
            <v>0</v>
          </cell>
          <cell r="DU198">
            <v>0</v>
          </cell>
          <cell r="DV198">
            <v>0</v>
          </cell>
          <cell r="DW198">
            <v>0</v>
          </cell>
          <cell r="DX198">
            <v>0</v>
          </cell>
          <cell r="DY198">
            <v>0</v>
          </cell>
          <cell r="DZ198">
            <v>0</v>
          </cell>
          <cell r="EA198">
            <v>0</v>
          </cell>
          <cell r="EB198">
            <v>0</v>
          </cell>
        </row>
        <row r="199">
          <cell r="A199">
            <v>0</v>
          </cell>
          <cell r="D199" t="str">
            <v>LÊ THỊ THÙY DUNG</v>
          </cell>
          <cell r="E199" t="str">
            <v>0</v>
          </cell>
          <cell r="F199" t="str">
            <v>21/08/2008</v>
          </cell>
          <cell r="G199" t="str">
            <v>dung25149@gmail.com</v>
          </cell>
          <cell r="I199" t="str">
            <v>051308003982</v>
          </cell>
          <cell r="BD199" t="str">
            <v>Chưa hoàn thành</v>
          </cell>
          <cell r="BF199" t="str">
            <v>3</v>
          </cell>
          <cell r="BR199">
            <v>0</v>
          </cell>
          <cell r="BS199">
            <v>0</v>
          </cell>
          <cell r="BT199">
            <v>0</v>
          </cell>
          <cell r="BU199">
            <v>0</v>
          </cell>
          <cell r="BV199">
            <v>0</v>
          </cell>
          <cell r="BW199">
            <v>0</v>
          </cell>
          <cell r="BX199">
            <v>0</v>
          </cell>
          <cell r="BY199">
            <v>0</v>
          </cell>
          <cell r="BZ199">
            <v>0</v>
          </cell>
          <cell r="CA199">
            <v>0</v>
          </cell>
          <cell r="CB199">
            <v>0</v>
          </cell>
          <cell r="CC199">
            <v>0</v>
          </cell>
          <cell r="CD199">
            <v>0</v>
          </cell>
          <cell r="CE199">
            <v>0</v>
          </cell>
          <cell r="CF199">
            <v>0</v>
          </cell>
          <cell r="CG199">
            <v>0</v>
          </cell>
          <cell r="CH199">
            <v>0</v>
          </cell>
          <cell r="CI199">
            <v>0</v>
          </cell>
          <cell r="CJ199">
            <v>0</v>
          </cell>
          <cell r="CK199">
            <v>0</v>
          </cell>
          <cell r="CL199">
            <v>0</v>
          </cell>
          <cell r="CM199">
            <v>0</v>
          </cell>
          <cell r="CN199">
            <v>0</v>
          </cell>
          <cell r="CO199">
            <v>0</v>
          </cell>
          <cell r="CP199">
            <v>0</v>
          </cell>
          <cell r="CQ199">
            <v>0</v>
          </cell>
          <cell r="CR199">
            <v>0</v>
          </cell>
          <cell r="CS199">
            <v>0</v>
          </cell>
          <cell r="CT199">
            <v>0</v>
          </cell>
          <cell r="CU199">
            <v>0</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0</v>
          </cell>
          <cell r="DM199">
            <v>0</v>
          </cell>
          <cell r="DN199">
            <v>0</v>
          </cell>
          <cell r="DO199">
            <v>0</v>
          </cell>
          <cell r="DP199">
            <v>0</v>
          </cell>
          <cell r="DQ199">
            <v>0</v>
          </cell>
          <cell r="DR199">
            <v>0</v>
          </cell>
          <cell r="DS199">
            <v>0</v>
          </cell>
          <cell r="DT199">
            <v>0</v>
          </cell>
          <cell r="DU199">
            <v>0</v>
          </cell>
          <cell r="DV199">
            <v>0</v>
          </cell>
          <cell r="DW199">
            <v>0</v>
          </cell>
          <cell r="DX199">
            <v>0</v>
          </cell>
          <cell r="DY199">
            <v>0</v>
          </cell>
          <cell r="DZ199">
            <v>0</v>
          </cell>
          <cell r="EA199">
            <v>0</v>
          </cell>
          <cell r="EB199">
            <v>0</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5"/>
  <sheetViews>
    <sheetView tabSelected="1" topLeftCell="AD1" zoomScale="85" zoomScaleNormal="85" workbookViewId="0">
      <pane ySplit="1" topLeftCell="A2" activePane="bottomLeft" state="frozen"/>
      <selection pane="bottomLeft" activeCell="AF2" sqref="AF2:AF15"/>
    </sheetView>
  </sheetViews>
  <sheetFormatPr defaultColWidth="8.7265625" defaultRowHeight="15.5" x14ac:dyDescent="0.35"/>
  <cols>
    <col min="1" max="1" width="19.453125" style="17" bestFit="1" customWidth="1"/>
    <col min="2" max="2" width="9.26953125" style="17" customWidth="1"/>
    <col min="3" max="3" width="28" style="17" customWidth="1"/>
    <col min="4" max="4" width="21" style="17" customWidth="1"/>
    <col min="5" max="5" width="31.81640625" style="17" customWidth="1"/>
    <col min="6" max="6" width="22.453125" style="36" customWidth="1"/>
    <col min="7" max="7" width="36" style="17" bestFit="1" customWidth="1"/>
    <col min="8" max="8" width="24.26953125" style="17" customWidth="1"/>
    <col min="9" max="9" width="10.54296875" style="17" customWidth="1"/>
    <col min="10" max="10" width="40.81640625" style="17" customWidth="1"/>
    <col min="11" max="11" width="15.54296875" style="17" customWidth="1"/>
    <col min="12" max="13" width="17.81640625" style="17" customWidth="1"/>
    <col min="14" max="14" width="10.1796875" style="17" customWidth="1"/>
    <col min="15" max="15" width="12" style="17" customWidth="1"/>
    <col min="16" max="16" width="14.54296875" style="17" customWidth="1"/>
    <col min="17" max="17" width="37.54296875" style="17" customWidth="1"/>
    <col min="18" max="18" width="23" style="17" customWidth="1"/>
    <col min="19" max="21" width="12.1796875" style="17" customWidth="1"/>
    <col min="22" max="22" width="19.54296875" style="17" customWidth="1"/>
    <col min="23" max="23" width="13.54296875" style="17" customWidth="1"/>
    <col min="24" max="24" width="14.1796875" style="17" customWidth="1"/>
    <col min="25" max="25" width="30.7265625" style="17" customWidth="1"/>
    <col min="26" max="26" width="23.26953125" style="17" customWidth="1"/>
    <col min="27" max="27" width="16.26953125" style="17" bestFit="1" customWidth="1"/>
    <col min="28" max="28" width="8.7265625" style="17"/>
    <col min="29" max="29" width="41.26953125" style="17" customWidth="1"/>
    <col min="30" max="30" width="46" style="17" customWidth="1"/>
    <col min="31" max="31" width="43.81640625" style="17" customWidth="1"/>
    <col min="32" max="32" width="90.453125" style="17" customWidth="1"/>
    <col min="33" max="16384" width="8.7265625" style="17"/>
  </cols>
  <sheetData>
    <row r="1" spans="1:32" s="5" customFormat="1" x14ac:dyDescent="0.35">
      <c r="A1" s="1" t="s">
        <v>0</v>
      </c>
      <c r="B1" s="1" t="s">
        <v>1</v>
      </c>
      <c r="C1" s="1" t="s">
        <v>2</v>
      </c>
      <c r="D1" s="1" t="s">
        <v>3</v>
      </c>
      <c r="E1" s="2" t="s">
        <v>4</v>
      </c>
      <c r="F1" s="3" t="s">
        <v>5</v>
      </c>
      <c r="G1" s="2" t="s">
        <v>6</v>
      </c>
      <c r="H1" s="1" t="s">
        <v>7</v>
      </c>
      <c r="I1" s="1" t="s">
        <v>8</v>
      </c>
      <c r="J1" s="1" t="s">
        <v>9</v>
      </c>
      <c r="K1" s="1" t="s">
        <v>10</v>
      </c>
      <c r="L1" s="1" t="s">
        <v>11</v>
      </c>
      <c r="M1" s="1" t="s">
        <v>12</v>
      </c>
      <c r="N1" s="1" t="s">
        <v>13</v>
      </c>
      <c r="O1" s="1" t="s">
        <v>14</v>
      </c>
      <c r="P1" s="1" t="s">
        <v>15</v>
      </c>
      <c r="Q1" s="1" t="s">
        <v>16</v>
      </c>
      <c r="R1" s="1" t="s">
        <v>17</v>
      </c>
      <c r="S1" s="4" t="s">
        <v>18</v>
      </c>
      <c r="T1" s="4" t="s">
        <v>19</v>
      </c>
      <c r="U1" s="4" t="s">
        <v>20</v>
      </c>
      <c r="V1" s="4" t="s">
        <v>21</v>
      </c>
      <c r="W1" s="1" t="s">
        <v>22</v>
      </c>
      <c r="X1" s="1" t="s">
        <v>23</v>
      </c>
      <c r="Y1" s="1" t="s">
        <v>24</v>
      </c>
      <c r="Z1" s="1" t="s">
        <v>25</v>
      </c>
      <c r="AA1" s="2" t="s">
        <v>26</v>
      </c>
      <c r="AB1" s="2" t="s">
        <v>27</v>
      </c>
      <c r="AC1" s="2"/>
      <c r="AD1" s="1"/>
      <c r="AE1" s="1"/>
      <c r="AF1" s="1"/>
    </row>
    <row r="2" spans="1:32" s="5" customFormat="1" ht="139.5" x14ac:dyDescent="0.35">
      <c r="A2" s="1" t="str">
        <f>VLOOKUP(K2*1,'[1]Danh sách'!$A$3:$FD$548,2,0)</f>
        <v>KSVBS2638759</v>
      </c>
      <c r="B2" s="6" t="str">
        <f>VLOOKUP(K2*1,'[1]Danh sách'!$A$3:$FD$548,17,0)</f>
        <v>82030065</v>
      </c>
      <c r="C2" s="6" t="s">
        <v>28</v>
      </c>
      <c r="D2" s="6" t="s">
        <v>29</v>
      </c>
      <c r="E2" s="2" t="str">
        <f t="shared" ref="E2:E15" si="0">"convert(datetime,'"&amp;RIGHT(D2,4)&amp;"-"&amp;LEFT(D2,2)&amp;"-"&amp;MID(D2,4,2)&amp;"',103)"</f>
        <v>convert(datetime,'2026-26-08',103)</v>
      </c>
      <c r="F2" s="7" t="s">
        <v>83</v>
      </c>
      <c r="G2" s="2" t="str">
        <f t="shared" ref="G2:G15" si="1">"convert(datetime,'"&amp;RIGHT(F2,4)&amp;"-"&amp;LEFT(F2,2)&amp;"-"&amp;MID(F2,4,2)&amp;"',103)"</f>
        <v>convert(datetime,'2008-28-03',103)</v>
      </c>
      <c r="H2" s="8">
        <v>31</v>
      </c>
      <c r="I2" s="9" t="s">
        <v>30</v>
      </c>
      <c r="J2" s="6" t="s">
        <v>84</v>
      </c>
      <c r="K2" s="10" t="s">
        <v>31</v>
      </c>
      <c r="L2" s="1" t="s">
        <v>32</v>
      </c>
      <c r="M2" s="11" t="s">
        <v>32</v>
      </c>
      <c r="N2" s="9">
        <v>1</v>
      </c>
      <c r="O2" s="12">
        <v>31261570503</v>
      </c>
      <c r="P2" s="3" t="s">
        <v>85</v>
      </c>
      <c r="Q2" s="13" t="s">
        <v>86</v>
      </c>
      <c r="R2" s="1" t="s">
        <v>85</v>
      </c>
      <c r="S2" s="1">
        <v>73.23</v>
      </c>
      <c r="T2" s="1"/>
      <c r="U2" s="1">
        <v>72.400000000000006</v>
      </c>
      <c r="V2" s="14"/>
      <c r="W2" s="1"/>
      <c r="X2" s="1"/>
      <c r="Y2" s="2" t="str">
        <f>IF(LEN(X2)&gt;0,"convert(datetime,'"&amp;RIGHT(X2,4)&amp;"-"&amp;LEFT(X2,2)&amp;"-"&amp;MID(X2,4,2)&amp;"',103)","")</f>
        <v/>
      </c>
      <c r="Z2" s="14"/>
      <c r="AA2" s="15">
        <v>7340122</v>
      </c>
      <c r="AB2" s="1" t="s">
        <v>33</v>
      </c>
      <c r="AC2" s="1" t="str">
        <f t="shared" ref="AC2:AC15" si="2">"update danhsachtrungtuyen set mactdt = N'"&amp;AA2&amp;"', PTTT =n'"&amp;AB2&amp;"' where mahoso=N'"&amp;A2&amp;"';"</f>
        <v>update danhsachtrungtuyen set mactdt = N'7340122', PTTT =n'THPT' where mahoso=N'KSVBS2638759';</v>
      </c>
      <c r="AD2" s="16" t="str">
        <f>"(N'"&amp;A2&amp;"', N'"&amp;B2&amp;"', N'"&amp;C2&amp;"', "&amp;E2&amp;", "&amp;G2&amp;", "&amp;H2&amp;", N'"&amp;I2&amp;"', N'"&amp;J2&amp;"', N'"&amp;K2&amp;"', N'"&amp;L2&amp;"', N'"&amp;M2&amp;"', "&amp;N2&amp;", N'"&amp;O2&amp;"', N'"&amp;P2&amp;"', N'"&amp;Q2&amp;"', N'"&amp;R2&amp;"', "&amp;S2&amp;", "&amp;U2&amp;", N'"&amp;AA2&amp;"', N'"&amp;AB2&amp;"');"</f>
        <v>(N'KSVBS2638759', N'82030065', N'ĐẶNG GIA HUY', convert(datetime,'2026-26-08',103), convert(datetime,'2008-28-03',103), 31, N'Nam', N'trandang192011@gmail.com', N'0918192011', N'082208016209', N'082208016209', 1, N'31261570503', N'75167461', N'huydang.31261570503@st.ueh.edu.vn', N'75167461', 73.23, 72.4, N'7340122', N'THPT');</v>
      </c>
      <c r="AE2" s="16" t="str">
        <f>"INSERT INTO danhsachtrungtuyen (MaHoSo,SBD,HoVaTen, NgayCapNhat, NgaySinh, MaNoiSinh, GioiTinh, Email, DienThoai, CMND, CCCD, DanTocUid, MSSV, MatKhauOnline, EmailUEH, MatKhauEmail, TongDiem, DTC0PT2, MACTDT, PTTT) VALUES "</f>
        <v xml:space="preserve">INSERT INTO danhsachtrungtuyen (MaHoSo,SBD,HoVaTen, NgayCapNhat, NgaySinh, MaNoiSinh, GioiTinh, Email, DienThoai, CMND, CCCD, DanTocUid, MSSV, MatKhauOnline, EmailUEH, MatKhauEmail, TongDiem, DTC0PT2, MACTDT, PTTT) VALUES </v>
      </c>
      <c r="AF2" s="16" t="str">
        <f>AE2&amp;" "&amp;AD2</f>
        <v>INSERT INTO danhsachtrungtuyen (MaHoSo,SBD,HoVaTen, NgayCapNhat, NgaySinh, MaNoiSinh, GioiTinh, Email, DienThoai, CMND, CCCD, DanTocUid, MSSV, MatKhauOnline, EmailUEH, MatKhauEmail, TongDiem, DTC0PT2, MACTDT, PTTT) VALUES  (N'KSVBS2638759', N'82030065', N'ĐẶNG GIA HUY', convert(datetime,'2026-26-08',103), convert(datetime,'2008-28-03',103), 31, N'Nam', N'trandang192011@gmail.com', N'0918192011', N'082208016209', N'082208016209', 1, N'31261570503', N'75167461', N'huydang.31261570503@st.ueh.edu.vn', N'75167461', 73.23, 72.4, N'7340122', N'THPT');</v>
      </c>
    </row>
    <row r="3" spans="1:32" s="5" customFormat="1" ht="139.5" x14ac:dyDescent="0.35">
      <c r="A3" s="1" t="str">
        <f>VLOOKUP(K3*1,'[1]Danh sách'!$A$3:$FD$548,2,0)</f>
        <v>KSVBS2647175</v>
      </c>
      <c r="B3" s="6" t="str">
        <f>VLOOKUP(K3*1,'[1]Danh sách'!$A$3:$FD$548,17,0)</f>
        <v>79045946</v>
      </c>
      <c r="C3" s="6" t="s">
        <v>34</v>
      </c>
      <c r="D3" s="6" t="s">
        <v>29</v>
      </c>
      <c r="E3" s="2" t="str">
        <f t="shared" si="0"/>
        <v>convert(datetime,'2026-26-08',103)</v>
      </c>
      <c r="F3" s="7" t="s">
        <v>87</v>
      </c>
      <c r="G3" s="2" t="str">
        <f t="shared" si="1"/>
        <v>convert(datetime,'2008-19-05',103)</v>
      </c>
      <c r="H3" s="8">
        <v>29</v>
      </c>
      <c r="I3" s="9" t="s">
        <v>30</v>
      </c>
      <c r="J3" s="6" t="s">
        <v>88</v>
      </c>
      <c r="K3" s="10" t="s">
        <v>35</v>
      </c>
      <c r="L3" s="1" t="s">
        <v>36</v>
      </c>
      <c r="M3" s="11" t="s">
        <v>36</v>
      </c>
      <c r="N3" s="9">
        <v>1</v>
      </c>
      <c r="O3" s="12">
        <v>31261570504</v>
      </c>
      <c r="P3" s="3" t="s">
        <v>89</v>
      </c>
      <c r="Q3" s="13" t="s">
        <v>90</v>
      </c>
      <c r="R3" s="1" t="s">
        <v>89</v>
      </c>
      <c r="S3" s="1">
        <v>76.16</v>
      </c>
      <c r="T3" s="1"/>
      <c r="U3" s="1">
        <v>76.16</v>
      </c>
      <c r="V3" s="14"/>
      <c r="W3" s="1"/>
      <c r="X3" s="1"/>
      <c r="Y3" s="2" t="str">
        <f t="shared" ref="Y3:Y14" si="3">IF(LEN(X3)&gt;0,"convert(datetime,'"&amp;RIGHT(X3,4)&amp;"-"&amp;LEFT(X3,2)&amp;"-"&amp;MID(X3,4,2)&amp;"',103)","")</f>
        <v/>
      </c>
      <c r="Z3" s="14"/>
      <c r="AA3" s="15">
        <v>7340120</v>
      </c>
      <c r="AB3" s="1" t="s">
        <v>37</v>
      </c>
      <c r="AC3" s="1" t="str">
        <f t="shared" si="2"/>
        <v>update danhsachtrungtuyen set mactdt = N'7340120', PTTT =n'DGNL' where mahoso=N'KSVBS2647175';</v>
      </c>
      <c r="AD3" s="16" t="str">
        <f t="shared" ref="AD3:AD15" si="4">"(N'"&amp;A3&amp;"', N'"&amp;B3&amp;"', N'"&amp;C3&amp;"', "&amp;E3&amp;", "&amp;G3&amp;", "&amp;H3&amp;", N'"&amp;I3&amp;"', N'"&amp;J3&amp;"', N'"&amp;K3&amp;"', N'"&amp;L3&amp;"', N'"&amp;M3&amp;"', "&amp;N3&amp;", N'"&amp;O3&amp;"', N'"&amp;P3&amp;"', N'"&amp;Q3&amp;"', N'"&amp;R3&amp;"', "&amp;S3&amp;", "&amp;U3&amp;", N'"&amp;AA3&amp;"', N'"&amp;AB3&amp;"');"</f>
        <v>(N'KSVBS2647175', N'79045946', N'MAI HỮU TÀI', convert(datetime,'2026-26-08',103), convert(datetime,'2008-19-05',103), 29, N'Nam', N'epixgoes@gmail.com', N'0769712280', N'086208009865', N'086208009865', 1, N'31261570504', N'10400186', N'taimai.31261570504@st.ueh.edu.vn', N'10400186', 76.16, 76.16, N'7340120', N'DGNL');</v>
      </c>
      <c r="AE3" s="16" t="str">
        <f t="shared" ref="AE3:AE15" si="5">"INSERT INTO danhsachtrungtuyen (MaHoSo,SBD,HoVaTen, NgayCapNhat, NgaySinh, MaNoiSinh, GioiTinh, Email, DienThoai, CMND, CCCD, DanTocUid, MSSV, MatKhauOnline, EmailUEH, MatKhauEmail, TongDiem, DTC0PT2, MACTDT, PTTT) VALUES "</f>
        <v xml:space="preserve">INSERT INTO danhsachtrungtuyen (MaHoSo,SBD,HoVaTen, NgayCapNhat, NgaySinh, MaNoiSinh, GioiTinh, Email, DienThoai, CMND, CCCD, DanTocUid, MSSV, MatKhauOnline, EmailUEH, MatKhauEmail, TongDiem, DTC0PT2, MACTDT, PTTT) VALUES </v>
      </c>
      <c r="AF3" s="16" t="str">
        <f t="shared" ref="AF3:AF15" si="6">AE3&amp;" "&amp;AD3</f>
        <v>INSERT INTO danhsachtrungtuyen (MaHoSo,SBD,HoVaTen, NgayCapNhat, NgaySinh, MaNoiSinh, GioiTinh, Email, DienThoai, CMND, CCCD, DanTocUid, MSSV, MatKhauOnline, EmailUEH, MatKhauEmail, TongDiem, DTC0PT2, MACTDT, PTTT) VALUES  (N'KSVBS2647175', N'79045946', N'MAI HỮU TÀI', convert(datetime,'2026-26-08',103), convert(datetime,'2008-19-05',103), 29, N'Nam', N'epixgoes@gmail.com', N'0769712280', N'086208009865', N'086208009865', 1, N'31261570504', N'10400186', N'taimai.31261570504@st.ueh.edu.vn', N'10400186', 76.16, 76.16, N'7340120', N'DGNL');</v>
      </c>
    </row>
    <row r="4" spans="1:32" ht="155" x14ac:dyDescent="0.35">
      <c r="A4" s="1" t="str">
        <f>VLOOKUP(K4*1,'[1]Danh sách'!$A$3:$FD$548,2,0)</f>
        <v>KSVBS2627672</v>
      </c>
      <c r="B4" s="6" t="str">
        <f>VLOOKUP(K4*1,'[1]Danh sách'!$A$3:$FD$548,17,0)</f>
        <v>82023757</v>
      </c>
      <c r="C4" s="6" t="s">
        <v>38</v>
      </c>
      <c r="D4" s="6" t="s">
        <v>29</v>
      </c>
      <c r="E4" s="2" t="str">
        <f t="shared" si="0"/>
        <v>convert(datetime,'2026-26-08',103)</v>
      </c>
      <c r="F4" s="7" t="s">
        <v>91</v>
      </c>
      <c r="G4" s="2" t="str">
        <f t="shared" si="1"/>
        <v>convert(datetime,'2007-19-10',103)</v>
      </c>
      <c r="H4" s="8">
        <v>31</v>
      </c>
      <c r="I4" s="9" t="s">
        <v>39</v>
      </c>
      <c r="J4" s="6" t="s">
        <v>92</v>
      </c>
      <c r="K4" s="10" t="s">
        <v>40</v>
      </c>
      <c r="L4" s="1" t="s">
        <v>41</v>
      </c>
      <c r="M4" s="11" t="s">
        <v>41</v>
      </c>
      <c r="N4" s="9">
        <v>1</v>
      </c>
      <c r="O4" s="12">
        <v>31261570505</v>
      </c>
      <c r="P4" s="3" t="s">
        <v>93</v>
      </c>
      <c r="Q4" s="13" t="s">
        <v>94</v>
      </c>
      <c r="R4" s="1" t="s">
        <v>93</v>
      </c>
      <c r="S4" s="6">
        <v>72.55</v>
      </c>
      <c r="T4" s="6"/>
      <c r="U4" s="1">
        <v>71.72</v>
      </c>
      <c r="V4" s="14"/>
      <c r="W4" s="1"/>
      <c r="X4" s="1"/>
      <c r="Y4" s="2" t="str">
        <f t="shared" si="3"/>
        <v/>
      </c>
      <c r="Z4" s="14"/>
      <c r="AA4" s="15">
        <v>7340122</v>
      </c>
      <c r="AB4" s="1" t="s">
        <v>37</v>
      </c>
      <c r="AC4" s="1" t="str">
        <f t="shared" si="2"/>
        <v>update danhsachtrungtuyen set mactdt = N'7340122', PTTT =n'DGNL' where mahoso=N'KSVBS2627672';</v>
      </c>
      <c r="AD4" s="16" t="str">
        <f t="shared" si="4"/>
        <v>(N'KSVBS2627672', N'82023757', N'HUỲNH THỊ THANH TUYỀN', convert(datetime,'2026-26-08',103), convert(datetime,'2007-19-10',103), 31, N'Nữ', N'tuyenhuynh.759499@gmail.com', N'0783759499', N'082307008212', N'082307008212', 1, N'31261570505', N'57222001', N'tuyenhuynh.31261570505@st.ueh.edu.vn', N'57222001', 72.55, 71.72, N'7340122', N'DGNL');</v>
      </c>
      <c r="AE4" s="16" t="str">
        <f t="shared" si="5"/>
        <v xml:space="preserve">INSERT INTO danhsachtrungtuyen (MaHoSo,SBD,HoVaTen, NgayCapNhat, NgaySinh, MaNoiSinh, GioiTinh, Email, DienThoai, CMND, CCCD, DanTocUid, MSSV, MatKhauOnline, EmailUEH, MatKhauEmail, TongDiem, DTC0PT2, MACTDT, PTTT) VALUES </v>
      </c>
      <c r="AF4" s="16" t="str">
        <f t="shared" si="6"/>
        <v>INSERT INTO danhsachtrungtuyen (MaHoSo,SBD,HoVaTen, NgayCapNhat, NgaySinh, MaNoiSinh, GioiTinh, Email, DienThoai, CMND, CCCD, DanTocUid, MSSV, MatKhauOnline, EmailUEH, MatKhauEmail, TongDiem, DTC0PT2, MACTDT, PTTT) VALUES  (N'KSVBS2627672', N'82023757', N'HUỲNH THỊ THANH TUYỀN', convert(datetime,'2026-26-08',103), convert(datetime,'2007-19-10',103), 31, N'Nữ', N'tuyenhuynh.759499@gmail.com', N'0783759499', N'082307008212', N'082307008212', 1, N'31261570505', N'57222001', N'tuyenhuynh.31261570505@st.ueh.edu.vn', N'57222001', 72.55, 71.72, N'7340122', N'DGNL');</v>
      </c>
    </row>
    <row r="5" spans="1:32" ht="139.5" x14ac:dyDescent="0.35">
      <c r="A5" s="1" t="str">
        <f>VLOOKUP(K5*1,'[1]Danh sách'!$A$3:$FD$548,2,0)</f>
        <v>KSVBS2607253</v>
      </c>
      <c r="B5" s="6" t="str">
        <f>VLOOKUP(K5*1,'[1]Danh sách'!$A$3:$FD$548,17,0)</f>
        <v>82036403</v>
      </c>
      <c r="C5" s="6" t="s">
        <v>42</v>
      </c>
      <c r="D5" s="6" t="s">
        <v>29</v>
      </c>
      <c r="E5" s="2" t="str">
        <f t="shared" si="0"/>
        <v>convert(datetime,'2026-26-08',103)</v>
      </c>
      <c r="F5" s="7" t="s">
        <v>95</v>
      </c>
      <c r="G5" s="2" t="str">
        <f t="shared" si="1"/>
        <v>convert(datetime,'2008-10-05',103)</v>
      </c>
      <c r="H5" s="8">
        <v>31</v>
      </c>
      <c r="I5" s="9" t="s">
        <v>39</v>
      </c>
      <c r="J5" s="6" t="s">
        <v>96</v>
      </c>
      <c r="K5" s="10" t="s">
        <v>43</v>
      </c>
      <c r="L5" s="1" t="s">
        <v>44</v>
      </c>
      <c r="M5" s="11" t="s">
        <v>44</v>
      </c>
      <c r="N5" s="9">
        <v>1</v>
      </c>
      <c r="O5" s="12">
        <v>31261570507</v>
      </c>
      <c r="P5" s="3" t="s">
        <v>97</v>
      </c>
      <c r="Q5" s="13" t="s">
        <v>98</v>
      </c>
      <c r="R5" s="1" t="s">
        <v>97</v>
      </c>
      <c r="S5" s="6">
        <v>67.37</v>
      </c>
      <c r="T5" s="6"/>
      <c r="U5" s="1">
        <v>65.7</v>
      </c>
      <c r="V5" s="14"/>
      <c r="W5" s="1"/>
      <c r="X5" s="1"/>
      <c r="Y5" s="2" t="str">
        <f t="shared" si="3"/>
        <v/>
      </c>
      <c r="Z5" s="14"/>
      <c r="AA5" s="15">
        <v>7340301</v>
      </c>
      <c r="AB5" s="1" t="s">
        <v>37</v>
      </c>
      <c r="AC5" s="1" t="str">
        <f t="shared" si="2"/>
        <v>update danhsachtrungtuyen set mactdt = N'7340301', PTTT =n'DGNL' where mahoso=N'KSVBS2607253';</v>
      </c>
      <c r="AD5" s="16" t="str">
        <f t="shared" si="4"/>
        <v>(N'KSVBS2607253', N'82036403', N'LÊ THỊ KIỀU OANH', convert(datetime,'2026-26-08',103), convert(datetime,'2008-10-05',103), 31, N'Nữ', N'lethkieuoannh@gmail.com', N'0395944701', N'082308006662', N'082308006662', 1, N'31261570507', N'54582631', N'oanhle.31261570507@st.ueh.edu.vn', N'54582631', 67.37, 65.7, N'7340301', N'DGNL');</v>
      </c>
      <c r="AE5" s="16" t="str">
        <f t="shared" si="5"/>
        <v xml:space="preserve">INSERT INTO danhsachtrungtuyen (MaHoSo,SBD,HoVaTen, NgayCapNhat, NgaySinh, MaNoiSinh, GioiTinh, Email, DienThoai, CMND, CCCD, DanTocUid, MSSV, MatKhauOnline, EmailUEH, MatKhauEmail, TongDiem, DTC0PT2, MACTDT, PTTT) VALUES </v>
      </c>
      <c r="AF5" s="16" t="str">
        <f t="shared" si="6"/>
        <v>INSERT INTO danhsachtrungtuyen (MaHoSo,SBD,HoVaTen, NgayCapNhat, NgaySinh, MaNoiSinh, GioiTinh, Email, DienThoai, CMND, CCCD, DanTocUid, MSSV, MatKhauOnline, EmailUEH, MatKhauEmail, TongDiem, DTC0PT2, MACTDT, PTTT) VALUES  (N'KSVBS2607253', N'82036403', N'LÊ THỊ KIỀU OANH', convert(datetime,'2026-26-08',103), convert(datetime,'2008-10-05',103), 31, N'Nữ', N'lethkieuoannh@gmail.com', N'0395944701', N'082308006662', N'082308006662', 1, N'31261570507', N'54582631', N'oanhle.31261570507@st.ueh.edu.vn', N'54582631', 67.37, 65.7, N'7340301', N'DGNL');</v>
      </c>
    </row>
    <row r="6" spans="1:32" ht="139.5" x14ac:dyDescent="0.35">
      <c r="A6" s="1" t="str">
        <f>VLOOKUP(K6*1,'[1]Danh sách'!$A$3:$FD$548,2,0)</f>
        <v>KSVBS2612300</v>
      </c>
      <c r="B6" s="6">
        <f>VLOOKUP(K6*1,'[1]Danh sách'!$A$3:$FD$548,17,0)</f>
        <v>0</v>
      </c>
      <c r="C6" s="6" t="s">
        <v>45</v>
      </c>
      <c r="D6" s="6" t="s">
        <v>29</v>
      </c>
      <c r="E6" s="2" t="str">
        <f t="shared" si="0"/>
        <v>convert(datetime,'2026-26-08',103)</v>
      </c>
      <c r="F6" s="7" t="s">
        <v>99</v>
      </c>
      <c r="G6" s="2" t="str">
        <f t="shared" si="1"/>
        <v>convert(datetime,'2007-02-09',103)</v>
      </c>
      <c r="H6" s="8">
        <v>34</v>
      </c>
      <c r="I6" s="9" t="s">
        <v>39</v>
      </c>
      <c r="J6" s="6" t="s">
        <v>100</v>
      </c>
      <c r="K6" s="18" t="s">
        <v>46</v>
      </c>
      <c r="L6" s="1" t="s">
        <v>47</v>
      </c>
      <c r="M6" s="11" t="s">
        <v>47</v>
      </c>
      <c r="N6" s="9">
        <v>1</v>
      </c>
      <c r="O6" s="12">
        <v>31261570508</v>
      </c>
      <c r="P6" s="3" t="s">
        <v>101</v>
      </c>
      <c r="Q6" s="13" t="s">
        <v>102</v>
      </c>
      <c r="R6" s="3" t="s">
        <v>101</v>
      </c>
      <c r="S6" s="6">
        <v>80.31</v>
      </c>
      <c r="T6" s="6"/>
      <c r="U6" s="1">
        <v>78.12</v>
      </c>
      <c r="V6" s="14"/>
      <c r="W6" s="1"/>
      <c r="X6" s="1"/>
      <c r="Y6" s="2" t="str">
        <f t="shared" si="3"/>
        <v/>
      </c>
      <c r="Z6" s="14"/>
      <c r="AA6" s="15">
        <v>7340120</v>
      </c>
      <c r="AB6" s="1" t="s">
        <v>48</v>
      </c>
      <c r="AC6" s="1" t="str">
        <f t="shared" si="2"/>
        <v>update danhsachtrungtuyen set mactdt = N'7340120', PTTT =n'VSAT' where mahoso=N'KSVBS2612300';</v>
      </c>
      <c r="AD6" s="16" t="str">
        <f t="shared" si="4"/>
        <v>(N'KSVBS2612300', N'0', N'TRÀ NGUYỄN Ý VY', convert(datetime,'2026-26-08',103), convert(datetime,'2007-02-09',103), 34, N'Nữ', N'tranguyenyvy3434@gmail.com', N'0915946083', N'096307008480', N'096307008480', 1, N'31261570508', N'24260583', N'vytra.31261570508@st.ueh.edu.vn', N'24260583', 80.31, 78.12, N'7340120', N'VSAT');</v>
      </c>
      <c r="AE6" s="16" t="str">
        <f t="shared" si="5"/>
        <v xml:space="preserve">INSERT INTO danhsachtrungtuyen (MaHoSo,SBD,HoVaTen, NgayCapNhat, NgaySinh, MaNoiSinh, GioiTinh, Email, DienThoai, CMND, CCCD, DanTocUid, MSSV, MatKhauOnline, EmailUEH, MatKhauEmail, TongDiem, DTC0PT2, MACTDT, PTTT) VALUES </v>
      </c>
      <c r="AF6" s="16" t="str">
        <f t="shared" si="6"/>
        <v>INSERT INTO danhsachtrungtuyen (MaHoSo,SBD,HoVaTen, NgayCapNhat, NgaySinh, MaNoiSinh, GioiTinh, Email, DienThoai, CMND, CCCD, DanTocUid, MSSV, MatKhauOnline, EmailUEH, MatKhauEmail, TongDiem, DTC0PT2, MACTDT, PTTT) VALUES  (N'KSVBS2612300', N'0', N'TRÀ NGUYỄN Ý VY', convert(datetime,'2026-26-08',103), convert(datetime,'2007-02-09',103), 34, N'Nữ', N'tranguyenyvy3434@gmail.com', N'0915946083', N'096307008480', N'096307008480', 1, N'31261570508', N'24260583', N'vytra.31261570508@st.ueh.edu.vn', N'24260583', 80.31, 78.12, N'7340120', N'VSAT');</v>
      </c>
    </row>
    <row r="7" spans="1:32" ht="155" x14ac:dyDescent="0.35">
      <c r="A7" s="1" t="str">
        <f>VLOOKUP(K7*1,'[1]Danh sách'!$A$3:$FD$548,2,0)</f>
        <v>KSVBS2635329</v>
      </c>
      <c r="B7" s="6" t="str">
        <f>VLOOKUP(K7*1,'[1]Danh sách'!$A$3:$FD$548,17,0)</f>
        <v>82014498</v>
      </c>
      <c r="C7" s="6" t="s">
        <v>49</v>
      </c>
      <c r="D7" s="6" t="s">
        <v>29</v>
      </c>
      <c r="E7" s="2" t="str">
        <f t="shared" si="0"/>
        <v>convert(datetime,'2026-26-08',103)</v>
      </c>
      <c r="F7" s="7" t="s">
        <v>103</v>
      </c>
      <c r="G7" s="2" t="str">
        <f t="shared" si="1"/>
        <v>convert(datetime,'2008-03-11',103)</v>
      </c>
      <c r="H7" s="8">
        <v>31</v>
      </c>
      <c r="I7" s="9" t="s">
        <v>39</v>
      </c>
      <c r="J7" s="6" t="s">
        <v>104</v>
      </c>
      <c r="K7" s="18" t="s">
        <v>50</v>
      </c>
      <c r="L7" s="1" t="s">
        <v>51</v>
      </c>
      <c r="M7" s="11" t="s">
        <v>51</v>
      </c>
      <c r="N7" s="9">
        <v>1</v>
      </c>
      <c r="O7" s="12">
        <v>31261570509</v>
      </c>
      <c r="P7" s="3" t="s">
        <v>105</v>
      </c>
      <c r="Q7" s="13" t="s">
        <v>106</v>
      </c>
      <c r="R7" s="1" t="s">
        <v>105</v>
      </c>
      <c r="S7" s="6">
        <v>72.31</v>
      </c>
      <c r="T7" s="6"/>
      <c r="U7" s="1">
        <v>70.64</v>
      </c>
      <c r="V7" s="14"/>
      <c r="W7" s="1"/>
      <c r="X7" s="1"/>
      <c r="Y7" s="2" t="str">
        <f t="shared" si="3"/>
        <v/>
      </c>
      <c r="Z7" s="14"/>
      <c r="AA7" s="15">
        <v>7620114</v>
      </c>
      <c r="AB7" s="1" t="s">
        <v>48</v>
      </c>
      <c r="AC7" s="1" t="str">
        <f t="shared" si="2"/>
        <v>update danhsachtrungtuyen set mactdt = N'7620114', PTTT =n'VSAT' where mahoso=N'KSVBS2635329';</v>
      </c>
      <c r="AD7" s="16" t="str">
        <f t="shared" si="4"/>
        <v>(N'KSVBS2635329', N'82014498', N'HỒ PHAN THỊ TUYẾT PHƯƠNG', convert(datetime,'2026-26-08',103), convert(datetime,'2008-03-11',103), 31, N'Nữ', N'hohophanthituyetphuong@gmail.com', N'0796644992', N'087308013713', N'087308013713', 1, N'31261570509', N'51943260', N'phuongho.31261570509@st.ueh.edu.vn', N'51943260', 72.31, 70.64, N'7620114', N'VSAT');</v>
      </c>
      <c r="AE7" s="16" t="str">
        <f t="shared" si="5"/>
        <v xml:space="preserve">INSERT INTO danhsachtrungtuyen (MaHoSo,SBD,HoVaTen, NgayCapNhat, NgaySinh, MaNoiSinh, GioiTinh, Email, DienThoai, CMND, CCCD, DanTocUid, MSSV, MatKhauOnline, EmailUEH, MatKhauEmail, TongDiem, DTC0PT2, MACTDT, PTTT) VALUES </v>
      </c>
      <c r="AF7" s="16" t="str">
        <f t="shared" si="6"/>
        <v>INSERT INTO danhsachtrungtuyen (MaHoSo,SBD,HoVaTen, NgayCapNhat, NgaySinh, MaNoiSinh, GioiTinh, Email, DienThoai, CMND, CCCD, DanTocUid, MSSV, MatKhauOnline, EmailUEH, MatKhauEmail, TongDiem, DTC0PT2, MACTDT, PTTT) VALUES  (N'KSVBS2635329', N'82014498', N'HỒ PHAN THỊ TUYẾT PHƯƠNG', convert(datetime,'2026-26-08',103), convert(datetime,'2008-03-11',103), 31, N'Nữ', N'hohophanthituyetphuong@gmail.com', N'0796644992', N'087308013713', N'087308013713', 1, N'31261570509', N'51943260', N'phuongho.31261570509@st.ueh.edu.vn', N'51943260', 72.31, 70.64, N'7620114', N'VSAT');</v>
      </c>
    </row>
    <row r="8" spans="1:32" ht="139.5" x14ac:dyDescent="0.35">
      <c r="A8" s="1" t="str">
        <f>VLOOKUP(K8*1,'[1]Danh sách'!$A$3:$FD$548,2,0)</f>
        <v>KSVBS2603312</v>
      </c>
      <c r="B8" s="6" t="str">
        <f>VLOOKUP(K8*1,'[1]Danh sách'!$A$3:$FD$548,17,0)</f>
        <v>37003959</v>
      </c>
      <c r="C8" s="6" t="s">
        <v>52</v>
      </c>
      <c r="D8" s="6" t="s">
        <v>29</v>
      </c>
      <c r="E8" s="2" t="str">
        <f t="shared" si="0"/>
        <v>convert(datetime,'2026-26-08',103)</v>
      </c>
      <c r="F8" s="7" t="s">
        <v>107</v>
      </c>
      <c r="G8" s="2" t="str">
        <f t="shared" si="1"/>
        <v>convert(datetime,'2008-27-02',103)</v>
      </c>
      <c r="H8" s="8">
        <v>15</v>
      </c>
      <c r="I8" s="9" t="s">
        <v>39</v>
      </c>
      <c r="J8" s="6" t="s">
        <v>108</v>
      </c>
      <c r="K8" s="10" t="s">
        <v>53</v>
      </c>
      <c r="L8" s="1" t="s">
        <v>54</v>
      </c>
      <c r="M8" s="11" t="s">
        <v>54</v>
      </c>
      <c r="N8" s="9">
        <v>1</v>
      </c>
      <c r="O8" s="12">
        <v>31261570510</v>
      </c>
      <c r="P8" s="3" t="s">
        <v>109</v>
      </c>
      <c r="Q8" s="13" t="s">
        <v>110</v>
      </c>
      <c r="R8" s="1" t="s">
        <v>109</v>
      </c>
      <c r="S8" s="6">
        <v>67.489999999999995</v>
      </c>
      <c r="T8" s="6"/>
      <c r="U8" s="1">
        <v>66.66</v>
      </c>
      <c r="V8" s="14"/>
      <c r="W8" s="1"/>
      <c r="X8" s="1"/>
      <c r="Y8" s="2" t="str">
        <f t="shared" si="3"/>
        <v/>
      </c>
      <c r="Z8" s="14"/>
      <c r="AA8" s="15">
        <v>734020103</v>
      </c>
      <c r="AB8" s="1" t="s">
        <v>33</v>
      </c>
      <c r="AC8" s="1" t="str">
        <f t="shared" si="2"/>
        <v>update danhsachtrungtuyen set mactdt = N'734020103', PTTT =n'THPT' where mahoso=N'KSVBS2603312';</v>
      </c>
      <c r="AD8" s="16" t="str">
        <f t="shared" si="4"/>
        <v>(N'KSVBS2603312', N'37003959', N'PHẠM GIA LINH', convert(datetime,'2026-26-08',103), convert(datetime,'2008-27-02',103), 15, N'Nữ', N'phamlinh2722@gmail.com', N'0903017782', N'037308003748', N'037308003748', 1, N'31261570510', N'84633605', N'linhpham.31261570510@st.ueh.edu.vn', N'84633605', 67.49, 66.66, N'734020103', N'THPT');</v>
      </c>
      <c r="AE8" s="16" t="str">
        <f t="shared" si="5"/>
        <v xml:space="preserve">INSERT INTO danhsachtrungtuyen (MaHoSo,SBD,HoVaTen, NgayCapNhat, NgaySinh, MaNoiSinh, GioiTinh, Email, DienThoai, CMND, CCCD, DanTocUid, MSSV, MatKhauOnline, EmailUEH, MatKhauEmail, TongDiem, DTC0PT2, MACTDT, PTTT) VALUES </v>
      </c>
      <c r="AF8" s="16" t="str">
        <f t="shared" si="6"/>
        <v>INSERT INTO danhsachtrungtuyen (MaHoSo,SBD,HoVaTen, NgayCapNhat, NgaySinh, MaNoiSinh, GioiTinh, Email, DienThoai, CMND, CCCD, DanTocUid, MSSV, MatKhauOnline, EmailUEH, MatKhauEmail, TongDiem, DTC0PT2, MACTDT, PTTT) VALUES  (N'KSVBS2603312', N'37003959', N'PHẠM GIA LINH', convert(datetime,'2026-26-08',103), convert(datetime,'2008-27-02',103), 15, N'Nữ', N'phamlinh2722@gmail.com', N'0903017782', N'037308003748', N'037308003748', 1, N'31261570510', N'84633605', N'linhpham.31261570510@st.ueh.edu.vn', N'84633605', 67.49, 66.66, N'734020103', N'THPT');</v>
      </c>
    </row>
    <row r="9" spans="1:32" ht="139.5" x14ac:dyDescent="0.35">
      <c r="A9" s="1" t="str">
        <f>VLOOKUP(K9*1,'[1]Danh sách'!$A$3:$FD$548,2,0)</f>
        <v>KSVBS2613966</v>
      </c>
      <c r="B9" s="6" t="str">
        <f>VLOOKUP(K9*1,'[1]Danh sách'!$A$3:$FD$548,17,0)</f>
        <v>75003150</v>
      </c>
      <c r="C9" s="6" t="s">
        <v>55</v>
      </c>
      <c r="D9" s="6" t="s">
        <v>29</v>
      </c>
      <c r="E9" s="2" t="str">
        <f t="shared" si="0"/>
        <v>convert(datetime,'2026-26-08',103)</v>
      </c>
      <c r="F9" s="7" t="s">
        <v>111</v>
      </c>
      <c r="G9" s="2" t="str">
        <f t="shared" si="1"/>
        <v>convert(datetime,'2007-31-01',103)</v>
      </c>
      <c r="H9" s="8">
        <v>28</v>
      </c>
      <c r="I9" s="9" t="s">
        <v>39</v>
      </c>
      <c r="J9" s="6" t="s">
        <v>112</v>
      </c>
      <c r="K9" s="18" t="s">
        <v>56</v>
      </c>
      <c r="L9" s="1" t="s">
        <v>57</v>
      </c>
      <c r="M9" s="11" t="s">
        <v>57</v>
      </c>
      <c r="N9" s="9">
        <v>1</v>
      </c>
      <c r="O9" s="12">
        <v>31261570511</v>
      </c>
      <c r="P9" s="3" t="s">
        <v>113</v>
      </c>
      <c r="Q9" s="13" t="s">
        <v>114</v>
      </c>
      <c r="R9" s="1" t="s">
        <v>113</v>
      </c>
      <c r="S9" s="6">
        <v>75.77</v>
      </c>
      <c r="T9" s="6"/>
      <c r="U9" s="1">
        <v>74.099999999999994</v>
      </c>
      <c r="V9" s="14"/>
      <c r="W9" s="1"/>
      <c r="X9" s="1"/>
      <c r="Y9" s="2" t="str">
        <f t="shared" si="3"/>
        <v/>
      </c>
      <c r="Z9" s="14"/>
      <c r="AA9" s="15">
        <v>7480201</v>
      </c>
      <c r="AB9" s="1" t="s">
        <v>48</v>
      </c>
      <c r="AC9" s="1" t="str">
        <f t="shared" si="2"/>
        <v>update danhsachtrungtuyen set mactdt = N'7480201', PTTT =n'VSAT' where mahoso=N'KSVBS2613966';</v>
      </c>
      <c r="AD9" s="16" t="str">
        <f t="shared" si="4"/>
        <v>(N'KSVBS2613966', N'75003150', N'NGUYỄN NGỌC BẢO LOAN', convert(datetime,'2026-26-08',103), convert(datetime,'2007-31-01',103), 28, N'Nữ', N'nguyenngocbaoloan910@gmail.com', N'0365857417', N'038307007810', N'038307007810', 1, N'31261570511', N'22019106', N'loannguyen.31261570511@st.ueh.edu.vn', N'22019106', 75.77, 74.1, N'7480201', N'VSAT');</v>
      </c>
      <c r="AE9" s="16" t="str">
        <f t="shared" si="5"/>
        <v xml:space="preserve">INSERT INTO danhsachtrungtuyen (MaHoSo,SBD,HoVaTen, NgayCapNhat, NgaySinh, MaNoiSinh, GioiTinh, Email, DienThoai, CMND, CCCD, DanTocUid, MSSV, MatKhauOnline, EmailUEH, MatKhauEmail, TongDiem, DTC0PT2, MACTDT, PTTT) VALUES </v>
      </c>
      <c r="AF9" s="16" t="str">
        <f t="shared" si="6"/>
        <v>INSERT INTO danhsachtrungtuyen (MaHoSo,SBD,HoVaTen, NgayCapNhat, NgaySinh, MaNoiSinh, GioiTinh, Email, DienThoai, CMND, CCCD, DanTocUid, MSSV, MatKhauOnline, EmailUEH, MatKhauEmail, TongDiem, DTC0PT2, MACTDT, PTTT) VALUES  (N'KSVBS2613966', N'75003150', N'NGUYỄN NGỌC BẢO LOAN', convert(datetime,'2026-26-08',103), convert(datetime,'2007-31-01',103), 28, N'Nữ', N'nguyenngocbaoloan910@gmail.com', N'0365857417', N'038307007810', N'038307007810', 1, N'31261570511', N'22019106', N'loannguyen.31261570511@st.ueh.edu.vn', N'22019106', 75.77, 74.1, N'7480201', N'VSAT');</v>
      </c>
    </row>
    <row r="10" spans="1:32" ht="139.5" x14ac:dyDescent="0.35">
      <c r="A10" s="1" t="str">
        <f>VLOOKUP(K10*1,'[1]Danh sách'!$A$3:$FD$548,2,0)</f>
        <v>KSVBS2631437</v>
      </c>
      <c r="B10" s="6" t="str">
        <f>VLOOKUP(K10*1,'[1]Danh sách'!$A$3:$FD$548,17,0)</f>
        <v>79088789</v>
      </c>
      <c r="C10" s="6" t="s">
        <v>58</v>
      </c>
      <c r="D10" s="6" t="s">
        <v>29</v>
      </c>
      <c r="E10" s="2" t="str">
        <f t="shared" si="0"/>
        <v>convert(datetime,'2026-26-08',103)</v>
      </c>
      <c r="F10" s="7" t="s">
        <v>115</v>
      </c>
      <c r="G10" s="2" t="str">
        <f t="shared" si="1"/>
        <v>convert(datetime,'2007-08-02',103)</v>
      </c>
      <c r="H10" s="8">
        <v>23</v>
      </c>
      <c r="I10" s="9" t="s">
        <v>39</v>
      </c>
      <c r="J10" s="6" t="s">
        <v>116</v>
      </c>
      <c r="K10" s="10" t="s">
        <v>59</v>
      </c>
      <c r="L10" s="1" t="s">
        <v>60</v>
      </c>
      <c r="M10" s="11" t="s">
        <v>60</v>
      </c>
      <c r="N10" s="9">
        <v>1</v>
      </c>
      <c r="O10" s="12">
        <v>31261570512</v>
      </c>
      <c r="P10" s="3" t="s">
        <v>117</v>
      </c>
      <c r="Q10" s="13" t="s">
        <v>118</v>
      </c>
      <c r="R10" s="1" t="s">
        <v>117</v>
      </c>
      <c r="S10" s="6">
        <v>65.47</v>
      </c>
      <c r="T10" s="6"/>
      <c r="U10" s="1">
        <v>64.64</v>
      </c>
      <c r="V10" s="14"/>
      <c r="W10" s="1"/>
      <c r="X10" s="1"/>
      <c r="Y10" s="2" t="str">
        <f t="shared" si="3"/>
        <v/>
      </c>
      <c r="Z10" s="14"/>
      <c r="AA10" s="15">
        <v>734020103</v>
      </c>
      <c r="AB10" s="1" t="s">
        <v>33</v>
      </c>
      <c r="AC10" s="1" t="str">
        <f t="shared" si="2"/>
        <v>update danhsachtrungtuyen set mactdt = N'734020103', PTTT =n'THPT' where mahoso=N'KSVBS2631437';</v>
      </c>
      <c r="AD10" s="16" t="str">
        <f t="shared" si="4"/>
        <v>(N'KSVBS2631437', N'79088789', N'VÕ TUYẾT LÊ', convert(datetime,'2026-26-08',103), convert(datetime,'2007-08-02',103), 23, N'Nữ', N'votuyetle2007@gmail.com', N'0962190726', N'058307004501', N'058307004501', 1, N'31261570512', N'54709450', N'levo.31261570512@st.ueh.edu.vn', N'54709450', 65.47, 64.64, N'734020103', N'THPT');</v>
      </c>
      <c r="AE10" s="16" t="str">
        <f t="shared" si="5"/>
        <v xml:space="preserve">INSERT INTO danhsachtrungtuyen (MaHoSo,SBD,HoVaTen, NgayCapNhat, NgaySinh, MaNoiSinh, GioiTinh, Email, DienThoai, CMND, CCCD, DanTocUid, MSSV, MatKhauOnline, EmailUEH, MatKhauEmail, TongDiem, DTC0PT2, MACTDT, PTTT) VALUES </v>
      </c>
      <c r="AF10" s="16" t="str">
        <f t="shared" si="6"/>
        <v>INSERT INTO danhsachtrungtuyen (MaHoSo,SBD,HoVaTen, NgayCapNhat, NgaySinh, MaNoiSinh, GioiTinh, Email, DienThoai, CMND, CCCD, DanTocUid, MSSV, MatKhauOnline, EmailUEH, MatKhauEmail, TongDiem, DTC0PT2, MACTDT, PTTT) VALUES  (N'KSVBS2631437', N'79088789', N'VÕ TUYẾT LÊ', convert(datetime,'2026-26-08',103), convert(datetime,'2007-08-02',103), 23, N'Nữ', N'votuyetle2007@gmail.com', N'0962190726', N'058307004501', N'058307004501', 1, N'31261570512', N'54709450', N'levo.31261570512@st.ueh.edu.vn', N'54709450', 65.47, 64.64, N'734020103', N'THPT');</v>
      </c>
    </row>
    <row r="11" spans="1:32" ht="124" x14ac:dyDescent="0.35">
      <c r="A11" s="1" t="str">
        <f>VLOOKUP(K11*1,'[1]Danh sách'!$A$3:$FD$548,2,0)</f>
        <v>KSVBS2621873</v>
      </c>
      <c r="B11" s="6" t="str">
        <f>VLOOKUP(K11*1,'[1]Danh sách'!$A$3:$FD$548,17,0)</f>
        <v>33005334</v>
      </c>
      <c r="C11" s="6" t="s">
        <v>61</v>
      </c>
      <c r="D11" s="6" t="s">
        <v>29</v>
      </c>
      <c r="E11" s="2" t="str">
        <f t="shared" si="0"/>
        <v>convert(datetime,'2026-26-08',103)</v>
      </c>
      <c r="F11" s="7" t="s">
        <v>119</v>
      </c>
      <c r="G11" s="2" t="str">
        <f t="shared" si="1"/>
        <v>convert(datetime,'2008-20-04',103)</v>
      </c>
      <c r="H11" s="8">
        <v>14</v>
      </c>
      <c r="I11" s="9" t="s">
        <v>39</v>
      </c>
      <c r="J11" s="6" t="s">
        <v>120</v>
      </c>
      <c r="K11" s="18" t="s">
        <v>62</v>
      </c>
      <c r="L11" s="1" t="s">
        <v>63</v>
      </c>
      <c r="M11" s="11" t="s">
        <v>63</v>
      </c>
      <c r="N11" s="9">
        <v>1</v>
      </c>
      <c r="O11" s="12">
        <v>31261570513</v>
      </c>
      <c r="P11" s="3" t="s">
        <v>121</v>
      </c>
      <c r="Q11" s="13" t="s">
        <v>122</v>
      </c>
      <c r="R11" s="1" t="s">
        <v>121</v>
      </c>
      <c r="S11" s="6">
        <v>82.02</v>
      </c>
      <c r="T11" s="6"/>
      <c r="U11" s="1">
        <v>81.400000000000006</v>
      </c>
      <c r="V11" s="14"/>
      <c r="W11" s="1"/>
      <c r="X11" s="1"/>
      <c r="Y11" s="2" t="str">
        <f t="shared" si="3"/>
        <v/>
      </c>
      <c r="Z11" s="14"/>
      <c r="AA11" s="15">
        <v>7220201</v>
      </c>
      <c r="AB11" s="1" t="s">
        <v>33</v>
      </c>
      <c r="AC11" s="1" t="str">
        <f t="shared" si="2"/>
        <v>update danhsachtrungtuyen set mactdt = N'7220201', PTTT =n'THPT' where mahoso=N'KSVBS2621873';</v>
      </c>
      <c r="AD11" s="16" t="str">
        <f t="shared" si="4"/>
        <v>(N'KSVBS2621873', N'33005334', N'NGUYỄN THU HẰNG', convert(datetime,'2026-26-08',103), convert(datetime,'2008-20-04',103), 14, N'Nữ', N'nhhang2@gmail.com', N'0972505985', N'033308007672', N'033308007672', 1, N'31261570513', N'87102618', N'hangnguyen.31261570513@st.ueh.edu.vn', N'87102618', 82.02, 81.4, N'7220201', N'THPT');</v>
      </c>
      <c r="AE11" s="16" t="str">
        <f t="shared" si="5"/>
        <v xml:space="preserve">INSERT INTO danhsachtrungtuyen (MaHoSo,SBD,HoVaTen, NgayCapNhat, NgaySinh, MaNoiSinh, GioiTinh, Email, DienThoai, CMND, CCCD, DanTocUid, MSSV, MatKhauOnline, EmailUEH, MatKhauEmail, TongDiem, DTC0PT2, MACTDT, PTTT) VALUES </v>
      </c>
      <c r="AF11" s="16" t="str">
        <f t="shared" si="6"/>
        <v>INSERT INTO danhsachtrungtuyen (MaHoSo,SBD,HoVaTen, NgayCapNhat, NgaySinh, MaNoiSinh, GioiTinh, Email, DienThoai, CMND, CCCD, DanTocUid, MSSV, MatKhauOnline, EmailUEH, MatKhauEmail, TongDiem, DTC0PT2, MACTDT, PTTT) VALUES  (N'KSVBS2621873', N'33005334', N'NGUYỄN THU HẰNG', convert(datetime,'2026-26-08',103), convert(datetime,'2008-20-04',103), 14, N'Nữ', N'nhhang2@gmail.com', N'0972505985', N'033308007672', N'033308007672', 1, N'31261570513', N'87102618', N'hangnguyen.31261570513@st.ueh.edu.vn', N'87102618', 82.02, 81.4, N'7220201', N'THPT');</v>
      </c>
    </row>
    <row r="12" spans="1:32" ht="155" x14ac:dyDescent="0.35">
      <c r="A12" s="1" t="str">
        <f>VLOOKUP(K12*1,'[1]Danh sách'!$A$3:$FD$548,2,0)</f>
        <v>KSVBS2616527</v>
      </c>
      <c r="B12" s="6" t="str">
        <f>VLOOKUP(K12*1,'[1]Danh sách'!$A$3:$FD$548,17,0)</f>
        <v>91030538</v>
      </c>
      <c r="C12" s="6" t="s">
        <v>64</v>
      </c>
      <c r="D12" s="6" t="s">
        <v>29</v>
      </c>
      <c r="E12" s="2" t="str">
        <f t="shared" si="0"/>
        <v>convert(datetime,'2026-26-08',103)</v>
      </c>
      <c r="F12" s="7" t="s">
        <v>123</v>
      </c>
      <c r="G12" s="2" t="str">
        <f t="shared" si="1"/>
        <v>convert(datetime,'2008-01-12',103)</v>
      </c>
      <c r="H12" s="8">
        <v>32</v>
      </c>
      <c r="I12" s="9" t="s">
        <v>39</v>
      </c>
      <c r="J12" s="6" t="s">
        <v>124</v>
      </c>
      <c r="K12" s="18" t="s">
        <v>65</v>
      </c>
      <c r="L12" s="1" t="s">
        <v>66</v>
      </c>
      <c r="M12" s="11" t="s">
        <v>66</v>
      </c>
      <c r="N12" s="9">
        <v>1</v>
      </c>
      <c r="O12" s="12">
        <v>31261570514</v>
      </c>
      <c r="P12" s="3" t="s">
        <v>125</v>
      </c>
      <c r="Q12" s="13" t="s">
        <v>126</v>
      </c>
      <c r="R12" s="1" t="s">
        <v>125</v>
      </c>
      <c r="S12" s="6">
        <v>68.81</v>
      </c>
      <c r="T12" s="6"/>
      <c r="U12" s="1">
        <v>67.14</v>
      </c>
      <c r="V12" s="14"/>
      <c r="W12" s="1"/>
      <c r="X12" s="1"/>
      <c r="Y12" s="2" t="str">
        <f t="shared" si="3"/>
        <v/>
      </c>
      <c r="Z12" s="14"/>
      <c r="AA12" s="15">
        <v>734020101</v>
      </c>
      <c r="AB12" s="1" t="s">
        <v>37</v>
      </c>
      <c r="AC12" s="1" t="str">
        <f t="shared" si="2"/>
        <v>update danhsachtrungtuyen set mactdt = N'734020101', PTTT =n'DGNL' where mahoso=N'KSVBS2616527';</v>
      </c>
      <c r="AD12" s="16" t="str">
        <f t="shared" si="4"/>
        <v>(N'KSVBS2616527', N'91030538', N'NGUYỄN THỊ MỸ HẠNH', convert(datetime,'2026-26-08',103), convert(datetime,'2008-01-12',103), 32, N'Nữ', N'nmyhanh100@gmail.com', N'0333709867', N'089308015401', N'089308015401', 1, N'31261570514', N'61788238', N'hanhnguyen.31261570514@st.ueh.edu.vn', N'61788238', 68.81, 67.14, N'734020101', N'DGNL');</v>
      </c>
      <c r="AE12" s="16" t="str">
        <f t="shared" si="5"/>
        <v xml:space="preserve">INSERT INTO danhsachtrungtuyen (MaHoSo,SBD,HoVaTen, NgayCapNhat, NgaySinh, MaNoiSinh, GioiTinh, Email, DienThoai, CMND, CCCD, DanTocUid, MSSV, MatKhauOnline, EmailUEH, MatKhauEmail, TongDiem, DTC0PT2, MACTDT, PTTT) VALUES </v>
      </c>
      <c r="AF12" s="16" t="str">
        <f t="shared" si="6"/>
        <v>INSERT INTO danhsachtrungtuyen (MaHoSo,SBD,HoVaTen, NgayCapNhat, NgaySinh, MaNoiSinh, GioiTinh, Email, DienThoai, CMND, CCCD, DanTocUid, MSSV, MatKhauOnline, EmailUEH, MatKhauEmail, TongDiem, DTC0PT2, MACTDT, PTTT) VALUES  (N'KSVBS2616527', N'91030538', N'NGUYỄN THỊ MỸ HẠNH', convert(datetime,'2026-26-08',103), convert(datetime,'2008-01-12',103), 32, N'Nữ', N'nmyhanh100@gmail.com', N'0333709867', N'089308015401', N'089308015401', 1, N'31261570514', N'61788238', N'hanhnguyen.31261570514@st.ueh.edu.vn', N'61788238', 68.81, 67.14, N'734020101', N'DGNL');</v>
      </c>
    </row>
    <row r="13" spans="1:32" ht="139.5" x14ac:dyDescent="0.35">
      <c r="A13" s="1" t="str">
        <f>VLOOKUP(K13*1,'[1]Danh sách'!$A$3:$FD$548,2,0)</f>
        <v>KSVBS2630961</v>
      </c>
      <c r="B13" s="6" t="str">
        <f>VLOOKUP(K13*1,'[1]Danh sách'!$A$3:$FD$548,17,0)</f>
        <v>96008338</v>
      </c>
      <c r="C13" s="6" t="s">
        <v>67</v>
      </c>
      <c r="D13" s="6" t="s">
        <v>29</v>
      </c>
      <c r="E13" s="2" t="str">
        <f t="shared" si="0"/>
        <v>convert(datetime,'2026-26-08',103)</v>
      </c>
      <c r="F13" s="7" t="s">
        <v>127</v>
      </c>
      <c r="G13" s="2" t="str">
        <f t="shared" si="1"/>
        <v>convert(datetime,'2008-17-11',103)</v>
      </c>
      <c r="H13" s="8">
        <v>34</v>
      </c>
      <c r="I13" s="9" t="s">
        <v>30</v>
      </c>
      <c r="J13" s="6" t="s">
        <v>128</v>
      </c>
      <c r="K13" s="18" t="s">
        <v>68</v>
      </c>
      <c r="L13" s="1" t="s">
        <v>69</v>
      </c>
      <c r="M13" s="11" t="s">
        <v>69</v>
      </c>
      <c r="N13" s="9">
        <v>1</v>
      </c>
      <c r="O13" s="12">
        <v>31261570515</v>
      </c>
      <c r="P13" s="3" t="s">
        <v>129</v>
      </c>
      <c r="Q13" s="13" t="s">
        <v>130</v>
      </c>
      <c r="R13" s="1" t="s">
        <v>129</v>
      </c>
      <c r="S13" s="6">
        <v>85.11</v>
      </c>
      <c r="T13" s="6"/>
      <c r="U13" s="1">
        <v>81.040000000000006</v>
      </c>
      <c r="V13" s="14"/>
      <c r="W13" s="1"/>
      <c r="X13" s="1"/>
      <c r="Y13" s="2" t="str">
        <f t="shared" si="3"/>
        <v/>
      </c>
      <c r="Z13" s="14"/>
      <c r="AA13" s="15">
        <v>7480107</v>
      </c>
      <c r="AB13" s="1" t="s">
        <v>33</v>
      </c>
      <c r="AC13" s="1" t="str">
        <f t="shared" si="2"/>
        <v>update danhsachtrungtuyen set mactdt = N'7480107', PTTT =n'THPT' where mahoso=N'KSVBS2630961';</v>
      </c>
      <c r="AD13" s="16" t="str">
        <f t="shared" si="4"/>
        <v>(N'KSVBS2630961', N'96008338', N'NGUYỄN THIÊN ĐỨC', convert(datetime,'2026-26-08',103), convert(datetime,'2008-17-11',103), 34, N'Nam', N'thienducnguyen996@gmail.com', N'0949848299', N'096208012431', N'096208012431', 1, N'31261570515', N'48742685', N'ducnguyen.31261570515@st.ueh.edu.vn', N'48742685', 85.11, 81.04, N'7480107', N'THPT');</v>
      </c>
      <c r="AE13" s="16" t="str">
        <f t="shared" si="5"/>
        <v xml:space="preserve">INSERT INTO danhsachtrungtuyen (MaHoSo,SBD,HoVaTen, NgayCapNhat, NgaySinh, MaNoiSinh, GioiTinh, Email, DienThoai, CMND, CCCD, DanTocUid, MSSV, MatKhauOnline, EmailUEH, MatKhauEmail, TongDiem, DTC0PT2, MACTDT, PTTT) VALUES </v>
      </c>
      <c r="AF13" s="16" t="str">
        <f t="shared" si="6"/>
        <v>INSERT INTO danhsachtrungtuyen (MaHoSo,SBD,HoVaTen, NgayCapNhat, NgaySinh, MaNoiSinh, GioiTinh, Email, DienThoai, CMND, CCCD, DanTocUid, MSSV, MatKhauOnline, EmailUEH, MatKhauEmail, TongDiem, DTC0PT2, MACTDT, PTTT) VALUES  (N'KSVBS2630961', N'96008338', N'NGUYỄN THIÊN ĐỨC', convert(datetime,'2026-26-08',103), convert(datetime,'2008-17-11',103), 34, N'Nam', N'thienducnguyen996@gmail.com', N'0949848299', N'096208012431', N'096208012431', 1, N'31261570515', N'48742685', N'ducnguyen.31261570515@st.ueh.edu.vn', N'48742685', 85.11, 81.04, N'7480107', N'THPT');</v>
      </c>
    </row>
    <row r="14" spans="1:32" ht="139.5" x14ac:dyDescent="0.35">
      <c r="A14" s="19" t="str">
        <f>VLOOKUP(K14*1,'[1]Danh sách'!$A$3:$FD$548,2,0)</f>
        <v>KSVBS2627907</v>
      </c>
      <c r="B14" s="20" t="str">
        <f>VLOOKUP(K14*1,'[1]Danh sách'!$A$3:$FD$548,17,0)</f>
        <v>86014873</v>
      </c>
      <c r="C14" s="20" t="s">
        <v>70</v>
      </c>
      <c r="D14" s="20" t="s">
        <v>29</v>
      </c>
      <c r="E14" s="2" t="str">
        <f t="shared" si="0"/>
        <v>convert(datetime,'2026-26-08',103)</v>
      </c>
      <c r="F14" s="22" t="s">
        <v>131</v>
      </c>
      <c r="G14" s="2" t="str">
        <f t="shared" si="1"/>
        <v>convert(datetime,'2008-26-08',103)</v>
      </c>
      <c r="H14" s="23">
        <v>30</v>
      </c>
      <c r="I14" s="24" t="s">
        <v>30</v>
      </c>
      <c r="J14" s="20" t="s">
        <v>132</v>
      </c>
      <c r="K14" s="25" t="s">
        <v>71</v>
      </c>
      <c r="L14" s="19" t="s">
        <v>72</v>
      </c>
      <c r="M14" s="26" t="s">
        <v>72</v>
      </c>
      <c r="N14" s="9">
        <v>1</v>
      </c>
      <c r="O14" s="27">
        <v>31261570516</v>
      </c>
      <c r="P14" s="28" t="s">
        <v>133</v>
      </c>
      <c r="Q14" s="29" t="s">
        <v>134</v>
      </c>
      <c r="R14" s="19" t="s">
        <v>133</v>
      </c>
      <c r="S14" s="20">
        <v>80.66</v>
      </c>
      <c r="T14" s="20"/>
      <c r="U14" s="19">
        <v>80</v>
      </c>
      <c r="V14" s="30"/>
      <c r="W14" s="19"/>
      <c r="X14" s="19"/>
      <c r="Y14" s="21" t="str">
        <f t="shared" si="3"/>
        <v/>
      </c>
      <c r="Z14" s="30"/>
      <c r="AA14" s="31">
        <v>734020102</v>
      </c>
      <c r="AB14" s="19" t="s">
        <v>33</v>
      </c>
      <c r="AC14" s="1" t="str">
        <f t="shared" si="2"/>
        <v>update danhsachtrungtuyen set mactdt = N'734020102', PTTT =n'THPT' where mahoso=N'KSVBS2627907';</v>
      </c>
      <c r="AD14" s="16" t="str">
        <f t="shared" si="4"/>
        <v>(N'KSVBS2627907', N'86014873', N'TRẦN TRUNG NHÂN', convert(datetime,'2026-26-08',103), convert(datetime,'2008-26-08',103), 30, N'Nam', N'trungnhan260808@gmail.com', N'0793872436', N'086208001080', N'086208001080', 1, N'31261570516', N'32721196', N'nhan.31261570516@st.ueh.edu.vn', N'32721196', 80.66, 80, N'734020102', N'THPT');</v>
      </c>
      <c r="AE14" s="16" t="str">
        <f t="shared" si="5"/>
        <v xml:space="preserve">INSERT INTO danhsachtrungtuyen (MaHoSo,SBD,HoVaTen, NgayCapNhat, NgaySinh, MaNoiSinh, GioiTinh, Email, DienThoai, CMND, CCCD, DanTocUid, MSSV, MatKhauOnline, EmailUEH, MatKhauEmail, TongDiem, DTC0PT2, MACTDT, PTTT) VALUES </v>
      </c>
      <c r="AF14" s="16" t="str">
        <f t="shared" si="6"/>
        <v>INSERT INTO danhsachtrungtuyen (MaHoSo,SBD,HoVaTen, NgayCapNhat, NgaySinh, MaNoiSinh, GioiTinh, Email, DienThoai, CMND, CCCD, DanTocUid, MSSV, MatKhauOnline, EmailUEH, MatKhauEmail, TongDiem, DTC0PT2, MACTDT, PTTT) VALUES  (N'KSVBS2627907', N'86014873', N'TRẦN TRUNG NHÂN', convert(datetime,'2026-26-08',103), convert(datetime,'2008-26-08',103), 30, N'Nam', N'trungnhan260808@gmail.com', N'0793872436', N'086208001080', N'086208001080', 1, N'31261570516', N'32721196', N'nhan.31261570516@st.ueh.edu.vn', N'32721196', 80.66, 80, N'734020102', N'THPT');</v>
      </c>
    </row>
    <row r="15" spans="1:32" ht="170.5" x14ac:dyDescent="0.35">
      <c r="A15" s="32" t="s">
        <v>73</v>
      </c>
      <c r="B15" s="6">
        <v>91029732</v>
      </c>
      <c r="C15" s="6" t="s">
        <v>74</v>
      </c>
      <c r="D15" s="6" t="s">
        <v>29</v>
      </c>
      <c r="E15" s="2" t="str">
        <f t="shared" si="0"/>
        <v>convert(datetime,'2026-26-08',103)</v>
      </c>
      <c r="F15" s="33" t="s">
        <v>75</v>
      </c>
      <c r="G15" s="2" t="str">
        <f t="shared" si="1"/>
        <v>convert(datetime,'2008-07-08',103)</v>
      </c>
      <c r="H15" s="6">
        <v>32</v>
      </c>
      <c r="I15" s="6" t="s">
        <v>39</v>
      </c>
      <c r="J15" s="6" t="s">
        <v>76</v>
      </c>
      <c r="K15" s="34" t="s">
        <v>77</v>
      </c>
      <c r="L15" s="34" t="s">
        <v>78</v>
      </c>
      <c r="M15" s="34" t="s">
        <v>78</v>
      </c>
      <c r="N15" s="9">
        <v>1</v>
      </c>
      <c r="O15" s="6" t="s">
        <v>79</v>
      </c>
      <c r="P15" s="6" t="s">
        <v>80</v>
      </c>
      <c r="Q15" s="6" t="s">
        <v>81</v>
      </c>
      <c r="R15" s="6" t="s">
        <v>82</v>
      </c>
      <c r="S15" s="6">
        <v>73.66</v>
      </c>
      <c r="T15" s="6"/>
      <c r="U15" s="6">
        <v>71.16</v>
      </c>
      <c r="V15" s="6"/>
      <c r="W15" s="6"/>
      <c r="X15" s="6"/>
      <c r="Y15" s="6"/>
      <c r="Z15" s="6"/>
      <c r="AA15" s="35">
        <v>734020103</v>
      </c>
      <c r="AB15" s="35" t="s">
        <v>37</v>
      </c>
      <c r="AC15" s="1" t="str">
        <f t="shared" si="2"/>
        <v>update danhsachtrungtuyen set mactdt = N'734020103', PTTT =n'DGNL' where mahoso=N'KSVBS2617831';</v>
      </c>
      <c r="AD15" s="16" t="str">
        <f t="shared" si="4"/>
        <v>(N'KSVBS2617831', N'91029732', N'TRƯƠNG HOÀNG KHÁNH LINH', convert(datetime,'2026-26-08',103), convert(datetime,'2008-07-08',103), 32, N'Nữ', N'truonghoangkhanhlinh163@gmail.com', N'0813281882', N'089308002708', N'089308002708', 1, N'31261570430', N'Trương Hoàng Khánh Linh', N'linhtruong.31261570430@st.ueh.edu.vn', N'77060759', 73.66, 71.16, N'734020103', N'DGNL');</v>
      </c>
      <c r="AE15" s="16" t="str">
        <f t="shared" si="5"/>
        <v xml:space="preserve">INSERT INTO danhsachtrungtuyen (MaHoSo,SBD,HoVaTen, NgayCapNhat, NgaySinh, MaNoiSinh, GioiTinh, Email, DienThoai, CMND, CCCD, DanTocUid, MSSV, MatKhauOnline, EmailUEH, MatKhauEmail, TongDiem, DTC0PT2, MACTDT, PTTT) VALUES </v>
      </c>
      <c r="AF15" s="16" t="str">
        <f t="shared" si="6"/>
        <v>INSERT INTO danhsachtrungtuyen (MaHoSo,SBD,HoVaTen, NgayCapNhat, NgaySinh, MaNoiSinh, GioiTinh, Email, DienThoai, CMND, CCCD, DanTocUid, MSSV, MatKhauOnline, EmailUEH, MatKhauEmail, TongDiem, DTC0PT2, MACTDT, PTTT) VALUES  (N'KSVBS2617831', N'91029732', N'TRƯƠNG HOÀNG KHÁNH LINH', convert(datetime,'2026-26-08',103), convert(datetime,'2008-07-08',103), 32, N'Nữ', N'truonghoangkhanhlinh163@gmail.com', N'0813281882', N'089308002708', N'089308002708', 1, N'31261570430', N'Trương Hoàng Khánh Linh', N'linhtruong.31261570430@st.ueh.edu.vn', N'77060759', 73.66, 71.16, N'734020103', N'DGNL');</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 nhap hoc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Thái Bình</dc:creator>
  <cp:lastModifiedBy>HP</cp:lastModifiedBy>
  <dcterms:created xsi:type="dcterms:W3CDTF">2026-08-27T09:35:01Z</dcterms:created>
  <dcterms:modified xsi:type="dcterms:W3CDTF">2026-08-27T15:03:42Z</dcterms:modified>
</cp:coreProperties>
</file>